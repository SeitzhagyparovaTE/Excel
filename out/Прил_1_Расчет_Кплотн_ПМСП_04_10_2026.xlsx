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Свод потребности" sheetId="1" state="visible" r:id="rId3"/>
    <sheet name="Моделирование по МО" sheetId="2" state="visible" r:id="rId4"/>
    <sheet name="Моделирование" sheetId="3" state="visible" r:id="rId5"/>
    <sheet name="Расчет Кплотн" sheetId="4" state="visible" r:id="rId6"/>
    <sheet name="РПН по МО" sheetId="5" state="visible" r:id="rId7"/>
    <sheet name="Проверка МО" sheetId="6" state="visible" r:id="rId8"/>
    <sheet name="Площадь МСХ" sheetId="7" state="visible" r:id="rId9"/>
    <sheet name="РПН 01.08 по МО" sheetId="8" state="visible" r:id="rId10"/>
    <sheet name="БКПН (приказ 170)" sheetId="9" state="visible" r:id="rId11"/>
    <sheet name="Курчум – Марқакөл" sheetId="10" state="visible" r:id="rId12"/>
    <sheet name="Сопоставление РПН и КАТО " sheetId="11" state="visible" r:id="rId13"/>
  </sheets>
  <definedNames>
    <definedName function="false" hidden="true" localSheetId="2" name="_xlnm._FilterDatabase" vbProcedure="false">Моделирование!$A$6:$L$219</definedName>
    <definedName function="false" hidden="true" localSheetId="1" name="_xlnm._FilterDatabase" vbProcedure="false">'Моделирование по МО'!$A$4:$L$692</definedName>
    <definedName function="false" hidden="true" localSheetId="5" name="_xlnm._FilterDatabase" vbProcedure="false">'Проверка МО'!$A$4:$J$37</definedName>
    <definedName function="false" hidden="true" localSheetId="3" name="_xlnm._FilterDatabase" vbProcedure="false">'Расчет Кплотн'!$A$6:$L$219</definedName>
    <definedName function="false" hidden="true" localSheetId="4" name="_xlnm._FilterDatabase" vbProcedure="false">'РПН по МО'!$A$3:$K$687</definedName>
    <definedName function="false" hidden="true" localSheetId="10" name="_xlnm._FilterDatabase" vbProcedure="false">'Сопоставление РПН и КАТО '!$A$4:$M$706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209" authorId="0">
      <text>
        <r>
          <rPr>
            <sz val="10"/>
            <rFont val="Arial"/>
            <family val="2"/>
          </rPr>
          <t xml:space="preserve">Прикреплённое население Курчумской РБ на 01.08.2026 за вычетом населения района Марқакөл (6 285 чел.)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5</xdr:row>
                <xdr:rowOff>13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Как в расчёте Кплотн: собственной МО в РПН нет, население района (6 285 чел.) выведено из прикреплённого населения Курчумской РБ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5</xdr:row>
                <xdr:rowOff>28</xdr:rowOff>
              </xdr:to>
            </anchor>
          </commentPr>
        </mc:Choice>
        <mc:Fallback/>
      </mc:AlternateContent>
    </comment>
    <comment ref="F2" authorId="0">
      <text>
        <r>
          <rPr>
            <sz val="10"/>
            <rFont val="Arial"/>
            <family val="2"/>
          </rPr>
          <t xml:space="preserve">Приказ № ҚР ДСМ-170/2020 в ред. приказа от 31.12.2025 № 176, приложение 8: БКПН ПМСП 1 686,17 тенге; для 7 регионов (*) – по приложению 1: город 1 686,17, районное значение и село 1 850,91–2 249,81 тенге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5</xdr:row>
                <xdr:rowOff>88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140" authorId="0">
      <text>
        <r>
          <rPr>
            <sz val="10"/>
            <rFont val="Arial"/>
            <family val="2"/>
          </rPr>
          <t xml:space="preserve">Площадь г. Байконыр без территории космодрома – по генеральному плану (постановление Правительства РК от 02.11.2016 № 656): 54,98 км²; в ответе МСХ отсутствует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5</xdr:row>
                <xdr:rowOff>43</xdr:rowOff>
              </xdr:to>
            </anchor>
          </commentPr>
        </mc:Choice>
        <mc:Fallback/>
      </mc:AlternateContent>
    </comment>
    <comment ref="G209" authorId="0">
      <text>
        <r>
          <rPr>
            <sz val="10"/>
            <rFont val="Arial"/>
            <family val="2"/>
          </rPr>
          <t xml:space="preserve">Прикреплённое население Курчумской РБ за вычетом населения района Марқакөл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4</xdr:row>
                <xdr:rowOff>3</xdr:rowOff>
              </xdr:to>
            </anchor>
          </commentPr>
        </mc:Choice>
        <mc:Fallback/>
      </mc:AlternateContent>
    </comment>
    <comment ref="G211" authorId="0">
      <text>
        <r>
          <rPr>
            <sz val="10"/>
            <rFont val="Arial"/>
            <family val="2"/>
          </rPr>
          <t xml:space="preserve">Выведено из Курчумского района: прикреплённое население участков № 101, 102, 104, 105, 106 Курчумской РБ, обслуживающих район Марқакөл (лист «Курчум – Марқакөл», список прикреплённого населения ЦС «РПН»)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6</xdr:row>
                <xdr:rowOff>10</xdr:rowOff>
              </xdr:to>
            </anchor>
          </commentPr>
        </mc:Choice>
        <mc:Fallback/>
      </mc:AlternateContent>
    </comment>
    <comment ref="I3" authorId="0">
      <text>
        <r>
          <rPr>
            <sz val="10"/>
            <rFont val="Arial"/>
            <family val="2"/>
          </rPr>
          <t xml:space="preserve">Приказ № 309 (ред. от 27.06.2024 № 34): В – вес по расчёту коэффициента линейной корреляции Пирсона плотности и численности населения районов, городов за исключением городов республиканского значения и столицы (столбцы M, N)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6</xdr:row>
                <xdr:rowOff>10</xdr:rowOff>
              </xdr:to>
            </anchor>
          </commentPr>
        </mc:Choice>
        <mc:Fallback/>
      </mc:AlternateContent>
    </comment>
    <comment ref="K15" authorId="0">
      <text>
        <r>
          <rPr>
            <sz val="10"/>
            <rFont val="Arial"/>
            <family val="2"/>
          </rPr>
          <t xml:space="preserve">В приказе № 170 района нет (новая АТЕ); принят коэффициент территории-источника (1010)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4</xdr:row>
                <xdr:rowOff>18</xdr:rowOff>
              </xdr:to>
            </anchor>
          </commentPr>
        </mc:Choice>
        <mc:Fallback/>
      </mc:AlternateContent>
    </comment>
    <comment ref="K18" authorId="0">
      <text>
        <r>
          <rPr>
            <sz val="10"/>
            <rFont val="Arial"/>
            <family val="2"/>
          </rPr>
          <t xml:space="preserve">В приказе № 170 района нет (новая АТЕ); принят коэффициент территории-источника (1046)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4</xdr:row>
                <xdr:rowOff>18</xdr:rowOff>
              </xdr:to>
            </anchor>
          </commentPr>
        </mc:Choice>
        <mc:Fallback/>
      </mc:AlternateContent>
    </comment>
    <comment ref="K54" authorId="0">
      <text>
        <r>
          <rPr>
            <sz val="10"/>
            <rFont val="Arial"/>
            <family val="2"/>
          </rPr>
          <t xml:space="preserve">В приказе № 170 района нет (новая АТЕ); принят коэффициент территории-источника (1968)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4</xdr:row>
                <xdr:rowOff>18</xdr:rowOff>
              </xdr:to>
            </anchor>
          </commentPr>
        </mc:Choice>
        <mc:Fallback/>
      </mc:AlternateContent>
    </comment>
    <comment ref="K211" authorId="0">
      <text>
        <r>
          <rPr>
            <sz val="10"/>
            <rFont val="Arial"/>
            <family val="2"/>
          </rPr>
          <t xml:space="preserve">В приказе № 170 района нет (новая АТЕ); принят коэффициент территории-источника (6352)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4</xdr:row>
                <xdr:rowOff>18</xdr:rowOff>
              </xdr:to>
            </anchor>
          </commentPr>
        </mc:Choice>
        <mc:Fallback/>
      </mc:AlternateContent>
    </comment>
    <comment ref="K215" authorId="0">
      <text>
        <r>
          <rPr>
            <sz val="10"/>
            <rFont val="Arial"/>
            <family val="2"/>
          </rPr>
          <t xml:space="preserve">В приказе № 170 района нет (новая АТЕ); принят коэффициент территории-источника (6354)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4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<sst xmlns="http://schemas.openxmlformats.org/spreadsheetml/2006/main" count="17406" uniqueCount="2930">
  <si>
    <t xml:space="preserve">Потребность на коэффициент плотности для ПМСП по регионам при действующем БКПН (приказ № 170), тыс. тенге в год</t>
  </si>
  <si>
    <t xml:space="preserve">Регион</t>
  </si>
  <si>
    <t xml:space="preserve">Прикреплённое население (РПН 01.08.2026)</t>
  </si>
  <si>
    <t xml:space="preserve">Расходы при Кплотн по приказу № 170</t>
  </si>
  <si>
    <t xml:space="preserve">Расходы при Кплотн по приказу № 309</t>
  </si>
  <si>
    <t xml:space="preserve">Потребность</t>
  </si>
  <si>
    <t xml:space="preserve">%</t>
  </si>
  <si>
    <t xml:space="preserve">Акмолинская область</t>
  </si>
  <si>
    <t xml:space="preserve">Актюбинская область</t>
  </si>
  <si>
    <t xml:space="preserve">Алматинская область</t>
  </si>
  <si>
    <t xml:space="preserve">Атырауская область</t>
  </si>
  <si>
    <t xml:space="preserve">Восточно-Казахстанская область</t>
  </si>
  <si>
    <t xml:space="preserve">Жамбылская область</t>
  </si>
  <si>
    <t xml:space="preserve">Западно-Казахстанская область</t>
  </si>
  <si>
    <t xml:space="preserve">Карагандинская область</t>
  </si>
  <si>
    <t xml:space="preserve">Костанайская область</t>
  </si>
  <si>
    <t xml:space="preserve">Кызылординская область</t>
  </si>
  <si>
    <t xml:space="preserve">Мангистауская область</t>
  </si>
  <si>
    <t xml:space="preserve">Павлодарская область</t>
  </si>
  <si>
    <t xml:space="preserve">Северо-Казахстанская область</t>
  </si>
  <si>
    <t xml:space="preserve">Туркестанская область</t>
  </si>
  <si>
    <t xml:space="preserve">область Абай</t>
  </si>
  <si>
    <t xml:space="preserve">область Жетісу</t>
  </si>
  <si>
    <t xml:space="preserve">область Ұлытау</t>
  </si>
  <si>
    <t xml:space="preserve">г. Алматы</t>
  </si>
  <si>
    <t xml:space="preserve">г. Астана</t>
  </si>
  <si>
    <t xml:space="preserve">г. Шымкент</t>
  </si>
  <si>
    <t xml:space="preserve">Итого по РК</t>
  </si>
  <si>
    <t xml:space="preserve">Источники: численность – ЦС «РПН» на 01.08.2026 (выгрузка с КАТО от 04.10.2026); КПН 1 686,17 тенге и Кплотн действующий – приказ № ҚР ДСМ-170/2020 (ред. 31.12.2025), прил. 8 и прил. 5 к тарифам ПМСП;</t>
  </si>
  <si>
    <t xml:space="preserve">Кплотн по приказу № 309 – лист «Расчет Кплотн» (РПН на 01.01.2026, площадь МСХ на 01.01.2026, КАТО 18.09.2026). Другие поправочные коэффициенты не применяются.</t>
  </si>
  <si>
    <t xml:space="preserve">БКПН – по приказу № 170: 1 686,17 тенге, для субъектов районного значения и села 7 регионов – по приложению 1 к тарифам (1 850,91–2 249,81 тенге), лист «БКПН (приказ 170)».</t>
  </si>
  <si>
    <t xml:space="preserve">Потребность на коэффициент плотности в разрезе субъектов ПМСП при КПН 1 686,17 тенге, тыс. тенге в год</t>
  </si>
  <si>
    <t xml:space="preserve">Расходы = Ч (РПН на 01.08.2026) × 12 × БКПН × Кплотн района МО / 1000; БКПН – лист «БКПН (приказ 170)», число месяцев – лист «Моделирование»</t>
  </si>
  <si>
    <t xml:space="preserve">№</t>
  </si>
  <si>
    <t xml:space="preserve">Регион (РПН)</t>
  </si>
  <si>
    <t xml:space="preserve">Наименование субъекта ПМСП</t>
  </si>
  <si>
    <t xml:space="preserve">Код района</t>
  </si>
  <si>
    <t xml:space="preserve">Район / город</t>
  </si>
  <si>
    <t xml:space="preserve">Прикреплённое население (РПН на 01.08.2026), чел.</t>
  </si>
  <si>
    <t xml:space="preserve">Кплотн по приказу № 170</t>
  </si>
  <si>
    <t xml:space="preserve">Кплотн по приказу № 309</t>
  </si>
  <si>
    <t xml:space="preserve">БКПН, тенге (приказ № 170)</t>
  </si>
  <si>
    <t xml:space="preserve">Субъекты с ростом финансирования: </t>
  </si>
  <si>
    <t xml:space="preserve">Субъекты без изменений: </t>
  </si>
  <si>
    <t xml:space="preserve">Субъекты со снижением: </t>
  </si>
  <si>
    <t xml:space="preserve">Потребность на коэффициент плотности населения для ПМСП при действующем КПН (приказ № 170), тыс. тенге в год</t>
  </si>
  <si>
    <t xml:space="preserve">Действующий базовый КПН ПМСП, тенге на 1 прикреплённого в месяц</t>
  </si>
  <si>
    <t xml:space="preserve">Количество месяцев</t>
  </si>
  <si>
    <t xml:space="preserve">Расходы = Ч (РПН на 01.08.2026) × 12 × БКПН × Кплотн / 1000; БКПН – по приказу № 170 с учётом приложения 1 (районное значение и село в 7 регионах); другие поправочные коэффициенты не применяются</t>
  </si>
  <si>
    <t xml:space="preserve">Тип территории</t>
  </si>
  <si>
    <t xml:space="preserve">1010</t>
  </si>
  <si>
    <t xml:space="preserve">1018</t>
  </si>
  <si>
    <t xml:space="preserve">1032</t>
  </si>
  <si>
    <t xml:space="preserve">1034</t>
  </si>
  <si>
    <t xml:space="preserve">1036</t>
  </si>
  <si>
    <t xml:space="preserve">1038</t>
  </si>
  <si>
    <t xml:space="preserve">1040</t>
  </si>
  <si>
    <t xml:space="preserve">1041</t>
  </si>
  <si>
    <t xml:space="preserve">1042</t>
  </si>
  <si>
    <t xml:space="preserve">1044</t>
  </si>
  <si>
    <t xml:space="preserve">1045</t>
  </si>
  <si>
    <t xml:space="preserve">1046</t>
  </si>
  <si>
    <t xml:space="preserve">1110</t>
  </si>
  <si>
    <t xml:space="preserve">1116</t>
  </si>
  <si>
    <t xml:space="preserve">1118</t>
  </si>
  <si>
    <t xml:space="preserve">1132</t>
  </si>
  <si>
    <t xml:space="preserve">1134</t>
  </si>
  <si>
    <t xml:space="preserve">1136</t>
  </si>
  <si>
    <t xml:space="preserve">1138</t>
  </si>
  <si>
    <t xml:space="preserve">1140</t>
  </si>
  <si>
    <t xml:space="preserve">1144</t>
  </si>
  <si>
    <t xml:space="preserve">1145</t>
  </si>
  <si>
    <t xml:space="preserve">1146</t>
  </si>
  <si>
    <t xml:space="preserve">1148</t>
  </si>
  <si>
    <t xml:space="preserve">1152</t>
  </si>
  <si>
    <t xml:space="preserve">1154</t>
  </si>
  <si>
    <t xml:space="preserve">1156</t>
  </si>
  <si>
    <t xml:space="preserve">1160</t>
  </si>
  <si>
    <t xml:space="preserve">1164</t>
  </si>
  <si>
    <t xml:space="preserve">1166</t>
  </si>
  <si>
    <t xml:space="preserve">1168</t>
  </si>
  <si>
    <t xml:space="preserve">1170</t>
  </si>
  <si>
    <t xml:space="preserve">1510</t>
  </si>
  <si>
    <t xml:space="preserve">1532</t>
  </si>
  <si>
    <t xml:space="preserve">1534</t>
  </si>
  <si>
    <t xml:space="preserve">1536</t>
  </si>
  <si>
    <t xml:space="preserve">1540</t>
  </si>
  <si>
    <t xml:space="preserve">1542</t>
  </si>
  <si>
    <t xml:space="preserve">1546</t>
  </si>
  <si>
    <t xml:space="preserve">1548</t>
  </si>
  <si>
    <t xml:space="preserve">1552</t>
  </si>
  <si>
    <t xml:space="preserve">1556</t>
  </si>
  <si>
    <t xml:space="preserve">1560</t>
  </si>
  <si>
    <t xml:space="preserve">1564</t>
  </si>
  <si>
    <t xml:space="preserve">1568</t>
  </si>
  <si>
    <t xml:space="preserve">1910</t>
  </si>
  <si>
    <t xml:space="preserve">1918</t>
  </si>
  <si>
    <t xml:space="preserve">1936</t>
  </si>
  <si>
    <t xml:space="preserve">1940</t>
  </si>
  <si>
    <t xml:space="preserve">1942</t>
  </si>
  <si>
    <t xml:space="preserve">1944</t>
  </si>
  <si>
    <t xml:space="preserve">1952</t>
  </si>
  <si>
    <t xml:space="preserve">1958</t>
  </si>
  <si>
    <t xml:space="preserve">1962</t>
  </si>
  <si>
    <t xml:space="preserve">1966</t>
  </si>
  <si>
    <t xml:space="preserve">1968</t>
  </si>
  <si>
    <t xml:space="preserve">2310</t>
  </si>
  <si>
    <t xml:space="preserve">2336</t>
  </si>
  <si>
    <t xml:space="preserve">2340</t>
  </si>
  <si>
    <t xml:space="preserve">2342</t>
  </si>
  <si>
    <t xml:space="preserve">2346</t>
  </si>
  <si>
    <t xml:space="preserve">2348</t>
  </si>
  <si>
    <t xml:space="preserve">2352</t>
  </si>
  <si>
    <t xml:space="preserve">2356</t>
  </si>
  <si>
    <t xml:space="preserve">2710</t>
  </si>
  <si>
    <t xml:space="preserve">2732</t>
  </si>
  <si>
    <t xml:space="preserve">2736</t>
  </si>
  <si>
    <t xml:space="preserve">2740</t>
  </si>
  <si>
    <t xml:space="preserve">2742</t>
  </si>
  <si>
    <t xml:space="preserve">2744</t>
  </si>
  <si>
    <t xml:space="preserve">2748</t>
  </si>
  <si>
    <t xml:space="preserve">2750</t>
  </si>
  <si>
    <t xml:space="preserve">2754</t>
  </si>
  <si>
    <t xml:space="preserve">2758</t>
  </si>
  <si>
    <t xml:space="preserve">2760</t>
  </si>
  <si>
    <t xml:space="preserve">2762</t>
  </si>
  <si>
    <t xml:space="preserve">2766</t>
  </si>
  <si>
    <t xml:space="preserve">3110</t>
  </si>
  <si>
    <t xml:space="preserve">3136</t>
  </si>
  <si>
    <t xml:space="preserve">3140</t>
  </si>
  <si>
    <t xml:space="preserve">3142</t>
  </si>
  <si>
    <t xml:space="preserve">3148</t>
  </si>
  <si>
    <t xml:space="preserve">3150</t>
  </si>
  <si>
    <t xml:space="preserve">3154</t>
  </si>
  <si>
    <t xml:space="preserve">3156</t>
  </si>
  <si>
    <t xml:space="preserve">3160</t>
  </si>
  <si>
    <t xml:space="preserve">3162</t>
  </si>
  <si>
    <t xml:space="preserve">3166</t>
  </si>
  <si>
    <t xml:space="preserve">3310</t>
  </si>
  <si>
    <t xml:space="preserve">3318</t>
  </si>
  <si>
    <t xml:space="preserve">3332</t>
  </si>
  <si>
    <t xml:space="preserve">3334</t>
  </si>
  <si>
    <t xml:space="preserve">3336</t>
  </si>
  <si>
    <t xml:space="preserve">3340</t>
  </si>
  <si>
    <t xml:space="preserve">3342</t>
  </si>
  <si>
    <t xml:space="preserve">3344</t>
  </si>
  <si>
    <t xml:space="preserve">3346</t>
  </si>
  <si>
    <t xml:space="preserve">3348</t>
  </si>
  <si>
    <t xml:space="preserve">3510</t>
  </si>
  <si>
    <t xml:space="preserve">3516</t>
  </si>
  <si>
    <t xml:space="preserve">3521</t>
  </si>
  <si>
    <t xml:space="preserve">3522</t>
  </si>
  <si>
    <t xml:space="preserve">3524</t>
  </si>
  <si>
    <t xml:space="preserve">3528</t>
  </si>
  <si>
    <t xml:space="preserve">3532</t>
  </si>
  <si>
    <t xml:space="preserve">3536</t>
  </si>
  <si>
    <t xml:space="preserve">3540</t>
  </si>
  <si>
    <t xml:space="preserve">3548</t>
  </si>
  <si>
    <t xml:space="preserve">3552</t>
  </si>
  <si>
    <t xml:space="preserve">3556</t>
  </si>
  <si>
    <t xml:space="preserve">3564</t>
  </si>
  <si>
    <t xml:space="preserve">3910</t>
  </si>
  <si>
    <t xml:space="preserve">3916</t>
  </si>
  <si>
    <t xml:space="preserve">3920</t>
  </si>
  <si>
    <t xml:space="preserve">3924</t>
  </si>
  <si>
    <t xml:space="preserve">3932</t>
  </si>
  <si>
    <t xml:space="preserve">3934</t>
  </si>
  <si>
    <t xml:space="preserve">3936</t>
  </si>
  <si>
    <t xml:space="preserve">3940</t>
  </si>
  <si>
    <t xml:space="preserve">3942</t>
  </si>
  <si>
    <t xml:space="preserve">3944</t>
  </si>
  <si>
    <t xml:space="preserve">3948</t>
  </si>
  <si>
    <t xml:space="preserve">3950</t>
  </si>
  <si>
    <t xml:space="preserve">3952</t>
  </si>
  <si>
    <t xml:space="preserve">3954</t>
  </si>
  <si>
    <t xml:space="preserve">3956</t>
  </si>
  <si>
    <t xml:space="preserve">3958</t>
  </si>
  <si>
    <t xml:space="preserve">3962</t>
  </si>
  <si>
    <t xml:space="preserve">3964</t>
  </si>
  <si>
    <t xml:space="preserve">3966</t>
  </si>
  <si>
    <t xml:space="preserve">3968</t>
  </si>
  <si>
    <t xml:space="preserve">4310</t>
  </si>
  <si>
    <t xml:space="preserve">4319</t>
  </si>
  <si>
    <t xml:space="preserve">4332</t>
  </si>
  <si>
    <t xml:space="preserve">4336</t>
  </si>
  <si>
    <t xml:space="preserve">4340</t>
  </si>
  <si>
    <t xml:space="preserve">4344</t>
  </si>
  <si>
    <t xml:space="preserve">4346</t>
  </si>
  <si>
    <t xml:space="preserve">4348</t>
  </si>
  <si>
    <t xml:space="preserve">4352</t>
  </si>
  <si>
    <t xml:space="preserve">4710</t>
  </si>
  <si>
    <t xml:space="preserve">4718</t>
  </si>
  <si>
    <t xml:space="preserve">4736</t>
  </si>
  <si>
    <t xml:space="preserve">4742</t>
  </si>
  <si>
    <t xml:space="preserve">4746</t>
  </si>
  <si>
    <t xml:space="preserve">4750</t>
  </si>
  <si>
    <t xml:space="preserve">4752</t>
  </si>
  <si>
    <t xml:space="preserve">5510</t>
  </si>
  <si>
    <t xml:space="preserve">5516</t>
  </si>
  <si>
    <t xml:space="preserve">5522</t>
  </si>
  <si>
    <t xml:space="preserve">5532</t>
  </si>
  <si>
    <t xml:space="preserve">5536</t>
  </si>
  <si>
    <t xml:space="preserve">5542</t>
  </si>
  <si>
    <t xml:space="preserve">5546</t>
  </si>
  <si>
    <t xml:space="preserve">5548</t>
  </si>
  <si>
    <t xml:space="preserve">5552</t>
  </si>
  <si>
    <t xml:space="preserve">5556</t>
  </si>
  <si>
    <t xml:space="preserve">5560</t>
  </si>
  <si>
    <t xml:space="preserve">5564</t>
  </si>
  <si>
    <t xml:space="preserve">5568</t>
  </si>
  <si>
    <t xml:space="preserve">5910</t>
  </si>
  <si>
    <t xml:space="preserve">5932</t>
  </si>
  <si>
    <t xml:space="preserve">5934</t>
  </si>
  <si>
    <t xml:space="preserve">5936</t>
  </si>
  <si>
    <t xml:space="preserve">5942</t>
  </si>
  <si>
    <t xml:space="preserve">5946</t>
  </si>
  <si>
    <t xml:space="preserve">5950</t>
  </si>
  <si>
    <t xml:space="preserve">5952</t>
  </si>
  <si>
    <t xml:space="preserve">5956</t>
  </si>
  <si>
    <t xml:space="preserve">5958</t>
  </si>
  <si>
    <t xml:space="preserve">5960</t>
  </si>
  <si>
    <t xml:space="preserve">5962</t>
  </si>
  <si>
    <t xml:space="preserve">5964</t>
  </si>
  <si>
    <t xml:space="preserve">5966</t>
  </si>
  <si>
    <t xml:space="preserve">6110</t>
  </si>
  <si>
    <t xml:space="preserve">6116</t>
  </si>
  <si>
    <t xml:space="preserve">6120</t>
  </si>
  <si>
    <t xml:space="preserve">6136</t>
  </si>
  <si>
    <t xml:space="preserve">6138</t>
  </si>
  <si>
    <t xml:space="preserve">6139</t>
  </si>
  <si>
    <t xml:space="preserve">6140</t>
  </si>
  <si>
    <t xml:space="preserve">6144</t>
  </si>
  <si>
    <t xml:space="preserve">6146</t>
  </si>
  <si>
    <t xml:space="preserve">6148</t>
  </si>
  <si>
    <t xml:space="preserve">6152</t>
  </si>
  <si>
    <t xml:space="preserve">6154</t>
  </si>
  <si>
    <t xml:space="preserve">6155</t>
  </si>
  <si>
    <t xml:space="preserve">6156</t>
  </si>
  <si>
    <t xml:space="preserve">6158</t>
  </si>
  <si>
    <t xml:space="preserve">6160</t>
  </si>
  <si>
    <t xml:space="preserve">6164</t>
  </si>
  <si>
    <t xml:space="preserve">6210</t>
  </si>
  <si>
    <t xml:space="preserve">6218</t>
  </si>
  <si>
    <t xml:space="preserve">6220</t>
  </si>
  <si>
    <t xml:space="preserve">6236</t>
  </si>
  <si>
    <t xml:space="preserve">6238</t>
  </si>
  <si>
    <t xml:space="preserve">6310</t>
  </si>
  <si>
    <t xml:space="preserve">6324</t>
  </si>
  <si>
    <t xml:space="preserve">6340</t>
  </si>
  <si>
    <t xml:space="preserve">6346</t>
  </si>
  <si>
    <t xml:space="preserve">6348</t>
  </si>
  <si>
    <t xml:space="preserve">6352</t>
  </si>
  <si>
    <t xml:space="preserve">6354</t>
  </si>
  <si>
    <t xml:space="preserve">6355</t>
  </si>
  <si>
    <t xml:space="preserve">6356</t>
  </si>
  <si>
    <t xml:space="preserve">6358</t>
  </si>
  <si>
    <t xml:space="preserve">6362</t>
  </si>
  <si>
    <t xml:space="preserve">6363</t>
  </si>
  <si>
    <t xml:space="preserve">6368</t>
  </si>
  <si>
    <t xml:space="preserve">7100</t>
  </si>
  <si>
    <t xml:space="preserve">7500</t>
  </si>
  <si>
    <t xml:space="preserve">7900</t>
  </si>
  <si>
    <t xml:space="preserve">Коэффициент плотности населения для ПМСП по приказу № ҚР ДСМ-309/2020: Кплотн.район = 1 + В × Плотн.РК / Пнас.район</t>
  </si>
  <si>
    <t xml:space="preserve">Численность – ЦС «РПН» на 01.01.2026; район МО – по КАТО (18.09.2026); площадь – МСХ РК на 01.01.2026; сравнение – приказ № ҚР ДСМ-170/2020 (ред. 31.12.2025), прил. 5 к тарифам ПМСП.</t>
  </si>
  <si>
    <t xml:space="preserve">В (коэффициент корреляции Пирсона плотности и численности):</t>
  </si>
  <si>
    <t xml:space="preserve">Плотн.РК, чел./км²:</t>
  </si>
  <si>
    <t xml:space="preserve">Код района (КАТО)</t>
  </si>
  <si>
    <t xml:space="preserve">Площадь, тыс. га (МСХ)</t>
  </si>
  <si>
    <t xml:space="preserve">Площадь, км²</t>
  </si>
  <si>
    <t xml:space="preserve">Численность РПН на 01.01.2026, чел.</t>
  </si>
  <si>
    <t xml:space="preserve">Плотность, чел./км²</t>
  </si>
  <si>
    <t xml:space="preserve">Кплотн расчётный</t>
  </si>
  <si>
    <t xml:space="preserve">Изменение</t>
  </si>
  <si>
    <t xml:space="preserve">Для расчёта В: плотность (без городов респ. значения)</t>
  </si>
  <si>
    <t xml:space="preserve">Для расчёта В: численность (без городов респ. значения)</t>
  </si>
  <si>
    <t xml:space="preserve">Семей</t>
  </si>
  <si>
    <t xml:space="preserve">областной центр</t>
  </si>
  <si>
    <t xml:space="preserve">Курчатов</t>
  </si>
  <si>
    <t xml:space="preserve">моногород / малый город</t>
  </si>
  <si>
    <t xml:space="preserve">Абайский район</t>
  </si>
  <si>
    <t xml:space="preserve">район</t>
  </si>
  <si>
    <t xml:space="preserve">район Ақсуат</t>
  </si>
  <si>
    <t xml:space="preserve">Аягозский район</t>
  </si>
  <si>
    <t xml:space="preserve">Бескарагайский район</t>
  </si>
  <si>
    <t xml:space="preserve">Бородулихинский район</t>
  </si>
  <si>
    <t xml:space="preserve">район Жаңасемей</t>
  </si>
  <si>
    <t xml:space="preserve">Жарминский район</t>
  </si>
  <si>
    <t xml:space="preserve">Кокпектинский район</t>
  </si>
  <si>
    <t xml:space="preserve">район Мақаншы</t>
  </si>
  <si>
    <t xml:space="preserve">Урджарский район</t>
  </si>
  <si>
    <t xml:space="preserve">Кокшетау</t>
  </si>
  <si>
    <t xml:space="preserve">Косшы</t>
  </si>
  <si>
    <t xml:space="preserve">Степногорск</t>
  </si>
  <si>
    <t xml:space="preserve">Аккольский район</t>
  </si>
  <si>
    <t xml:space="preserve">Аршалынский район</t>
  </si>
  <si>
    <t xml:space="preserve">Астраханский район</t>
  </si>
  <si>
    <t xml:space="preserve">Атбасарский район</t>
  </si>
  <si>
    <t xml:space="preserve">Буландынский район</t>
  </si>
  <si>
    <t xml:space="preserve">Егиндыкольский район</t>
  </si>
  <si>
    <t xml:space="preserve">район Биржан сал</t>
  </si>
  <si>
    <t xml:space="preserve">Ерейментауский район</t>
  </si>
  <si>
    <t xml:space="preserve">Есильский район</t>
  </si>
  <si>
    <t xml:space="preserve">Жаксынский район</t>
  </si>
  <si>
    <t xml:space="preserve">Жаркаинский район</t>
  </si>
  <si>
    <t xml:space="preserve">Зерендинский район</t>
  </si>
  <si>
    <t xml:space="preserve">Коргалжынский район</t>
  </si>
  <si>
    <t xml:space="preserve">Сандыктауский район</t>
  </si>
  <si>
    <t xml:space="preserve">Целиноградский район</t>
  </si>
  <si>
    <t xml:space="preserve">Шортандинский район</t>
  </si>
  <si>
    <t xml:space="preserve">Бурабайский район</t>
  </si>
  <si>
    <t xml:space="preserve">Актобе</t>
  </si>
  <si>
    <t xml:space="preserve">Алгинский район</t>
  </si>
  <si>
    <t xml:space="preserve">Айтекебийский район</t>
  </si>
  <si>
    <t xml:space="preserve">Байганинский район</t>
  </si>
  <si>
    <t xml:space="preserve">Каргалинский район</t>
  </si>
  <si>
    <t xml:space="preserve">Хобдинский район</t>
  </si>
  <si>
    <t xml:space="preserve">Мартукский район</t>
  </si>
  <si>
    <t xml:space="preserve">Мугалжарский район</t>
  </si>
  <si>
    <t xml:space="preserve">Уилский район</t>
  </si>
  <si>
    <t xml:space="preserve">Темирский район</t>
  </si>
  <si>
    <t xml:space="preserve">Хромтауский район</t>
  </si>
  <si>
    <t xml:space="preserve">Шалкарский район</t>
  </si>
  <si>
    <t xml:space="preserve">Иргизский район</t>
  </si>
  <si>
    <t xml:space="preserve">Қонаев</t>
  </si>
  <si>
    <t xml:space="preserve">Алатау</t>
  </si>
  <si>
    <t xml:space="preserve">малый город</t>
  </si>
  <si>
    <t xml:space="preserve">Балхашский район</t>
  </si>
  <si>
    <t xml:space="preserve">Енбекшиказахский район</t>
  </si>
  <si>
    <t xml:space="preserve">Жамбылский район</t>
  </si>
  <si>
    <t xml:space="preserve">Кегенский район</t>
  </si>
  <si>
    <t xml:space="preserve">Карасайский район</t>
  </si>
  <si>
    <t xml:space="preserve">Райымбекский район</t>
  </si>
  <si>
    <t xml:space="preserve">Талгарский район</t>
  </si>
  <si>
    <t xml:space="preserve">Уйгурский район</t>
  </si>
  <si>
    <t xml:space="preserve">Илийский район</t>
  </si>
  <si>
    <t xml:space="preserve">Атырау</t>
  </si>
  <si>
    <t xml:space="preserve">Жылыойский район</t>
  </si>
  <si>
    <t xml:space="preserve">Индерский район</t>
  </si>
  <si>
    <t xml:space="preserve">Исатайский район</t>
  </si>
  <si>
    <t xml:space="preserve">Курмангазинский район</t>
  </si>
  <si>
    <t xml:space="preserve">Кзылкогинский район</t>
  </si>
  <si>
    <t xml:space="preserve">Макатский район</t>
  </si>
  <si>
    <t xml:space="preserve">Махамбетский район</t>
  </si>
  <si>
    <t xml:space="preserve">Уральск</t>
  </si>
  <si>
    <t xml:space="preserve">Акжаикский район</t>
  </si>
  <si>
    <t xml:space="preserve">Бурлинский район</t>
  </si>
  <si>
    <t xml:space="preserve">Жангалинский район</t>
  </si>
  <si>
    <t xml:space="preserve">Жанибекский район</t>
  </si>
  <si>
    <t xml:space="preserve">район Бәйтерек</t>
  </si>
  <si>
    <t xml:space="preserve">Казталовский район</t>
  </si>
  <si>
    <t xml:space="preserve">Каратобинский район</t>
  </si>
  <si>
    <t xml:space="preserve">Бокейординский район</t>
  </si>
  <si>
    <t xml:space="preserve">Сырымский район</t>
  </si>
  <si>
    <t xml:space="preserve">Таскалинский район</t>
  </si>
  <si>
    <t xml:space="preserve">Теректинский район</t>
  </si>
  <si>
    <t xml:space="preserve">Чингирлауский район</t>
  </si>
  <si>
    <t xml:space="preserve">Тараз</t>
  </si>
  <si>
    <t xml:space="preserve">Байзакский район</t>
  </si>
  <si>
    <t xml:space="preserve">Жуалынский район</t>
  </si>
  <si>
    <t xml:space="preserve">Кордайский район</t>
  </si>
  <si>
    <t xml:space="preserve">район Турара Рыскулова</t>
  </si>
  <si>
    <t xml:space="preserve">Меркенский район</t>
  </si>
  <si>
    <t xml:space="preserve">Мойынкумский район</t>
  </si>
  <si>
    <t xml:space="preserve">Сарысуский район</t>
  </si>
  <si>
    <t xml:space="preserve">Таласский район</t>
  </si>
  <si>
    <t xml:space="preserve">Шуский район</t>
  </si>
  <si>
    <t xml:space="preserve">Талдыкорган</t>
  </si>
  <si>
    <t xml:space="preserve">Текели</t>
  </si>
  <si>
    <t xml:space="preserve">Аксуский район</t>
  </si>
  <si>
    <t xml:space="preserve">Алакольский район</t>
  </si>
  <si>
    <t xml:space="preserve">Ескельдинский район</t>
  </si>
  <si>
    <t xml:space="preserve">Кербулакский район</t>
  </si>
  <si>
    <t xml:space="preserve">Коксуский район</t>
  </si>
  <si>
    <t xml:space="preserve">Каратальский район</t>
  </si>
  <si>
    <t xml:space="preserve">Панфиловский район</t>
  </si>
  <si>
    <t xml:space="preserve">Сарканский район</t>
  </si>
  <si>
    <t xml:space="preserve">Караганда</t>
  </si>
  <si>
    <t xml:space="preserve">Балхаш</t>
  </si>
  <si>
    <t xml:space="preserve">Приозерск</t>
  </si>
  <si>
    <t xml:space="preserve">Сарань</t>
  </si>
  <si>
    <t xml:space="preserve">Темиртау</t>
  </si>
  <si>
    <t xml:space="preserve">Шахтинск</t>
  </si>
  <si>
    <t xml:space="preserve">Актогайский район</t>
  </si>
  <si>
    <t xml:space="preserve">Бухар-Жырауский район</t>
  </si>
  <si>
    <t xml:space="preserve">Каркаралинский район</t>
  </si>
  <si>
    <t xml:space="preserve">Нуринский район</t>
  </si>
  <si>
    <t xml:space="preserve">Осакаровский район</t>
  </si>
  <si>
    <t xml:space="preserve">Шетский район</t>
  </si>
  <si>
    <t xml:space="preserve">Костанай</t>
  </si>
  <si>
    <t xml:space="preserve">Аркалык</t>
  </si>
  <si>
    <t xml:space="preserve">Лисаковск</t>
  </si>
  <si>
    <t xml:space="preserve">Рудный</t>
  </si>
  <si>
    <t xml:space="preserve">Алтынсаринский район</t>
  </si>
  <si>
    <t xml:space="preserve">Амангельдинский район</t>
  </si>
  <si>
    <t xml:space="preserve">Аулиекольский район</t>
  </si>
  <si>
    <t xml:space="preserve">Денисовский район</t>
  </si>
  <si>
    <t xml:space="preserve">Жангельдинский район</t>
  </si>
  <si>
    <t xml:space="preserve">Житикаринский район</t>
  </si>
  <si>
    <t xml:space="preserve">Камыстинский район</t>
  </si>
  <si>
    <t xml:space="preserve">Карабалыкский район</t>
  </si>
  <si>
    <t xml:space="preserve">Карасуский район</t>
  </si>
  <si>
    <t xml:space="preserve">Костанайский район</t>
  </si>
  <si>
    <t xml:space="preserve">Мендыкаринский район</t>
  </si>
  <si>
    <t xml:space="preserve">Наурзумский район</t>
  </si>
  <si>
    <t xml:space="preserve">Сарыкольский район</t>
  </si>
  <si>
    <t xml:space="preserve">район Беимбета Майлина</t>
  </si>
  <si>
    <t xml:space="preserve">Узункольский район</t>
  </si>
  <si>
    <t xml:space="preserve">Федоровский район</t>
  </si>
  <si>
    <t xml:space="preserve">Кызылорда</t>
  </si>
  <si>
    <t xml:space="preserve">Байконыр</t>
  </si>
  <si>
    <t xml:space="preserve">Аральский район</t>
  </si>
  <si>
    <t xml:space="preserve">Жалагашский район</t>
  </si>
  <si>
    <t xml:space="preserve">Жанакорганский район</t>
  </si>
  <si>
    <t xml:space="preserve">Казалинский район</t>
  </si>
  <si>
    <t xml:space="preserve">Кармакшинский район</t>
  </si>
  <si>
    <t xml:space="preserve">Сырдарьинский район</t>
  </si>
  <si>
    <t xml:space="preserve">Шиелийский район</t>
  </si>
  <si>
    <t xml:space="preserve">Актау</t>
  </si>
  <si>
    <t xml:space="preserve">Жанаозен</t>
  </si>
  <si>
    <t xml:space="preserve">Бейнеуский район</t>
  </si>
  <si>
    <t xml:space="preserve">Каракиянский район</t>
  </si>
  <si>
    <t xml:space="preserve">Мангистауский район</t>
  </si>
  <si>
    <t xml:space="preserve">Мунайлинский район</t>
  </si>
  <si>
    <t xml:space="preserve">Тупкараганский район</t>
  </si>
  <si>
    <t xml:space="preserve">Павлодар</t>
  </si>
  <si>
    <t xml:space="preserve">Аксу</t>
  </si>
  <si>
    <t xml:space="preserve">Экибастуз</t>
  </si>
  <si>
    <t xml:space="preserve">Баянаульский район</t>
  </si>
  <si>
    <t xml:space="preserve">Железинский район</t>
  </si>
  <si>
    <t xml:space="preserve">Иртышский район</t>
  </si>
  <si>
    <t xml:space="preserve">район Тереңкөл</t>
  </si>
  <si>
    <t xml:space="preserve">район Аққулы</t>
  </si>
  <si>
    <t xml:space="preserve">Майский район</t>
  </si>
  <si>
    <t xml:space="preserve">Павлодарский район</t>
  </si>
  <si>
    <t xml:space="preserve">Успенский район</t>
  </si>
  <si>
    <t xml:space="preserve">Щербактинский район</t>
  </si>
  <si>
    <t xml:space="preserve">Петропавловск</t>
  </si>
  <si>
    <t xml:space="preserve">Айыртауский район</t>
  </si>
  <si>
    <t xml:space="preserve">Акжарский район</t>
  </si>
  <si>
    <t xml:space="preserve">Район Магжана Жумабаева</t>
  </si>
  <si>
    <t xml:space="preserve">Кызылжарский район</t>
  </si>
  <si>
    <t xml:space="preserve">Мамлютский район</t>
  </si>
  <si>
    <t xml:space="preserve">Район Шал акына</t>
  </si>
  <si>
    <t xml:space="preserve">Аккайынский район</t>
  </si>
  <si>
    <t xml:space="preserve">Тайыншинский район</t>
  </si>
  <si>
    <t xml:space="preserve">Тимирязевский район</t>
  </si>
  <si>
    <t xml:space="preserve">Уалихановский район</t>
  </si>
  <si>
    <t xml:space="preserve">Район им.Габита Мусрепова</t>
  </si>
  <si>
    <t xml:space="preserve">Туркестан</t>
  </si>
  <si>
    <t xml:space="preserve">Арысь</t>
  </si>
  <si>
    <t xml:space="preserve">Кентау</t>
  </si>
  <si>
    <t xml:space="preserve">район Байдибека</t>
  </si>
  <si>
    <t xml:space="preserve">Жетысайский район</t>
  </si>
  <si>
    <t xml:space="preserve">Келесский район</t>
  </si>
  <si>
    <t xml:space="preserve">Казыгуртский район</t>
  </si>
  <si>
    <t xml:space="preserve">Мактааральский район</t>
  </si>
  <si>
    <t xml:space="preserve">Ордабасынский район</t>
  </si>
  <si>
    <t xml:space="preserve">Отрарский район</t>
  </si>
  <si>
    <t xml:space="preserve">Сайрамский район</t>
  </si>
  <si>
    <t xml:space="preserve">Сарыагашский район</t>
  </si>
  <si>
    <t xml:space="preserve">район Сауран</t>
  </si>
  <si>
    <t xml:space="preserve">Сузакский район</t>
  </si>
  <si>
    <t xml:space="preserve">Толебийский район</t>
  </si>
  <si>
    <t xml:space="preserve">Тюлькубасский район</t>
  </si>
  <si>
    <t xml:space="preserve">Шардаринский район</t>
  </si>
  <si>
    <t xml:space="preserve">Жезказган</t>
  </si>
  <si>
    <t xml:space="preserve">Каражал</t>
  </si>
  <si>
    <t xml:space="preserve">Сатпаев</t>
  </si>
  <si>
    <t xml:space="preserve">Жанааркинский район</t>
  </si>
  <si>
    <t xml:space="preserve">Улытауский район</t>
  </si>
  <si>
    <t xml:space="preserve">Усть-Каменогорск</t>
  </si>
  <si>
    <t xml:space="preserve">Риддер</t>
  </si>
  <si>
    <t xml:space="preserve">Глубоковский район</t>
  </si>
  <si>
    <t xml:space="preserve">Зайсанский район</t>
  </si>
  <si>
    <t xml:space="preserve">район Алтай</t>
  </si>
  <si>
    <t xml:space="preserve">Курчумский район</t>
  </si>
  <si>
    <t xml:space="preserve">Катон-Карагайский район</t>
  </si>
  <si>
    <t xml:space="preserve">район Марқакөл</t>
  </si>
  <si>
    <t xml:space="preserve">район Самар</t>
  </si>
  <si>
    <t xml:space="preserve">Тарбагатайский район</t>
  </si>
  <si>
    <t xml:space="preserve">Уланский район</t>
  </si>
  <si>
    <t xml:space="preserve">район Үлкен Нарын</t>
  </si>
  <si>
    <t xml:space="preserve">Шемонаихинский район</t>
  </si>
  <si>
    <t xml:space="preserve">город респ. значения</t>
  </si>
  <si>
    <t xml:space="preserve">Кплотн по приказу № 309: районы – по формуле, не выше 2,0; моногорода и малые города – 1,5; областные центры, города республиканского значения и столица – 1,0.</t>
  </si>
  <si>
    <t xml:space="preserve">Тип территории: моногорода и малые города – по Концепции регионального развития на 2025–2030 годы (в т.ч. г. Алатау), совпадает с перечнем 1,5 в приказе № 170.</t>
  </si>
  <si>
    <t xml:space="preserve">Район Марқакөл: своей МО в РПН нет; численность 6 285 чел. выведена из прикреплённого населения Курчумской РБ, у Курчумского района уменьшена на ту же величину.</t>
  </si>
  <si>
    <t xml:space="preserve">Новые АТЕ (Жаңасемей, Мақаншы, Алатау, Марқакөл, Үлкен Нарын) в приказе № 170 отсутствуют – для сравнения принят коэффициент территории-источника.</t>
  </si>
  <si>
    <t xml:space="preserve">Прикреплённое население по МО (ЦС «РПН» на 01.01.2026), район МО и источник данных</t>
  </si>
  <si>
    <t xml:space="preserve">Область (РПН)</t>
  </si>
  <si>
    <t xml:space="preserve">Наименование МО</t>
  </si>
  <si>
    <t xml:space="preserve">БИН</t>
  </si>
  <si>
    <t xml:space="preserve">Прикреплённое население</t>
  </si>
  <si>
    <t xml:space="preserve">Район (по коду)</t>
  </si>
  <si>
    <t xml:space="preserve">КАТО (18.09.2026)</t>
  </si>
  <si>
    <t xml:space="preserve">Влияет на Кплотн</t>
  </si>
  <si>
    <t xml:space="preserve">Источник данных (примечание)</t>
  </si>
  <si>
    <t xml:space="preserve">Ссылка</t>
  </si>
  <si>
    <t xml:space="preserve">АБАЙ</t>
  </si>
  <si>
    <t xml:space="preserve">"Коммунальное госудаственное предприятие на праве хозяйственного ведения "Аксуатская районная больница" управления здравоохранения области Абай"</t>
  </si>
  <si>
    <t xml:space="preserve">80640003228</t>
  </si>
  <si>
    <t xml:space="preserve">103430100</t>
  </si>
  <si>
    <t xml:space="preserve">да</t>
  </si>
  <si>
    <t xml:space="preserve">КАТО местонахождения МО по ЦС «РПН» (выгрузка от 04.10.2026), соответствует КАТО 18.09.2026</t>
  </si>
  <si>
    <t xml:space="preserve">Учреждение "Семейная амбулатория "Азат"</t>
  </si>
  <si>
    <t xml:space="preserve">970440001312</t>
  </si>
  <si>
    <t xml:space="preserve">104230100</t>
  </si>
  <si>
    <t xml:space="preserve">У-е "Сельская амбулатория "Гармония"</t>
  </si>
  <si>
    <t xml:space="preserve">980240018349</t>
  </si>
  <si>
    <t xml:space="preserve">КАТО в ЦС «РПН» не указан; район Жаңасемей (по наименованию и КАТО 18.09.2026)</t>
  </si>
  <si>
    <t xml:space="preserve">У-е "Поликлиника "Хаким"</t>
  </si>
  <si>
    <t xml:space="preserve">970340000417</t>
  </si>
  <si>
    <t xml:space="preserve">101010000</t>
  </si>
  <si>
    <t xml:space="preserve">нет</t>
  </si>
  <si>
    <t xml:space="preserve">У-е "Консультативно-диагностическая поликлиника № 3 города Семей"</t>
  </si>
  <si>
    <t xml:space="preserve">130640005216</t>
  </si>
  <si>
    <t xml:space="preserve">ТОО "Семейская железнодорожная больница"</t>
  </si>
  <si>
    <t xml:space="preserve">180440021408</t>
  </si>
  <si>
    <t xml:space="preserve">ТОО "Поликлиника №6 города Семей"</t>
  </si>
  <si>
    <t xml:space="preserve">130740008581</t>
  </si>
  <si>
    <t xml:space="preserve">ТОО "Клиника iv plus"</t>
  </si>
  <si>
    <t xml:space="preserve">90940007481</t>
  </si>
  <si>
    <t xml:space="preserve">ТОО "Қазығұл"</t>
  </si>
  <si>
    <t xml:space="preserve">970140005506</t>
  </si>
  <si>
    <t xml:space="preserve">103620100</t>
  </si>
  <si>
    <t xml:space="preserve">ТОО "Жан-Ер"</t>
  </si>
  <si>
    <t xml:space="preserve">51140004661</t>
  </si>
  <si>
    <t xml:space="preserve">МУ "Центральная смотровая поликлиника"</t>
  </si>
  <si>
    <t xml:space="preserve">50740001874</t>
  </si>
  <si>
    <t xml:space="preserve">Медицинское учреждение "Поликлиника № 8 города Семей"</t>
  </si>
  <si>
    <t xml:space="preserve">191140014657</t>
  </si>
  <si>
    <t xml:space="preserve">Медицинское У-е "Победа"</t>
  </si>
  <si>
    <t xml:space="preserve">980640000350</t>
  </si>
  <si>
    <t xml:space="preserve">Коммунальное государственное предприятие на праве хозяйственного ведения «Многопрофильная центральная районная больница Урджарского района» управления здравоохранения области Абай</t>
  </si>
  <si>
    <t xml:space="preserve">80640010558</t>
  </si>
  <si>
    <t xml:space="preserve">104630100</t>
  </si>
  <si>
    <t xml:space="preserve">Коммунальное государственное предприятие на праве хозяйственного ведения «Бескарагайская районная больница» управления здравоохранения области Абай</t>
  </si>
  <si>
    <t xml:space="preserve">80640010372</t>
  </si>
  <si>
    <t xml:space="preserve">103830100</t>
  </si>
  <si>
    <t xml:space="preserve">Коммунальное государственное предприятие на праве хозяйственного ведения "Больница района Мақаншы" управления здравоохранения области Абай</t>
  </si>
  <si>
    <t xml:space="preserve">130340021485</t>
  </si>
  <si>
    <t xml:space="preserve">104673100</t>
  </si>
  <si>
    <t xml:space="preserve">по наименованию МО (район Мақаншы); КАТО в ЦС «РПН» 104673100 – прежний код Урджарского района, в КАТО 18.09.2026 отсутствует</t>
  </si>
  <si>
    <t xml:space="preserve">ТОО "Әділ-Ем"</t>
  </si>
  <si>
    <t xml:space="preserve">100840005535</t>
  </si>
  <si>
    <t xml:space="preserve">КГП на ПХВ «Поликлиника № 2 города Семей» управления здравоохранения области Абай</t>
  </si>
  <si>
    <t xml:space="preserve">80640013601</t>
  </si>
  <si>
    <t xml:space="preserve">«Коммунальное государственное предприятие на праве хозяйственного ведения «Многопрофильная центральная районная больница Аягозского района» управления здравоохранения области Абай»</t>
  </si>
  <si>
    <t xml:space="preserve">80640002349</t>
  </si>
  <si>
    <t xml:space="preserve">КГП на ПХВ «Центр первичной медико-санитарной помощи № 10 города Семей» управления здравоохранения области Абай</t>
  </si>
  <si>
    <t xml:space="preserve">990340000758</t>
  </si>
  <si>
    <t xml:space="preserve">КГП на ПХВ "Больница района Жаңасемей" управления здравоохранения области Абай</t>
  </si>
  <si>
    <t xml:space="preserve">80740000693</t>
  </si>
  <si>
    <t xml:space="preserve">КАТО в ЦС «РПН» не указан; по наименованию МО</t>
  </si>
  <si>
    <t xml:space="preserve">КГП на ПХВ "Бородулихинская районная больница" управления здравоохранения области Абай</t>
  </si>
  <si>
    <t xml:space="preserve">80640019859</t>
  </si>
  <si>
    <t xml:space="preserve">104030100</t>
  </si>
  <si>
    <t xml:space="preserve">КГП на ПХВ "Жарминская районная больница" УЗ области Абай</t>
  </si>
  <si>
    <t xml:space="preserve">80640003505</t>
  </si>
  <si>
    <t xml:space="preserve">КГП на ПХВ "Кокпектинская районная больница" управления здравоохранения области Абай</t>
  </si>
  <si>
    <t xml:space="preserve">80640010736</t>
  </si>
  <si>
    <t xml:space="preserve">104430100</t>
  </si>
  <si>
    <t xml:space="preserve">КГП на ПХВ "Поликлиника № 1 города Семей" управления здравоохранения области Абай</t>
  </si>
  <si>
    <t xml:space="preserve">80540020185</t>
  </si>
  <si>
    <t xml:space="preserve">КГП на ПХВ "Абайская районная больница" УЗ области Абай</t>
  </si>
  <si>
    <t xml:space="preserve">990240001831</t>
  </si>
  <si>
    <t xml:space="preserve">103230100</t>
  </si>
  <si>
    <t xml:space="preserve">КГП на ПХВ "Поликлиника № 7 города Семей" управления здравоохранения области Абай</t>
  </si>
  <si>
    <t xml:space="preserve">990340001914</t>
  </si>
  <si>
    <t xml:space="preserve">КГП на ПХВ "Поликлиника № 9 города Семей" управления здравоохранения области Абай</t>
  </si>
  <si>
    <t xml:space="preserve">80640000888</t>
  </si>
  <si>
    <t xml:space="preserve">КГП на ПХВ "Центр первичной медико-санитарной помощи №12 города Семей" управления здравоохранения области Абай</t>
  </si>
  <si>
    <t xml:space="preserve">990340002605</t>
  </si>
  <si>
    <t xml:space="preserve">КГП на ПХВ "Шарская городская больница" управления здравоохранения области Абай</t>
  </si>
  <si>
    <t xml:space="preserve">80640006916</t>
  </si>
  <si>
    <t xml:space="preserve">104221100</t>
  </si>
  <si>
    <t xml:space="preserve">КГП на ПХВ «Курчатовская городская больница» управления здравоохранения области Абай</t>
  </si>
  <si>
    <t xml:space="preserve">11240001762</t>
  </si>
  <si>
    <t xml:space="preserve">101810000</t>
  </si>
  <si>
    <t xml:space="preserve">КГП на ПХВ "Поликлиника № 4 города Семей" управления здравоохранения области Абай</t>
  </si>
  <si>
    <t xml:space="preserve">80640009455</t>
  </si>
  <si>
    <t xml:space="preserve">АКМОЛИНСКАЯ</t>
  </si>
  <si>
    <t xml:space="preserve">ГКПнаПХВ «Егиндыкольская районная больница» при управлении здравоохранения Акмолинской области</t>
  </si>
  <si>
    <t xml:space="preserve">40640003220</t>
  </si>
  <si>
    <t xml:space="preserve">114430100</t>
  </si>
  <si>
    <t xml:space="preserve">Государственное коммунальное казенное предприятие "Степногорская многопрофильная городская больница" при управлении здравоохранения Акмолинской области</t>
  </si>
  <si>
    <t xml:space="preserve">950740000537</t>
  </si>
  <si>
    <t xml:space="preserve">111810000</t>
  </si>
  <si>
    <t xml:space="preserve">Государственное коммунальное предприятие на праве хозяйственного ведения "Аршалынская районная больница" при управлении здравоохранения Акмолинской области</t>
  </si>
  <si>
    <t xml:space="preserve">90340005863</t>
  </si>
  <si>
    <t xml:space="preserve">113430100</t>
  </si>
  <si>
    <t xml:space="preserve">Государственное коммунальное предприятие на праве хозяйственного ведения "Больница района Биржан сал" при управлении здравоохранения Акмолинской области</t>
  </si>
  <si>
    <t xml:space="preserve">90340010380</t>
  </si>
  <si>
    <t xml:space="preserve">114520100</t>
  </si>
  <si>
    <t xml:space="preserve">Государственное коммунальное предприятие на праве хозяйственного ведения "Центр первичной медико - санитарной помощи" при управлении здравоохранения Акмолинской области</t>
  </si>
  <si>
    <t xml:space="preserve">990640001509</t>
  </si>
  <si>
    <t xml:space="preserve">111033100</t>
  </si>
  <si>
    <t xml:space="preserve">ТОО "Клиника Эндохирургии"</t>
  </si>
  <si>
    <t xml:space="preserve">116645100</t>
  </si>
  <si>
    <t xml:space="preserve">ТОО "Клиника Панацея"</t>
  </si>
  <si>
    <t xml:space="preserve">111010000</t>
  </si>
  <si>
    <t xml:space="preserve">ТОО "Кокшетауская железнодорожная больница"</t>
  </si>
  <si>
    <t xml:space="preserve">180440020241</t>
  </si>
  <si>
    <t xml:space="preserve">ТОО "ПОЛИКЛИНИКА "CITY" с.Кызылжар</t>
  </si>
  <si>
    <t xml:space="preserve">116665400</t>
  </si>
  <si>
    <t xml:space="preserve">Филиал товарищества с ограниченной ответственностью "VIAMEDIS" в городе Кокшетау</t>
  </si>
  <si>
    <t xml:space="preserve">200741010148</t>
  </si>
  <si>
    <t xml:space="preserve">ГКП на ПХВ «Коргалжынская районная больница» при управлении здравоохранения Акмолинской области</t>
  </si>
  <si>
    <t xml:space="preserve">40540002962</t>
  </si>
  <si>
    <t xml:space="preserve">116030100</t>
  </si>
  <si>
    <t xml:space="preserve">ТОО "Казахстанская социально-медицинская компания "Жанұя" Акмолинская область (производственная база)</t>
  </si>
  <si>
    <t xml:space="preserve">116651100</t>
  </si>
  <si>
    <t xml:space="preserve">КАТО в ЦС «РПН» 116651100 – прежний код с. Косшы (до образования Косшы Г.А.); в КАТО 18.09.2026 – г. Косшы (111610000)</t>
  </si>
  <si>
    <t xml:space="preserve">ГКП на ПХВ «Ерейментауская районная больница» при управлении здравоохранения Акмолинской области</t>
  </si>
  <si>
    <t xml:space="preserve">40540003019</t>
  </si>
  <si>
    <t xml:space="preserve">114620100</t>
  </si>
  <si>
    <t xml:space="preserve">ГКП на ПХВ "Есильская районная больница" при управлении здравоохранения Акмолинской области</t>
  </si>
  <si>
    <t xml:space="preserve">40440004053</t>
  </si>
  <si>
    <t xml:space="preserve">114820100</t>
  </si>
  <si>
    <t xml:space="preserve">ГКП на ПХВ "Целиноградская районная поликлиника" при управлении здравоохранения Акмолинской области .</t>
  </si>
  <si>
    <t xml:space="preserve">70440005027</t>
  </si>
  <si>
    <t xml:space="preserve">116630100</t>
  </si>
  <si>
    <t xml:space="preserve">ГКП на ПХВ "Шортандинская районная больница" при управлении здравоохранения Акмолинской области.</t>
  </si>
  <si>
    <t xml:space="preserve">40540002883</t>
  </si>
  <si>
    <t xml:space="preserve">116830100</t>
  </si>
  <si>
    <t xml:space="preserve">ГКП на ПХВ "Аккольская районная больница" при управлении здравоохранения Акмолинской области</t>
  </si>
  <si>
    <t xml:space="preserve">40540002972</t>
  </si>
  <si>
    <t xml:space="preserve">113220100</t>
  </si>
  <si>
    <t xml:space="preserve">ГКП на ПХВ "Астраханская районная больница" при управлении здравоохранения Акмолинской области</t>
  </si>
  <si>
    <t xml:space="preserve">40440004480</t>
  </si>
  <si>
    <t xml:space="preserve">113630100</t>
  </si>
  <si>
    <t xml:space="preserve">ГКП на ПХВ "Буландынская районная больница" при управлении здравоохранения Акмолинской области</t>
  </si>
  <si>
    <t xml:space="preserve">40540002912</t>
  </si>
  <si>
    <t xml:space="preserve">114020100</t>
  </si>
  <si>
    <t xml:space="preserve">ГКП на ПХВ "Бурабайская районная поликлиника" при управлении здравоохранения Акмолинской области</t>
  </si>
  <si>
    <t xml:space="preserve">70240006721</t>
  </si>
  <si>
    <t xml:space="preserve">117020100</t>
  </si>
  <si>
    <t xml:space="preserve">ГКП на ПХВ "Атбасарская многопрофильная межрайонная больница" при управлении здравоохранения Акмолинской области</t>
  </si>
  <si>
    <t xml:space="preserve">40440000299</t>
  </si>
  <si>
    <t xml:space="preserve">113820100</t>
  </si>
  <si>
    <t xml:space="preserve">ГКП на ПХВ "Жаксынская районная больница" при управлении здравоохранения Акмолинской области</t>
  </si>
  <si>
    <t xml:space="preserve">40540002942</t>
  </si>
  <si>
    <t xml:space="preserve">115230100</t>
  </si>
  <si>
    <t xml:space="preserve">ГКП на ПХВ "Жаркаинская районная больница" при управлении здравоохранения Акмолинской области</t>
  </si>
  <si>
    <t xml:space="preserve">50340004933</t>
  </si>
  <si>
    <t xml:space="preserve">115420100</t>
  </si>
  <si>
    <t xml:space="preserve">ГКП на ПХВ "Зерендинская районная больница" при управлении здравоохранения Акмолинской области</t>
  </si>
  <si>
    <t xml:space="preserve">90340006957</t>
  </si>
  <si>
    <t xml:space="preserve">115630100</t>
  </si>
  <si>
    <t xml:space="preserve">ГКП на ПХВ "Сандыктауская районная больница"</t>
  </si>
  <si>
    <t xml:space="preserve">40540002922</t>
  </si>
  <si>
    <t xml:space="preserve">116430100</t>
  </si>
  <si>
    <t xml:space="preserve">ГКП на ПХВ "Городская поликлиника" при управлении здравоохранения Акмолинской области</t>
  </si>
  <si>
    <t xml:space="preserve">30640002677</t>
  </si>
  <si>
    <t xml:space="preserve">АКТЮБИНСКАЯ</t>
  </si>
  <si>
    <t xml:space="preserve">Государственное коммунальное предприятие «Темирская районная больница» на праве хозяйственного ведения государственного учреждения «Управление здравоохранения Актюбинской области»</t>
  </si>
  <si>
    <t xml:space="preserve">990140004238</t>
  </si>
  <si>
    <t xml:space="preserve">155630100</t>
  </si>
  <si>
    <t xml:space="preserve">ТОО "АксиМед"</t>
  </si>
  <si>
    <t xml:space="preserve">240940025472</t>
  </si>
  <si>
    <t xml:space="preserve">151011100</t>
  </si>
  <si>
    <t xml:space="preserve">НАО "АРУ им. К.Жубанова"</t>
  </si>
  <si>
    <t xml:space="preserve">130840021720</t>
  </si>
  <si>
    <t xml:space="preserve">151010000</t>
  </si>
  <si>
    <t xml:space="preserve">НАО "ЗКМУ"</t>
  </si>
  <si>
    <t xml:space="preserve">990240007563</t>
  </si>
  <si>
    <t xml:space="preserve">ТОО "Absolute technology (Абсолют Технолоджи)"</t>
  </si>
  <si>
    <t xml:space="preserve">140940019199</t>
  </si>
  <si>
    <t xml:space="preserve">ТОО "BZ Холдинг"</t>
  </si>
  <si>
    <t xml:space="preserve">191240008913</t>
  </si>
  <si>
    <t xml:space="preserve">ТОО "Medet Ker"</t>
  </si>
  <si>
    <t xml:space="preserve">160340013281</t>
  </si>
  <si>
    <t xml:space="preserve">151035000</t>
  </si>
  <si>
    <t xml:space="preserve">КАТО по ЦС «РПН» 151035000 в КАТО 18.09.2026 отсутствует – район по первым 4 знакам кода</t>
  </si>
  <si>
    <t xml:space="preserve">ТОО "Асыл-Мед"</t>
  </si>
  <si>
    <t xml:space="preserve">160440025249</t>
  </si>
  <si>
    <t xml:space="preserve">ТОО Частный медицинский центр "Шипагер-С"</t>
  </si>
  <si>
    <t xml:space="preserve">41240002322</t>
  </si>
  <si>
    <t xml:space="preserve">ТОО "Медикер Илек"</t>
  </si>
  <si>
    <t xml:space="preserve">161140016618</t>
  </si>
  <si>
    <t xml:space="preserve">ТОО "Медина Клиник"</t>
  </si>
  <si>
    <t xml:space="preserve">170840008760</t>
  </si>
  <si>
    <t xml:space="preserve">ТОО "Мир Женщины"</t>
  </si>
  <si>
    <t xml:space="preserve">191240002914</t>
  </si>
  <si>
    <t xml:space="preserve">ТОО "ТТ и К"</t>
  </si>
  <si>
    <t xml:space="preserve">960740001567</t>
  </si>
  <si>
    <t xml:space="preserve">У-е "Больница "Шапағат"</t>
  </si>
  <si>
    <t xml:space="preserve">960340000564</t>
  </si>
  <si>
    <t xml:space="preserve">154820100</t>
  </si>
  <si>
    <t xml:space="preserve">У-е "Медикус Центр"</t>
  </si>
  <si>
    <t xml:space="preserve">981240004163</t>
  </si>
  <si>
    <t xml:space="preserve">КАТО в ЦС «РПН» не указан; предварительно г. Актобе (областной центр) – требует подтверждения</t>
  </si>
  <si>
    <t xml:space="preserve">Учреждение "Баишев мед"</t>
  </si>
  <si>
    <t xml:space="preserve">190240016872</t>
  </si>
  <si>
    <t xml:space="preserve">Государственное коммунальное предприятие «Городская поликлиника №6» на праве хозяйственного ведения государственного учреждения «Управление здравоохранения Актюбинской области»</t>
  </si>
  <si>
    <t xml:space="preserve">141240016925</t>
  </si>
  <si>
    <t xml:space="preserve">ТОО "Куаныш"</t>
  </si>
  <si>
    <t xml:space="preserve">901240000037</t>
  </si>
  <si>
    <t xml:space="preserve">Государственное коммунальное предприятие «Городская поликлиника №5» на праве хозяйственного ведения государственного учреждения «Управление здравоохранения Актюбинской области»</t>
  </si>
  <si>
    <t xml:space="preserve">141240017389</t>
  </si>
  <si>
    <t xml:space="preserve">ТОО "Biolab Pharm" Premier Med Clinic"</t>
  </si>
  <si>
    <t xml:space="preserve">Государственное коммунальное предприятие "Уилская районная больница" на праве хозяйственного ведения государственного учреждения "Управление здравоохранения Актюбинской области"</t>
  </si>
  <si>
    <t xml:space="preserve">60440006310</t>
  </si>
  <si>
    <t xml:space="preserve">155230100</t>
  </si>
  <si>
    <t xml:space="preserve">Государственное коммунальное предприятие "Шалкарская районная больница" на праве хозяйственного ведения государственного учреждения "Управление здравоохранения Актюбинской области"</t>
  </si>
  <si>
    <t xml:space="preserve">990140004009</t>
  </si>
  <si>
    <t xml:space="preserve">156420100</t>
  </si>
  <si>
    <t xml:space="preserve">ГКП "Айтекебийская районная больница" на праве хозяйственного ведения ГУ "Управление здравоохранения Актюбинской области"</t>
  </si>
  <si>
    <t xml:space="preserve">990240006109</t>
  </si>
  <si>
    <t xml:space="preserve">153430100</t>
  </si>
  <si>
    <t xml:space="preserve">ГКП "Городская многопрофильная больница №2" на ПХВ ГУ "Управление здравоохранения Актюбинской области"</t>
  </si>
  <si>
    <t xml:space="preserve">21140002114</t>
  </si>
  <si>
    <t xml:space="preserve">КАТО в ЦС «РПН» не указан; г. Актобе – по наименованию МО</t>
  </si>
  <si>
    <t xml:space="preserve">ГКП "Городская поликлиника № 7" на ПХВ ГУ "Управление здравоохранения Актюбинской области"</t>
  </si>
  <si>
    <t xml:space="preserve">201240014655</t>
  </si>
  <si>
    <t xml:space="preserve">ГКП "Городская поликлиника №1" на ПХВ ГУ "Управление здравоохранения Актюбинской области"</t>
  </si>
  <si>
    <t xml:space="preserve">740002655</t>
  </si>
  <si>
    <t xml:space="preserve">ГКП "Городская поликлиника №4" на праве хозяйственного ведения ГУ "Управление здравоохранения Актюбинской области"</t>
  </si>
  <si>
    <t xml:space="preserve">20640002615</t>
  </si>
  <si>
    <t xml:space="preserve">ГКП "Кобдинская районная больница" на праве хозяйственного ведения государственного учреждения "Управление здравоохранения Актюбинской области"</t>
  </si>
  <si>
    <t xml:space="preserve">30340003783</t>
  </si>
  <si>
    <t xml:space="preserve">154230100</t>
  </si>
  <si>
    <t xml:space="preserve">ГКП "Мартукская районная больница" на праве хозяйственного ведения государственного учреждения "Управление здравоохранения Актюбинской области"</t>
  </si>
  <si>
    <t xml:space="preserve">990240006713</t>
  </si>
  <si>
    <t xml:space="preserve">154630100</t>
  </si>
  <si>
    <t xml:space="preserve">ГКП "Мугалжарская районная больница" на ПХВ ГУ "Управление здравоохранения Актюбинской области"</t>
  </si>
  <si>
    <t xml:space="preserve">990140003021</t>
  </si>
  <si>
    <t xml:space="preserve">ГКП "Байганинская районная больница" на праве хозяйственного ведения государственного учреждения "Управление здравоохранения Актюбинской области"</t>
  </si>
  <si>
    <t xml:space="preserve">60140002367</t>
  </si>
  <si>
    <t xml:space="preserve">153630100</t>
  </si>
  <si>
    <t xml:space="preserve">ГКП "Центр первичной медико-санитарной помощи №1 города Актобе" на ПХВ ГУ "Управление здравоохранения Актюбинской области"</t>
  </si>
  <si>
    <t xml:space="preserve">170340003910</t>
  </si>
  <si>
    <t xml:space="preserve">ГКП «Эмбинская районная больница» на праве хозяйственного ведения государственного учреждения «Управление здравоохранения Актюбинской области»</t>
  </si>
  <si>
    <t xml:space="preserve">990140001421</t>
  </si>
  <si>
    <t xml:space="preserve">154823100</t>
  </si>
  <si>
    <t xml:space="preserve">Государственное коммунальное предприятие "Алгинская районная больница" на праве хозяйственного ведения государственного учреждения "Управление здравоохранения Актюбинской области"</t>
  </si>
  <si>
    <t xml:space="preserve">990140005008</t>
  </si>
  <si>
    <t xml:space="preserve">153220100</t>
  </si>
  <si>
    <t xml:space="preserve">Государственное коммунальное предприятие "Городская поликлиника №2" на праве хозяйственного ведения государственного учреждения "Управление здравоохранения Актюбинской области"</t>
  </si>
  <si>
    <t xml:space="preserve">20740002074</t>
  </si>
  <si>
    <t xml:space="preserve">Государственное коммунальное предприятие "Городская поликлиника №3" на праве хозяйственного ведения государственного учреждения "Управление здравоохранения Актюбинской области"</t>
  </si>
  <si>
    <t xml:space="preserve">990240006258</t>
  </si>
  <si>
    <t xml:space="preserve">Государственное коммунальное предприятие "Иргизская районная больница" на праве хозяйственного ведения государственного учреждения "Управление здравоохранения Актюбинской области"</t>
  </si>
  <si>
    <t xml:space="preserve">60140005381</t>
  </si>
  <si>
    <t xml:space="preserve">156830100</t>
  </si>
  <si>
    <t xml:space="preserve">ГКП "Хромтауская районная больница" на праве хозяйственного ведения государственного учреждения "Управление здравоохранения Актюбинской области"</t>
  </si>
  <si>
    <t xml:space="preserve">990240006931</t>
  </si>
  <si>
    <t xml:space="preserve">156020100</t>
  </si>
  <si>
    <t xml:space="preserve">Государственное коммунальное предприятие "Каргалинская районная больница" на праве хозяйственного ведения государственного учреждения "Управление здравоохранения Актюбинской области"</t>
  </si>
  <si>
    <t xml:space="preserve">990140004575</t>
  </si>
  <si>
    <t xml:space="preserve">154030100</t>
  </si>
  <si>
    <t xml:space="preserve">АЛМАТИНСКАЯ</t>
  </si>
  <si>
    <t xml:space="preserve">ТОО "DN Medicus Pharm"</t>
  </si>
  <si>
    <t xml:space="preserve">194230100</t>
  </si>
  <si>
    <t xml:space="preserve">ТОО "ID Senim R"</t>
  </si>
  <si>
    <t xml:space="preserve">140940024403</t>
  </si>
  <si>
    <t xml:space="preserve">195220100</t>
  </si>
  <si>
    <t xml:space="preserve">ТОО "iStore"</t>
  </si>
  <si>
    <t xml:space="preserve">171140027556</t>
  </si>
  <si>
    <t xml:space="preserve">194079100</t>
  </si>
  <si>
    <t xml:space="preserve">ТОО "KazMed Company"</t>
  </si>
  <si>
    <t xml:space="preserve">220640002598</t>
  </si>
  <si>
    <t xml:space="preserve">196233100</t>
  </si>
  <si>
    <t xml:space="preserve">ТОО "NOVA INVEST" (НОВА ИНВЕСТ)</t>
  </si>
  <si>
    <t xml:space="preserve">190340023763</t>
  </si>
  <si>
    <t xml:space="preserve">ТОО "Promedical2021"</t>
  </si>
  <si>
    <t xml:space="preserve">210340013878</t>
  </si>
  <si>
    <t xml:space="preserve">196243100</t>
  </si>
  <si>
    <t xml:space="preserve">ТОО "RGK med"</t>
  </si>
  <si>
    <t xml:space="preserve">211040013146</t>
  </si>
  <si>
    <t xml:space="preserve">196837100</t>
  </si>
  <si>
    <t xml:space="preserve">г. Алатау – единственный субъект ПМСП города (подтверждено); КАТО в ЦС «РПН» 196837100 – прежний код Илийского района</t>
  </si>
  <si>
    <t xml:space="preserve">ТОО "Городской центр семейной медицины"</t>
  </si>
  <si>
    <t xml:space="preserve">210940026861</t>
  </si>
  <si>
    <t xml:space="preserve">191010000</t>
  </si>
  <si>
    <t xml:space="preserve">ТОО "Бакай-1"</t>
  </si>
  <si>
    <t xml:space="preserve">160640010476</t>
  </si>
  <si>
    <t xml:space="preserve">194020100</t>
  </si>
  <si>
    <t xml:space="preserve">ТОО "Медицинский центр ЖАНҰЯ ЖҰМАБЕК Мед"</t>
  </si>
  <si>
    <t xml:space="preserve">111140017865</t>
  </si>
  <si>
    <t xml:space="preserve">ТОО "ТАХЕТ"</t>
  </si>
  <si>
    <t xml:space="preserve">840004833</t>
  </si>
  <si>
    <t xml:space="preserve">194067100</t>
  </si>
  <si>
    <t xml:space="preserve">ТОО "ТОО "Talgar Clinic""</t>
  </si>
  <si>
    <t xml:space="preserve">200840013507</t>
  </si>
  <si>
    <t xml:space="preserve">196220100</t>
  </si>
  <si>
    <t xml:space="preserve">ТОО "Daulet medical center"</t>
  </si>
  <si>
    <t xml:space="preserve">40840002735</t>
  </si>
  <si>
    <t xml:space="preserve">196835100</t>
  </si>
  <si>
    <t xml:space="preserve">У-е "Каскеленский платный медицинский центр"</t>
  </si>
  <si>
    <t xml:space="preserve">960240000510</t>
  </si>
  <si>
    <t xml:space="preserve">ТОО "Алат С"</t>
  </si>
  <si>
    <t xml:space="preserve">20640001111</t>
  </si>
  <si>
    <t xml:space="preserve">ТОО "CK-MED"</t>
  </si>
  <si>
    <t xml:space="preserve">195237100</t>
  </si>
  <si>
    <t xml:space="preserve">ТОО "TabibMed"</t>
  </si>
  <si>
    <t xml:space="preserve">150640009916</t>
  </si>
  <si>
    <t xml:space="preserve">ТОО "ALMASEMED"</t>
  </si>
  <si>
    <t xml:space="preserve">170740034280</t>
  </si>
  <si>
    <t xml:space="preserve">ТОО "ASMS Farm"</t>
  </si>
  <si>
    <t xml:space="preserve">190440013191</t>
  </si>
  <si>
    <t xml:space="preserve">196245100</t>
  </si>
  <si>
    <t xml:space="preserve">ГКП на ПВХ "Уйгурская центральная районная больница" ГУ "Управление здравоохранения Алматинской области"</t>
  </si>
  <si>
    <t xml:space="preserve">20240003916</t>
  </si>
  <si>
    <t xml:space="preserve">196630100</t>
  </si>
  <si>
    <t xml:space="preserve">ГКП на праве хозяйственного ведения "Городская многопрофильная больница города Қонаев" государственного учреждения "Управление здравоохранения Алматинской области"</t>
  </si>
  <si>
    <t xml:space="preserve">100340013706</t>
  </si>
  <si>
    <t xml:space="preserve">ГКП на ПХВ "Балхашская центральная районная больница" государственного учреждения "Управление здравоохранения Алматинской области"</t>
  </si>
  <si>
    <t xml:space="preserve">20240003847</t>
  </si>
  <si>
    <t xml:space="preserve">193630100</t>
  </si>
  <si>
    <t xml:space="preserve">ГКП на ПХВ "Районная больница" с.Боралдай Илийского района государственного учреждения "Управления здравоохранения Алматинской области"</t>
  </si>
  <si>
    <t xml:space="preserve">90240011484</t>
  </si>
  <si>
    <t xml:space="preserve">ГКП на ПХВ "Талгарская центральная районная больница" ГУ "Управление здравоохранения Алматинской области"</t>
  </si>
  <si>
    <t xml:space="preserve">100240018397</t>
  </si>
  <si>
    <t xml:space="preserve">Государственное коммунальное предприятие на праве хозяйственного ведения "Илийская центральная районная больница" государственного учреждения "Управления здравоохранения Алматинской области" акимата Алматинской области.</t>
  </si>
  <si>
    <t xml:space="preserve">20240004459</t>
  </si>
  <si>
    <t xml:space="preserve">196830100</t>
  </si>
  <si>
    <t xml:space="preserve">ГКП на ПХВ "Енбекшиказахская многопрофильная центральная районная больница" ГУ "Управление здравоохранение Алматинскоя области"</t>
  </si>
  <si>
    <t xml:space="preserve">100240023650</t>
  </si>
  <si>
    <t xml:space="preserve">КГП на ПХВ "Енбекшиказахская районная больница №1 села Шелек" ГУ "Управление здравоохранения Алматинской области"</t>
  </si>
  <si>
    <t xml:space="preserve">90240005678</t>
  </si>
  <si>
    <t xml:space="preserve">194083100</t>
  </si>
  <si>
    <t xml:space="preserve">КГП на ПХВ "Карасайская клиническая многопрофильная центральная районная больница" ГУ "Управление здравоохранения Алматинской области"</t>
  </si>
  <si>
    <t xml:space="preserve">100340000118</t>
  </si>
  <si>
    <t xml:space="preserve">КГП на ПХВ "Кегенская районная больница" ГУ "Управление здравоохранения Алматинской области"</t>
  </si>
  <si>
    <t xml:space="preserve">20240004627</t>
  </si>
  <si>
    <t xml:space="preserve">195830100</t>
  </si>
  <si>
    <t xml:space="preserve">по наименованию МО (Кегенский район); КАТО в ЦС «РПН» 195830100 – прежний код (Райымбекский район)</t>
  </si>
  <si>
    <t xml:space="preserve">КГП на ПХВ "Райымбекская районная больница" ГУ "Управление здравоохранения Алматинской области"</t>
  </si>
  <si>
    <t xml:space="preserve">90240009402</t>
  </si>
  <si>
    <t xml:space="preserve">195855100</t>
  </si>
  <si>
    <t xml:space="preserve">КАТО по ЦС «РПН» 195855100 в КАТО 18.09.2026 отсутствует – район по первым 4 знакам кода</t>
  </si>
  <si>
    <t xml:space="preserve">Коммунальное государственное предприятия на праве хозяйственного ведения "Жамбылская многопрофильная центральная районная больница" государственного учреждения "Управление здравоохранения Алматинской области"</t>
  </si>
  <si>
    <t xml:space="preserve">100340003293</t>
  </si>
  <si>
    <t xml:space="preserve">Товарищество с ограниченной ответственностью "Центр семейной медицины имени Нурадина Досжанова"</t>
  </si>
  <si>
    <t xml:space="preserve">200640016683</t>
  </si>
  <si>
    <t xml:space="preserve">196839100</t>
  </si>
  <si>
    <t xml:space="preserve">Государственное коммунальное предприятие на праве хозяйственного ведения "Районная больница" с.Каргалы Жамбылского района государственного учреждения "Управление здравоохранения Алматинской области"</t>
  </si>
  <si>
    <t xml:space="preserve">90240008820</t>
  </si>
  <si>
    <t xml:space="preserve">194279100</t>
  </si>
  <si>
    <t xml:space="preserve">АЛМАТЫ</t>
  </si>
  <si>
    <t xml:space="preserve">ТОО "Med Lab экспресс"</t>
  </si>
  <si>
    <t xml:space="preserve">131240008596</t>
  </si>
  <si>
    <t xml:space="preserve">751310000</t>
  </si>
  <si>
    <t xml:space="preserve">ТОО "Smart Health University City"</t>
  </si>
  <si>
    <t xml:space="preserve">140740016118</t>
  </si>
  <si>
    <t xml:space="preserve">751410000</t>
  </si>
  <si>
    <t xml:space="preserve">ТОО "SadAli Group"</t>
  </si>
  <si>
    <t xml:space="preserve">160340019290</t>
  </si>
  <si>
    <t xml:space="preserve">ТОО "Qamqor Сlinic Almaty"</t>
  </si>
  <si>
    <t xml:space="preserve">220740040841</t>
  </si>
  <si>
    <t xml:space="preserve">ТОО "Open medical channel"</t>
  </si>
  <si>
    <t xml:space="preserve">80440002679</t>
  </si>
  <si>
    <t xml:space="preserve">751210000</t>
  </si>
  <si>
    <t xml:space="preserve">ТОО "Nurlab medical clinic №1"</t>
  </si>
  <si>
    <t xml:space="preserve">220740013359</t>
  </si>
  <si>
    <t xml:space="preserve">751510000</t>
  </si>
  <si>
    <t xml:space="preserve">Республиканское государственное предприятие на праве хозяйственного ведения "Национальный госпиталь Медицинского центра Управления делами Президента Республики Казахстан"</t>
  </si>
  <si>
    <t xml:space="preserve">231040023028</t>
  </si>
  <si>
    <t xml:space="preserve">751110000</t>
  </si>
  <si>
    <t xml:space="preserve">ТОО "D0CT0R H@USE"</t>
  </si>
  <si>
    <t xml:space="preserve">170140027682</t>
  </si>
  <si>
    <t xml:space="preserve">ТОО "Almaty Clinic"</t>
  </si>
  <si>
    <t xml:space="preserve">210740011142</t>
  </si>
  <si>
    <t xml:space="preserve">751710000</t>
  </si>
  <si>
    <t xml:space="preserve">ТОО "A CLINIC"</t>
  </si>
  <si>
    <t xml:space="preserve">990240017293</t>
  </si>
  <si>
    <t xml:space="preserve">ТОО " "Алгамед""</t>
  </si>
  <si>
    <t xml:space="preserve">160440026732</t>
  </si>
  <si>
    <t xml:space="preserve">Товарищество с ограниченной ответственностью "NaraMed"</t>
  </si>
  <si>
    <t xml:space="preserve">230740041326</t>
  </si>
  <si>
    <t xml:space="preserve">Товарищество с ограниченной ответственностью "LS-clinic"</t>
  </si>
  <si>
    <t xml:space="preserve">100640010465</t>
  </si>
  <si>
    <t xml:space="preserve">ТОО "АСМЕД Тургут Озала"</t>
  </si>
  <si>
    <t xml:space="preserve">20940005809</t>
  </si>
  <si>
    <t xml:space="preserve">551010000</t>
  </si>
  <si>
    <t xml:space="preserve">область прикрепления в ЦС «РПН» – г. Алматы; КАТО 551010000 (г. Павлодар) не соответствует области прикрепления – принят г. Алматы, требует подтверждения</t>
  </si>
  <si>
    <t xml:space="preserve">НАО "КазНМУ"</t>
  </si>
  <si>
    <t xml:space="preserve">181240006407</t>
  </si>
  <si>
    <t xml:space="preserve">ТОО "HAYY CLINIC"</t>
  </si>
  <si>
    <t xml:space="preserve">231040037672</t>
  </si>
  <si>
    <t xml:space="preserve">ТОО "Городская клиническая больница №8 УОЗ г.Алматы"</t>
  </si>
  <si>
    <t xml:space="preserve">180440022199</t>
  </si>
  <si>
    <t xml:space="preserve">751910000</t>
  </si>
  <si>
    <t xml:space="preserve">ТОО "Медицинский центр "Med City"</t>
  </si>
  <si>
    <t xml:space="preserve">220240030777</t>
  </si>
  <si>
    <t xml:space="preserve">751810000</t>
  </si>
  <si>
    <t xml:space="preserve">ТОО "Каусар Плюс"</t>
  </si>
  <si>
    <t xml:space="preserve">131040023760</t>
  </si>
  <si>
    <t xml:space="preserve">Коммунальное государственное предприятие на праве хозяйственного ведения "Центр первичной медико-санитарной помощи Алмалинского района" Управления общественного здравоохранения города Алматы</t>
  </si>
  <si>
    <t xml:space="preserve">40340003973</t>
  </si>
  <si>
    <t xml:space="preserve">ТОО "Центральная семейная поликлиника города Алматы"</t>
  </si>
  <si>
    <t xml:space="preserve">40240003345</t>
  </si>
  <si>
    <t xml:space="preserve">ТОО "Республиканский семейно- врачебный центр"</t>
  </si>
  <si>
    <t xml:space="preserve">20740002381</t>
  </si>
  <si>
    <t xml:space="preserve">ТОО "Региональный Диагностический Центр"</t>
  </si>
  <si>
    <t xml:space="preserve">990240002651</t>
  </si>
  <si>
    <t xml:space="preserve">ТОО "Поликлиника Саялы"</t>
  </si>
  <si>
    <t xml:space="preserve">201240010404</t>
  </si>
  <si>
    <t xml:space="preserve">ТОО "ПОЛИКЛИНИКА №55"</t>
  </si>
  <si>
    <t xml:space="preserve">140440000943</t>
  </si>
  <si>
    <t xml:space="preserve">ТОО "Поликлиника "СУНКАР-II"</t>
  </si>
  <si>
    <t xml:space="preserve">990940004980</t>
  </si>
  <si>
    <t xml:space="preserve">ТОО "Достар Мед"</t>
  </si>
  <si>
    <t xml:space="preserve">10740001659</t>
  </si>
  <si>
    <t xml:space="preserve">ТОО "Медцентр-Рахат"</t>
  </si>
  <si>
    <t xml:space="preserve">110540020599</t>
  </si>
  <si>
    <t xml:space="preserve">ТОО "Медицинский центр ХАК"</t>
  </si>
  <si>
    <t xml:space="preserve">10940000529</t>
  </si>
  <si>
    <t xml:space="preserve">ТОО "Медицинский центр "MedLine"</t>
  </si>
  <si>
    <t xml:space="preserve">80240012827</t>
  </si>
  <si>
    <t xml:space="preserve">ТОО "Маksat МеД"</t>
  </si>
  <si>
    <t xml:space="preserve">90640010748</t>
  </si>
  <si>
    <t xml:space="preserve">ТОО "Лечебно-оздоровительный центр Биоритм"</t>
  </si>
  <si>
    <t xml:space="preserve">110240015077</t>
  </si>
  <si>
    <t xml:space="preserve">ТОО "ЛДЦ Азия Мед"</t>
  </si>
  <si>
    <t xml:space="preserve">190140034897</t>
  </si>
  <si>
    <t xml:space="preserve">ТОО "Клиника "AMD"</t>
  </si>
  <si>
    <t xml:space="preserve">101140004970</t>
  </si>
  <si>
    <t xml:space="preserve">ТОО "Керуен-Mеdicus на Шарипова"</t>
  </si>
  <si>
    <t xml:space="preserve">230440031665</t>
  </si>
  <si>
    <t xml:space="preserve">ТОО "Медсервисхирургия"</t>
  </si>
  <si>
    <t xml:space="preserve">60340003779</t>
  </si>
  <si>
    <t xml:space="preserve">Коммунальное государственное предприятие на праве хозяйственного ведения "Центр первичной медико-санитарной помощи "Кулагер" Управления общественного здравоохранения города Алматы</t>
  </si>
  <si>
    <t xml:space="preserve">80940013246</t>
  </si>
  <si>
    <t xml:space="preserve">ТОО "Alatau Assistance"</t>
  </si>
  <si>
    <t xml:space="preserve">140540014838</t>
  </si>
  <si>
    <t xml:space="preserve">Коммунальное государственное предприятие на праве хозяйственного ведения "Городская поликлиника ветеранов Великой Отечественной войны" Управления общественного здравоохранения города Алматы</t>
  </si>
  <si>
    <t xml:space="preserve">990240002849</t>
  </si>
  <si>
    <t xml:space="preserve">Коммунальное государственное предприятие на праве хозяйственного ведения "Городская поликлиника № 36" Управления общественного здравоохранения города Алматы</t>
  </si>
  <si>
    <t xml:space="preserve">170740011310</t>
  </si>
  <si>
    <t xml:space="preserve">Коммунальное государственное предприятие на праве хозяйственного ведения "Городская поликлиника № 32" Управления общественного здравоохранения города Алматы</t>
  </si>
  <si>
    <t xml:space="preserve">40240003187</t>
  </si>
  <si>
    <t xml:space="preserve">Коммунальное государственное предприятие на праве хозяйственного ведения "Городская поликлиника № 3" Управления общественного здравоохранения города Алматы</t>
  </si>
  <si>
    <t xml:space="preserve">990240003124</t>
  </si>
  <si>
    <t xml:space="preserve">Коммунальное государственное предприятие на праве хозяйственного ведения "Городская поликлиника № 24" Управления общественного здравоохранения города Алматы</t>
  </si>
  <si>
    <t xml:space="preserve">130240008771</t>
  </si>
  <si>
    <t xml:space="preserve">Коммунальное государственное предприятие на праве хозяйственного ведения "Городская поликлиника № 18" Управления общественного здравоохранения города Алматы</t>
  </si>
  <si>
    <t xml:space="preserve">990740001502</t>
  </si>
  <si>
    <t xml:space="preserve">Коммунальное государственное предприятие на праве хозяйственного ведения "Городская поликлиника № 16" Управления общественного здравоохранения города Алматы</t>
  </si>
  <si>
    <t xml:space="preserve">990340002645</t>
  </si>
  <si>
    <t xml:space="preserve">Коммунальное государственное предприятие на праве хозяйственного ведения "Городская поликлиника № 15" Управления общественного здравоохранения города Алматы</t>
  </si>
  <si>
    <t xml:space="preserve">990740001483</t>
  </si>
  <si>
    <t xml:space="preserve">Коммунальное государственное предприятие на праве хозяйственного ведения "Городская поликлиника № 4" Управления общественного здравоохранения города Алматы</t>
  </si>
  <si>
    <t xml:space="preserve">990240003471</t>
  </si>
  <si>
    <t xml:space="preserve">Коммунальное государственное предприятие на праве хозяйственного ведения "Городская поликлиника № 13" Управления общественного здравоохранения города Алматы</t>
  </si>
  <si>
    <t xml:space="preserve">11240001891</t>
  </si>
  <si>
    <t xml:space="preserve">Коммунальное государственное предприятие на праве хозяйственного ведения "Городская поликлиника № 11" Управления общественного здравоохранения города Алматы</t>
  </si>
  <si>
    <t xml:space="preserve">990240003005</t>
  </si>
  <si>
    <t xml:space="preserve">Коммунальное государственное предприятие на праве хозяйственного ведения "Городская поликлиника № 10" Управления общественного здравоохранения города Алматы</t>
  </si>
  <si>
    <t xml:space="preserve">990240002661</t>
  </si>
  <si>
    <t xml:space="preserve">Коммунальное государственное предприятие на праве хозяйственного ведения "Городская поликлиника № 1" Управления общественного здравоохранения города Алматы</t>
  </si>
  <si>
    <t xml:space="preserve">990240001960</t>
  </si>
  <si>
    <t xml:space="preserve">Коммунальное государственное предприятие на праве хозяйственного ведения "Городская клиническая больница № 7" Управления общественного здравоохранения города Алматы</t>
  </si>
  <si>
    <t xml:space="preserve">990240002502</t>
  </si>
  <si>
    <t xml:space="preserve">Коммунальное государственное предприятие на праве хозяйственного ведения "Городская клиническая больница № 5" Управления общественного здравоохранения города Алматы</t>
  </si>
  <si>
    <t xml:space="preserve">990240002919</t>
  </si>
  <si>
    <t xml:space="preserve">Коммунальное государственное предприятие на праве хозяйственного ведения "Городская больница "Алатау" Управления общественного здравоохранения города Алматы</t>
  </si>
  <si>
    <t xml:space="preserve">990740000425</t>
  </si>
  <si>
    <t xml:space="preserve">КГП на ПХВ "Городская поликлиника №22" Управления общественного здравоохранения города Алматы</t>
  </si>
  <si>
    <t xml:space="preserve">100740012346</t>
  </si>
  <si>
    <t xml:space="preserve">Коммунальное государственное предприятие на праве хозяйственного ведения "Городская поликлиника № 12" Управления общественного здравоохранения города Алматы</t>
  </si>
  <si>
    <t xml:space="preserve">990240002825</t>
  </si>
  <si>
    <t xml:space="preserve">Коммунальное государственное предприятие на праве хозяйственного ведения "Городская поликлиника № 5" Управление общественного здравоохранения города Алматы</t>
  </si>
  <si>
    <t xml:space="preserve">990240002572</t>
  </si>
  <si>
    <t xml:space="preserve">Коммунальное государственное предприятие на праве хозяйственного ведения "Центр первичной медико - санитарной помощи Жетысуского района" Управления общественного здравоохранения города Алматы</t>
  </si>
  <si>
    <t xml:space="preserve">240140015238</t>
  </si>
  <si>
    <t xml:space="preserve">Коммунальное государственное предприятие на праве хозяйственного ведения "Городская поликлиника № 9" Управления общественного здравоохранения города Алматы</t>
  </si>
  <si>
    <t xml:space="preserve">990240003035</t>
  </si>
  <si>
    <t xml:space="preserve">Коммунальное государственное предприятие на праве хозяйственного ведения "Городская поликлиника № 8" Управления общественного здравоохранения города Алматы</t>
  </si>
  <si>
    <t xml:space="preserve">990240003045</t>
  </si>
  <si>
    <t xml:space="preserve">Коммунальное государственное предприятие на праве хозяйственного ведения "Городская поликлиника №7" Управления общественного здравоохранения города Алматы</t>
  </si>
  <si>
    <t xml:space="preserve">990340000242</t>
  </si>
  <si>
    <t xml:space="preserve">Коммунальное государственное предприятие на праве хозяйственного ведения "Городская поликлиника №6" Управления общественного здравоохранения города Алматы</t>
  </si>
  <si>
    <t xml:space="preserve">1240001919</t>
  </si>
  <si>
    <t xml:space="preserve">Коммунальное государственное предприятие на праве хозяйственного ведения "Городская поликлиника №35" Управления общественного здравоохранения города Алматы</t>
  </si>
  <si>
    <t xml:space="preserve">40240003197</t>
  </si>
  <si>
    <t xml:space="preserve">Коммунальное государственное предприятие на праве хозяйственного ведения "Городская поликлиника №30" Управления общественного здравоохранения города Алматы</t>
  </si>
  <si>
    <t xml:space="preserve">40340003894</t>
  </si>
  <si>
    <t xml:space="preserve">Коммунальное государственное предприятие на праве хозяйственного ведения "Городская поликлиника №28" Управления общественного здравоохранения города Алматы.</t>
  </si>
  <si>
    <t xml:space="preserve">160140000768</t>
  </si>
  <si>
    <t xml:space="preserve">Коммунальное государственное предприятие на праве хозяйственного ведения "Городская поликлиника №27" Управления общественного здравоохранения города Алматы</t>
  </si>
  <si>
    <t xml:space="preserve">150740013988</t>
  </si>
  <si>
    <t xml:space="preserve">Коммунальное государственное предприятие на праве хозяйственного ведения "Городская поликлиника №26" Управления общественного здравоохранения города Алматы</t>
  </si>
  <si>
    <t xml:space="preserve">150740015072</t>
  </si>
  <si>
    <t xml:space="preserve">Коммунальное государственное предприятие на праве хозяйственного ведения "Городская поликлиника №29" Управления общественного здравоохранения города Алматы</t>
  </si>
  <si>
    <t xml:space="preserve">151040011552</t>
  </si>
  <si>
    <t xml:space="preserve">Коммунальное государственное предприятие на праве хозяйственного ведения "Городская поликлиника №23" Управления общественного здравоохранения города Алматы</t>
  </si>
  <si>
    <t xml:space="preserve">130240026620</t>
  </si>
  <si>
    <t xml:space="preserve">Коммунальное государственное предприятие на праве хозяйственного ведения "Городская поликлиника №21" Управления общественного здравоохранения города Алматы</t>
  </si>
  <si>
    <t xml:space="preserve">100140005292</t>
  </si>
  <si>
    <t xml:space="preserve">Коммунальное государственное предприятие на праве хозяйственного ведения "Городская поликлиника №20" Управления общественного здравоохранения города Алматы"</t>
  </si>
  <si>
    <t xml:space="preserve">81240013808</t>
  </si>
  <si>
    <t xml:space="preserve">Коммунальное государственное предприятие на праве хозяйственного ведения "Городская поликлиника №2" Управления общественного здравоохранения города Алматы</t>
  </si>
  <si>
    <t xml:space="preserve">990240002710</t>
  </si>
  <si>
    <t xml:space="preserve">Коммунальное государственное предприятие на праве хозяйственного ведения "Городская поликлиника №19" Управления общественного здравоохранения города Алматы</t>
  </si>
  <si>
    <t xml:space="preserve">90140017707</t>
  </si>
  <si>
    <t xml:space="preserve">Коммунальное государственное предприятие на праве хозяйственного ведения "Городская поликлиника №17" Управления общественного здравоохранения города Алматы</t>
  </si>
  <si>
    <t xml:space="preserve">990640000184</t>
  </si>
  <si>
    <t xml:space="preserve">Коммунальное государственное предприятие на праве хозяйственного ведения "Городская поликлиника №25" Управления общественного здравоохранения города Алматы</t>
  </si>
  <si>
    <t xml:space="preserve">990840000101</t>
  </si>
  <si>
    <t xml:space="preserve">Коммунальное государственное предприятие на праве хозяйственного ведения "Городская поликлиника №14" Управления общественного здравоохранения города Алматы</t>
  </si>
  <si>
    <t xml:space="preserve">990840001447</t>
  </si>
  <si>
    <t xml:space="preserve">АСТАНА</t>
  </si>
  <si>
    <t xml:space="preserve">ТОО "Городская поликлиника №15"</t>
  </si>
  <si>
    <t xml:space="preserve">230340000097</t>
  </si>
  <si>
    <t xml:space="preserve">711110000</t>
  </si>
  <si>
    <t xml:space="preserve">ТОО "Uveik Qazaqstan"</t>
  </si>
  <si>
    <t xml:space="preserve">160540020668</t>
  </si>
  <si>
    <t xml:space="preserve">ТОО "ULY DALA CLINIC"</t>
  </si>
  <si>
    <t xml:space="preserve">190140022467</t>
  </si>
  <si>
    <t xml:space="preserve">711210000</t>
  </si>
  <si>
    <t xml:space="preserve">ТОО "Otbasy clinic"</t>
  </si>
  <si>
    <t xml:space="preserve">220140012933</t>
  </si>
  <si>
    <t xml:space="preserve">ТОО "Sana Vita clinic"</t>
  </si>
  <si>
    <t xml:space="preserve">90340017685</t>
  </si>
  <si>
    <t xml:space="preserve">ТОО "Интертич Астана Медицинский Ассистанс"</t>
  </si>
  <si>
    <t xml:space="preserve">20340006260</t>
  </si>
  <si>
    <t xml:space="preserve">711310000</t>
  </si>
  <si>
    <t xml:space="preserve">ТОО "ONEGE Емдеу"</t>
  </si>
  <si>
    <t xml:space="preserve">190640030793</t>
  </si>
  <si>
    <t xml:space="preserve">ТОО "SENIM CLINIC"</t>
  </si>
  <si>
    <t xml:space="preserve">190440021886</t>
  </si>
  <si>
    <t xml:space="preserve">ТОО "Клиника семейных врачей"</t>
  </si>
  <si>
    <t xml:space="preserve">160740001103</t>
  </si>
  <si>
    <t xml:space="preserve">ТОО "ЦСЗ Шипагер"</t>
  </si>
  <si>
    <t xml:space="preserve">170640014619</t>
  </si>
  <si>
    <t xml:space="preserve">ТОО "Медикер Астана"</t>
  </si>
  <si>
    <t xml:space="preserve">141140024902</t>
  </si>
  <si>
    <t xml:space="preserve">711510000</t>
  </si>
  <si>
    <t xml:space="preserve">ТОО "Медицинский центр МУА"</t>
  </si>
  <si>
    <t xml:space="preserve">990840001704</t>
  </si>
  <si>
    <t xml:space="preserve">ТОО "Ортопедический центр "Экстра комфорт"</t>
  </si>
  <si>
    <t xml:space="preserve">111040014440</t>
  </si>
  <si>
    <t xml:space="preserve">ТОО "Поликлиника Аспан"</t>
  </si>
  <si>
    <t xml:space="preserve">200940004165</t>
  </si>
  <si>
    <t xml:space="preserve">ТОО "Салауатты Астана"</t>
  </si>
  <si>
    <t xml:space="preserve">120440024144</t>
  </si>
  <si>
    <t xml:space="preserve">ТОО "ЦЕНТР СЕМЕЙНОГО ЗДОРОВЬЯ И СЧАСТЬЯ "ОНЕГЕ"</t>
  </si>
  <si>
    <t xml:space="preserve">201040001884</t>
  </si>
  <si>
    <t xml:space="preserve">ТОО "ONEGE KOKTAL"</t>
  </si>
  <si>
    <t xml:space="preserve">150640005091</t>
  </si>
  <si>
    <t xml:space="preserve">ТОО «Поликлиника «CITY»</t>
  </si>
  <si>
    <t xml:space="preserve">180240025700</t>
  </si>
  <si>
    <t xml:space="preserve">Учреждение "Кировская семейная врачебная амбулатория"</t>
  </si>
  <si>
    <t xml:space="preserve">980340003572</t>
  </si>
  <si>
    <t xml:space="preserve">ТОО "КСМК "ЖАНҰЯ"</t>
  </si>
  <si>
    <t xml:space="preserve">180140017161</t>
  </si>
  <si>
    <t xml:space="preserve">ТОО "KOKTAL CLINIC"</t>
  </si>
  <si>
    <t xml:space="preserve">180540030669</t>
  </si>
  <si>
    <t xml:space="preserve">РГП на ПХВ "РЦПМСП" МЗ РК</t>
  </si>
  <si>
    <t xml:space="preserve">140240003247</t>
  </si>
  <si>
    <t xml:space="preserve">110440001252</t>
  </si>
  <si>
    <t xml:space="preserve">ГКП на ПХВ "Городская поликлиника № 1" акимата города Астаны</t>
  </si>
  <si>
    <t xml:space="preserve">990240003263</t>
  </si>
  <si>
    <t xml:space="preserve">ГКП на ПХВ "Городская поликлиника № 13" акимата города Астаны</t>
  </si>
  <si>
    <t xml:space="preserve">440001359</t>
  </si>
  <si>
    <t xml:space="preserve">ГКП на ПХВ "Городская поликлиника № 2" акимата города Астана</t>
  </si>
  <si>
    <t xml:space="preserve">990240003184</t>
  </si>
  <si>
    <t xml:space="preserve">ГКП на ПХВ "Городская поликлиника № 4" акимата города Астана</t>
  </si>
  <si>
    <t xml:space="preserve">70440005285</t>
  </si>
  <si>
    <t xml:space="preserve">ТОО "Green clinic"</t>
  </si>
  <si>
    <t xml:space="preserve">110340019261</t>
  </si>
  <si>
    <t xml:space="preserve">ГКП на ПХВ "Городская поликлиника № 7" акимата города Астана</t>
  </si>
  <si>
    <t xml:space="preserve">70740004842</t>
  </si>
  <si>
    <t xml:space="preserve">ГКП на ПХВ "Городская поликлиника № 9" акимата города Астана</t>
  </si>
  <si>
    <t xml:space="preserve">150640025620</t>
  </si>
  <si>
    <t xml:space="preserve">ГКП на ПХВ "Городская поликлиника №11" акимата города Астаны</t>
  </si>
  <si>
    <t xml:space="preserve">130840021681</t>
  </si>
  <si>
    <t xml:space="preserve">КАТО в ЦС «РПН» не указан; город – по области прикрепления в ЦС «РПН»</t>
  </si>
  <si>
    <t xml:space="preserve">ГКП на ПХВ "Городская поликлиника № 5" акимата города Астаны</t>
  </si>
  <si>
    <t xml:space="preserve">70740004911</t>
  </si>
  <si>
    <t xml:space="preserve">ГКП на ПХВ "Городская поликлиника №6" акимата города Астаны</t>
  </si>
  <si>
    <t xml:space="preserve">130840022632</t>
  </si>
  <si>
    <t xml:space="preserve">ГКП на ПХВ "Городская поликлиника №12" акимата города Астаны</t>
  </si>
  <si>
    <t xml:space="preserve">161240018777</t>
  </si>
  <si>
    <t xml:space="preserve">ТОО "Astana Clinic"</t>
  </si>
  <si>
    <t xml:space="preserve">170440015213</t>
  </si>
  <si>
    <t xml:space="preserve">Товарищество с ограниченной ответственностью "Медикер Педиатрия"</t>
  </si>
  <si>
    <t xml:space="preserve">140540020357</t>
  </si>
  <si>
    <t xml:space="preserve">Негосударственное учреждение семейная врачебная амбулатория "ИНТЕРТИЧ" города Астана</t>
  </si>
  <si>
    <t xml:space="preserve">990740005565</t>
  </si>
  <si>
    <t xml:space="preserve">ГКП на ПХВ "Городская поликлиника № 8" акимата города Астана</t>
  </si>
  <si>
    <t xml:space="preserve">70740003864</t>
  </si>
  <si>
    <t xml:space="preserve">ГУ "Центральный госпиталь с поликлиникой Министерства внутренних дел Республики Казахстан"</t>
  </si>
  <si>
    <t xml:space="preserve">10240001998</t>
  </si>
  <si>
    <t xml:space="preserve">Государственное коммунальное предприятие на праве хозяйственного ведения "Городская поликлиника № 3" акимата города Астаны</t>
  </si>
  <si>
    <t xml:space="preserve">990240003233</t>
  </si>
  <si>
    <t xml:space="preserve">ГКП на ПХВ «Городская поликлиника № 14» акимата города Астаны</t>
  </si>
  <si>
    <t xml:space="preserve">200940029071</t>
  </si>
  <si>
    <t xml:space="preserve">КФ "UMC"</t>
  </si>
  <si>
    <t xml:space="preserve">151040018391</t>
  </si>
  <si>
    <t xml:space="preserve">АТЫРАУСКАЯ</t>
  </si>
  <si>
    <t xml:space="preserve">Коммунальное государственное предприятие на праве хозяйственного ведения "Атырауская городская поликлиника №7" Управления здравоохранения Атырауской области</t>
  </si>
  <si>
    <t xml:space="preserve">110240008679</t>
  </si>
  <si>
    <t xml:space="preserve">231010000</t>
  </si>
  <si>
    <t xml:space="preserve">ТОО "Салимжан и К"</t>
  </si>
  <si>
    <t xml:space="preserve">970740003129</t>
  </si>
  <si>
    <t xml:space="preserve">231053100</t>
  </si>
  <si>
    <t xml:space="preserve">ТОО "Достар Мед Престиж"</t>
  </si>
  <si>
    <t xml:space="preserve">90640005662</t>
  </si>
  <si>
    <t xml:space="preserve">ТОО "Альянс Медикал"</t>
  </si>
  <si>
    <t xml:space="preserve">60840012934</t>
  </si>
  <si>
    <t xml:space="preserve">ТОО "Актобе Транзит Экспедишн"</t>
  </si>
  <si>
    <t xml:space="preserve">40740011423</t>
  </si>
  <si>
    <t xml:space="preserve">Товарищество с ограниченной ответственностью "Медикер Жайык"</t>
  </si>
  <si>
    <t xml:space="preserve">141140023419</t>
  </si>
  <si>
    <t xml:space="preserve">Товарищество с ограниченной ответственностью "AB medical"</t>
  </si>
  <si>
    <t xml:space="preserve">131140016147</t>
  </si>
  <si>
    <t xml:space="preserve">Коммунальное государственное предприятия на праве хозяйственного ведения «Кызылкогинская районная больница» Управления здравоохранения Атырауской области»</t>
  </si>
  <si>
    <t xml:space="preserve">70240006286</t>
  </si>
  <si>
    <t xml:space="preserve">234830100</t>
  </si>
  <si>
    <t xml:space="preserve">Коммунальное государственное предприятие на праве хозяйственного ведения "Макатская районная больница" Управления здравоохранения Атырауской области</t>
  </si>
  <si>
    <t xml:space="preserve">131040025975</t>
  </si>
  <si>
    <t xml:space="preserve">235230100</t>
  </si>
  <si>
    <t xml:space="preserve">Частное учреждение "СЕМЕЙНО-ВРАЧЕБНАЯ АМБУЛАТОРИЯ ИНТЕРТИЧ ГОРОДА АТЫРАУ И АТЫРАУСКОЙ ОБЛАСТИ"</t>
  </si>
  <si>
    <t xml:space="preserve">10840006881</t>
  </si>
  <si>
    <t xml:space="preserve">Коммунальное государственное предприятие на праве хозяйственного ведения "Атырауская городская поликлиника №6" Управления здравоохранения Атырауской области</t>
  </si>
  <si>
    <t xml:space="preserve">70140004543</t>
  </si>
  <si>
    <t xml:space="preserve">Коммунальное государственное предприятие на праве хозяйственного ведения "Атырауская городская поликлиника №4" Управления здравоохранения Атырауской области</t>
  </si>
  <si>
    <t xml:space="preserve">990240002512</t>
  </si>
  <si>
    <t xml:space="preserve">Коммунальное государственное предприятие на праве хозяйственного ведения "Атырауская городская поликлиника №3" Управления здравоохранения Атырауской области</t>
  </si>
  <si>
    <t xml:space="preserve">10940002109</t>
  </si>
  <si>
    <t xml:space="preserve">Коммунальное государственное предприятие "Атырауская городская поликлиника №2" Управления здравоохранения Атырауской области</t>
  </si>
  <si>
    <t xml:space="preserve">990140001401</t>
  </si>
  <si>
    <t xml:space="preserve">КГП на ПХВ «Махамбетская районная больница» Управления здравоохранения Атырауской области»</t>
  </si>
  <si>
    <t xml:space="preserve">70140004523</t>
  </si>
  <si>
    <t xml:space="preserve">235630100</t>
  </si>
  <si>
    <t xml:space="preserve">КГП на ПХВ «Исатайская районная больница» Управления здравоохранения Атырауской области»</t>
  </si>
  <si>
    <t xml:space="preserve">70240006117</t>
  </si>
  <si>
    <t xml:space="preserve">234230100</t>
  </si>
  <si>
    <t xml:space="preserve">КГП на ПХВ "Дамбинский центр первичной медико - санитарной помощи" Управления здравоохранения Атырауской области</t>
  </si>
  <si>
    <t xml:space="preserve">70140004563</t>
  </si>
  <si>
    <t xml:space="preserve">КГП на праве хозяйственного ведения "Курмангазинская районная больница" Управления здровоохранения Атырауской области</t>
  </si>
  <si>
    <t xml:space="preserve">70240006206</t>
  </si>
  <si>
    <t xml:space="preserve">234630100</t>
  </si>
  <si>
    <t xml:space="preserve">КГП на праве хозяйственного ведения "Индерская районная больница" Управления здравоохранения Атырауской области."</t>
  </si>
  <si>
    <t xml:space="preserve">70240006048</t>
  </si>
  <si>
    <t xml:space="preserve">234030100</t>
  </si>
  <si>
    <t xml:space="preserve">КГП на праве хозяйственного ведения "Жылыойская центральная районная больница" Управления здравоохранения Атырауской области</t>
  </si>
  <si>
    <t xml:space="preserve">40940002967</t>
  </si>
  <si>
    <t xml:space="preserve">233620100</t>
  </si>
  <si>
    <t xml:space="preserve">КГП "Атырауская городская поликлиника №1" Управления здравоохранения Атырауской области</t>
  </si>
  <si>
    <t xml:space="preserve">990240002691</t>
  </si>
  <si>
    <t xml:space="preserve">Коммунальное государственное предприятие на праве хозяйственного ведения "Атырауская городская поликлиника №5" Управления здравоохранения Атырауской области</t>
  </si>
  <si>
    <t xml:space="preserve">70140004434</t>
  </si>
  <si>
    <t xml:space="preserve">ВОСТОЧНО-КАЗАХСТАНСКАЯ</t>
  </si>
  <si>
    <t xml:space="preserve">ТОО "Status Medical Center"</t>
  </si>
  <si>
    <t xml:space="preserve">130440005090</t>
  </si>
  <si>
    <t xml:space="preserve">631010000</t>
  </si>
  <si>
    <t xml:space="preserve">ТОО "TAU Clinic"</t>
  </si>
  <si>
    <t xml:space="preserve">250740006857</t>
  </si>
  <si>
    <t xml:space="preserve">ТОО "ВИТА-1"</t>
  </si>
  <si>
    <t xml:space="preserve">961140002398</t>
  </si>
  <si>
    <t xml:space="preserve">ТОО "Врачебная амбулатория Денсаулық"</t>
  </si>
  <si>
    <t xml:space="preserve">160540024531</t>
  </si>
  <si>
    <t xml:space="preserve">ТОО "ЕМ АЛУ плюс"</t>
  </si>
  <si>
    <t xml:space="preserve">120540003145</t>
  </si>
  <si>
    <t xml:space="preserve">Учреждение "СВА МСЧ-2"</t>
  </si>
  <si>
    <t xml:space="preserve">981240002523</t>
  </si>
  <si>
    <t xml:space="preserve">ТОО "Моя Семейная амбулатория"</t>
  </si>
  <si>
    <t xml:space="preserve">971140002260</t>
  </si>
  <si>
    <t xml:space="preserve">ТОО "Центр семейного здоровья Авиценна ВКО"</t>
  </si>
  <si>
    <t xml:space="preserve">150540000671</t>
  </si>
  <si>
    <t xml:space="preserve">У-е "Амбулаторный центр"</t>
  </si>
  <si>
    <t xml:space="preserve">980140003783</t>
  </si>
  <si>
    <t xml:space="preserve">У-е "Левобережная клиника"</t>
  </si>
  <si>
    <t xml:space="preserve">980740002777</t>
  </si>
  <si>
    <t xml:space="preserve">Коммунальное государственное предприятие на праве хозяйственного ведения «Районная больница района Үлкен Нарын» управления здравоохранения Восточно-Казахстанской области</t>
  </si>
  <si>
    <t xml:space="preserve">80640011417</t>
  </si>
  <si>
    <t xml:space="preserve">635430100</t>
  </si>
  <si>
    <t xml:space="preserve">по наименованию МО (район Үлкен Нарын); КАТО в ЦС «РПН» 635430100 – с. Катон-Карагай (юридический адрес)</t>
  </si>
  <si>
    <t xml:space="preserve">ТОО "Защитинская железнодорожная больница"</t>
  </si>
  <si>
    <t xml:space="preserve">180440019892</t>
  </si>
  <si>
    <t xml:space="preserve">Коммунальное государственное предприятие на праве хозяйственного ведения "Районная больница Катон-Карагайского района" управления здравоохранения Восточно-Казахстанской области</t>
  </si>
  <si>
    <t xml:space="preserve">80640011744</t>
  </si>
  <si>
    <t xml:space="preserve">635443100</t>
  </si>
  <si>
    <t xml:space="preserve">КАТО по ЦС «РПН» 635443100 в КАТО 18.09.2026 отсутствует – район по первым 4 знакам кода</t>
  </si>
  <si>
    <t xml:space="preserve">Коммунальное государственное предприятие на праве хозяйственного ведения "Районная больница Уланского района" управления здравоохранения Восточно-Казахстанской области</t>
  </si>
  <si>
    <t xml:space="preserve">80540018321</t>
  </si>
  <si>
    <t xml:space="preserve">636269100</t>
  </si>
  <si>
    <t xml:space="preserve">КГП на ПХВ "Межрайонная больница района Алтай" управления здравоохранения Восточно-Казахстанской области</t>
  </si>
  <si>
    <t xml:space="preserve">130440013041</t>
  </si>
  <si>
    <t xml:space="preserve">634820100</t>
  </si>
  <si>
    <t xml:space="preserve">Коммунальное государственное предприятие на праве хозяйственного ведения "Поликлиника № 1 города Усть-Каменогорска" управления здравоохранения Восточно-Казахстанской области</t>
  </si>
  <si>
    <t xml:space="preserve">110940015914</t>
  </si>
  <si>
    <t xml:space="preserve">Коммунальное государственное предприятие на праве хозяйственного ведения "Городская поликлиника № 2 города Усть-Каменогорск" управления здравоохранения Восточно-Казахстанского областного акимата</t>
  </si>
  <si>
    <t xml:space="preserve">80740001812</t>
  </si>
  <si>
    <t xml:space="preserve">КГП на ПХВ "Центр первичной медико-санитарной помощи № 1 города Усть-Каменогорска" управления здравоохранения Восточно-Казахстанской области</t>
  </si>
  <si>
    <t xml:space="preserve">990440000850</t>
  </si>
  <si>
    <t xml:space="preserve">631000300</t>
  </si>
  <si>
    <t xml:space="preserve">КГП на ПХВ "Центр матери и ребенка" управления здравоохранения Восточно-Казахстанского областного акимата</t>
  </si>
  <si>
    <t xml:space="preserve">71140024977</t>
  </si>
  <si>
    <t xml:space="preserve">КГП на ПХВ "Районная больница Шемонаихинского района" управления здравоохранения Восточно-Казахстанской области</t>
  </si>
  <si>
    <t xml:space="preserve">80740008521</t>
  </si>
  <si>
    <t xml:space="preserve">636820100</t>
  </si>
  <si>
    <t xml:space="preserve">КГП на ПХВ "Районная больница Тарбагатайского района" управления здравоохранения ВКО</t>
  </si>
  <si>
    <t xml:space="preserve">80640009831</t>
  </si>
  <si>
    <t xml:space="preserve">635830100</t>
  </si>
  <si>
    <t xml:space="preserve">КГП на ПХВ "Районная больница района Самар" управления здравоохранения Восточно-Казахстанской области</t>
  </si>
  <si>
    <t xml:space="preserve">80640010409</t>
  </si>
  <si>
    <t xml:space="preserve">635630100</t>
  </si>
  <si>
    <t xml:space="preserve">КГП на ПХВ "Районная больница Курчумского района" управления здравоохранения Восточно-Казахстанской области</t>
  </si>
  <si>
    <t xml:space="preserve">130340009703</t>
  </si>
  <si>
    <t xml:space="preserve">635230100</t>
  </si>
  <si>
    <t xml:space="preserve">КГП на ПХВ "Городская больница города Серебрянск района Алтай" управления здравоохранения Восточно-Казахстанской области</t>
  </si>
  <si>
    <t xml:space="preserve">80640014382</t>
  </si>
  <si>
    <t xml:space="preserve">634821100</t>
  </si>
  <si>
    <t xml:space="preserve">КГП на праве хозяйственного ведения "Риддерская городская больница" управления здравоохранения Восточно-Казахстанского областного акимата</t>
  </si>
  <si>
    <t xml:space="preserve">990440001750</t>
  </si>
  <si>
    <t xml:space="preserve">632410000</t>
  </si>
  <si>
    <t xml:space="preserve">КГП на праве хозяйственного ведения "Районная больница Зайсанского района" управления здравоохранения Восточно- Казахстанской области</t>
  </si>
  <si>
    <t xml:space="preserve">80740012052</t>
  </si>
  <si>
    <t xml:space="preserve">634620100</t>
  </si>
  <si>
    <t xml:space="preserve">Коммунальное государственное предприятие на праве хозяйственного ведения "Районная больница Глубоковского района" управления здравоохранения Восточно-Казахстанской области</t>
  </si>
  <si>
    <t xml:space="preserve">80640016814</t>
  </si>
  <si>
    <t xml:space="preserve">634030100</t>
  </si>
  <si>
    <t xml:space="preserve">ЖАМБЫЛСКАЯ</t>
  </si>
  <si>
    <t xml:space="preserve">ТОО "КҮНШУАҚ-Е"</t>
  </si>
  <si>
    <t xml:space="preserve">170840003541</t>
  </si>
  <si>
    <t xml:space="preserve">315430100</t>
  </si>
  <si>
    <t xml:space="preserve">ТОО "Жансая емханасы"</t>
  </si>
  <si>
    <t xml:space="preserve">160840000991</t>
  </si>
  <si>
    <t xml:space="preserve">311010000</t>
  </si>
  <si>
    <t xml:space="preserve">ТОО "Zhanshuak Medical Group"</t>
  </si>
  <si>
    <t xml:space="preserve">990240002542</t>
  </si>
  <si>
    <t xml:space="preserve">У-е "Медицинский центр "Мейірім"</t>
  </si>
  <si>
    <t xml:space="preserve">990240004172</t>
  </si>
  <si>
    <t xml:space="preserve">ТОО "Городская поликлиника №9"</t>
  </si>
  <si>
    <t xml:space="preserve">990240002750</t>
  </si>
  <si>
    <t xml:space="preserve">ТОО "Медицинский лечебный центр "Тараз-Болашақ"</t>
  </si>
  <si>
    <t xml:space="preserve">180140031286</t>
  </si>
  <si>
    <t xml:space="preserve">ТОО "Шайкорыкский центр семейного здоровья"</t>
  </si>
  <si>
    <t xml:space="preserve">200740012664</t>
  </si>
  <si>
    <t xml:space="preserve">314043100</t>
  </si>
  <si>
    <t xml:space="preserve">КАТО по ЦС «РПН» 314043100 в КАТО 18.09.2026 отсутствует – район по первым 4 знакам кода</t>
  </si>
  <si>
    <t xml:space="preserve">ТОО "Медицинский центр "Sauran"</t>
  </si>
  <si>
    <t xml:space="preserve">181040026020</t>
  </si>
  <si>
    <t xml:space="preserve">ТОО "Медицинский центр"Студент"</t>
  </si>
  <si>
    <t xml:space="preserve">210940007250</t>
  </si>
  <si>
    <t xml:space="preserve">ТОО "Мейірім Меркі"</t>
  </si>
  <si>
    <t xml:space="preserve">190240004373</t>
  </si>
  <si>
    <t xml:space="preserve">315443100</t>
  </si>
  <si>
    <t xml:space="preserve">ТОО "МЦ "Даримет"</t>
  </si>
  <si>
    <t xml:space="preserve">110940005223</t>
  </si>
  <si>
    <t xml:space="preserve">ТОО "ОКДМЦС"</t>
  </si>
  <si>
    <t xml:space="preserve">990240002621</t>
  </si>
  <si>
    <t xml:space="preserve">ТОО "Медицинский центр "ARAI"</t>
  </si>
  <si>
    <t xml:space="preserve">180440019743</t>
  </si>
  <si>
    <t xml:space="preserve">ТОО "JANUIA medical center"</t>
  </si>
  <si>
    <t xml:space="preserve">101040016643</t>
  </si>
  <si>
    <t xml:space="preserve">ГП "Центральная районная больница района им. Т.Рыскулова управления здравоохранения акимата Жамбылской области"</t>
  </si>
  <si>
    <t xml:space="preserve">990240002126</t>
  </si>
  <si>
    <t xml:space="preserve">315030100</t>
  </si>
  <si>
    <t xml:space="preserve">КГПХВ "Центральная районная больница Жамбылского района управления здравоохранения акимата Жамбылской области"</t>
  </si>
  <si>
    <t xml:space="preserve">990240002166</t>
  </si>
  <si>
    <t xml:space="preserve">314030100</t>
  </si>
  <si>
    <t xml:space="preserve">"Государственное коммунальное предприятие на праве хозяйственного ведения Таласская центральная районная многопрофильная больница управления здравоохранения акимата Жамбылской области"</t>
  </si>
  <si>
    <t xml:space="preserve">990240002354</t>
  </si>
  <si>
    <t xml:space="preserve">316220100</t>
  </si>
  <si>
    <t xml:space="preserve">ГКП на праве хозяйственного ведения "Меркенская многопрофильная центральная районная больница управления здравоохранения акимата Жамбылской области"</t>
  </si>
  <si>
    <t xml:space="preserve">990240002176</t>
  </si>
  <si>
    <t xml:space="preserve">ГКП на праве хозяйственного ведения: "Кордайская центральная районная больница управления здравоохраниеия акимата Жамбылской области"</t>
  </si>
  <si>
    <t xml:space="preserve">990240002463</t>
  </si>
  <si>
    <t xml:space="preserve">314830100</t>
  </si>
  <si>
    <t xml:space="preserve">ГКП на ПХВ "Городская поликлиника № 5 управления здравоохранения акимата Жамбылской области"</t>
  </si>
  <si>
    <t xml:space="preserve">10940002046</t>
  </si>
  <si>
    <t xml:space="preserve">ГКП на ПХВ "Городская поликлиника №7 управления здравоохранения акимата Жамбылской области"</t>
  </si>
  <si>
    <t xml:space="preserve">990240002483</t>
  </si>
  <si>
    <t xml:space="preserve">ГКП на ПХВ "Городская поликлиника № 2 управления здравоохранения акимата Жамбылской области"</t>
  </si>
  <si>
    <t xml:space="preserve">11040001715</t>
  </si>
  <si>
    <t xml:space="preserve">ГП "Центральная районная больница Жуалынского района Управления здравоохранения акимата Жамбылской области"</t>
  </si>
  <si>
    <t xml:space="preserve">990240002334</t>
  </si>
  <si>
    <t xml:space="preserve">314230100</t>
  </si>
  <si>
    <t xml:space="preserve">ГП "Центральная районная больница Сарысуского района управления здравоохранения акимата Жамбылской области"</t>
  </si>
  <si>
    <t xml:space="preserve">50240003921</t>
  </si>
  <si>
    <t xml:space="preserve">316020100</t>
  </si>
  <si>
    <t xml:space="preserve">Жамбылский филиал ТОО "Almaz Medical Group"</t>
  </si>
  <si>
    <t xml:space="preserve">170941030974</t>
  </si>
  <si>
    <t xml:space="preserve">КГП на праве хозяйственного ведения "Центральная районная больница Мойынкумского района управления здравоохранения акимата Жамбылской области"</t>
  </si>
  <si>
    <t xml:space="preserve">990240002097</t>
  </si>
  <si>
    <t xml:space="preserve">315630100</t>
  </si>
  <si>
    <t xml:space="preserve">КГП на ПХВ "Шуская центральная районная больница управления здравоохранения акимата Жамбылской области"</t>
  </si>
  <si>
    <t xml:space="preserve">990240002295</t>
  </si>
  <si>
    <t xml:space="preserve">316630100</t>
  </si>
  <si>
    <t xml:space="preserve">ГКП ПХВ "Шуская городская поликлиника управления здравоохранения акимата Жамбылской области"</t>
  </si>
  <si>
    <t xml:space="preserve">440001993</t>
  </si>
  <si>
    <t xml:space="preserve">316621100</t>
  </si>
  <si>
    <t xml:space="preserve">Коммунальное государственное предприятие на праве хозяйственного ведения "Центральная районная больница Байзакского района управления здравоохранения акимата Жамбылской области"</t>
  </si>
  <si>
    <t xml:space="preserve">40540002724</t>
  </si>
  <si>
    <t xml:space="preserve">313630100</t>
  </si>
  <si>
    <t xml:space="preserve">ЖЕТІСУ</t>
  </si>
  <si>
    <t xml:space="preserve">ГКП на ПХВ «Текелийская городская больница» ГУ «Управление здравоохранения области Жетісу»</t>
  </si>
  <si>
    <t xml:space="preserve">20240003798</t>
  </si>
  <si>
    <t xml:space="preserve">331810000</t>
  </si>
  <si>
    <t xml:space="preserve">331010000</t>
  </si>
  <si>
    <t xml:space="preserve">Негосударственное учреждение Медицинский Центр "Нур-Авиценум"</t>
  </si>
  <si>
    <t xml:space="preserve">980440005156</t>
  </si>
  <si>
    <t xml:space="preserve">КГП на ПХВ «Панфиловская многопрофильная межрайонная больница» ГУ «Управление здравоохранение области Жетісу»</t>
  </si>
  <si>
    <t xml:space="preserve">100340010028</t>
  </si>
  <si>
    <t xml:space="preserve">334620100</t>
  </si>
  <si>
    <t xml:space="preserve">Государственное коммунальное предприятие на праве хозяйственного ведения «Сарканская центральная районная больница» государственного учреждения «Управление здравоохранения области Жетісу» акимата области Жетісу</t>
  </si>
  <si>
    <t xml:space="preserve">20240004161</t>
  </si>
  <si>
    <t xml:space="preserve">334820100</t>
  </si>
  <si>
    <t xml:space="preserve">Государственное коммунальное предприятие на праве хозяйственного ведения «Каратальская центральная районная больница» государственного учреждения «Управление здравоохранения области Жетісу»</t>
  </si>
  <si>
    <t xml:space="preserve">20240004191</t>
  </si>
  <si>
    <t xml:space="preserve">334420100</t>
  </si>
  <si>
    <t xml:space="preserve">ГКП на ПХВ «Алакольская центральная районная больница» ГУ «Управление здравоохранения области Жетісу»</t>
  </si>
  <si>
    <t xml:space="preserve">20240004131</t>
  </si>
  <si>
    <t xml:space="preserve">333420100</t>
  </si>
  <si>
    <t xml:space="preserve">ГКП на ПХВ "Талдыкорганская городская поликлиника" ГУ "Управление здравоохранения области Жетісу"</t>
  </si>
  <si>
    <t xml:space="preserve">90240012125</t>
  </si>
  <si>
    <t xml:space="preserve">ГКП на ПХВ "Талдыкорганская городская поликлиника №2" ГУ "Управление здравоохранения области Жетісу"</t>
  </si>
  <si>
    <t xml:space="preserve">160740016022</t>
  </si>
  <si>
    <t xml:space="preserve">ГКП на ПХВ "Коксуская центральная районная больница" ГУ "Управление здравоохранения области Жетісу" акимата области Жетісу.</t>
  </si>
  <si>
    <t xml:space="preserve">20240003926</t>
  </si>
  <si>
    <t xml:space="preserve">334230100</t>
  </si>
  <si>
    <t xml:space="preserve">ГКП на ПХВ "Кербулакская центральная районная больница" ГУ "Управление здравоохранения Жетісуской области"</t>
  </si>
  <si>
    <t xml:space="preserve">111240015991</t>
  </si>
  <si>
    <t xml:space="preserve">334030100</t>
  </si>
  <si>
    <t xml:space="preserve">ГКП на праве хозяйственного ведения «Аксуская центральная районная больница» государственного учреждения «Управление здравоохранения области Жетісу»</t>
  </si>
  <si>
    <t xml:space="preserve">20240004250</t>
  </si>
  <si>
    <t xml:space="preserve">333230100</t>
  </si>
  <si>
    <t xml:space="preserve">ГКП на ПХВ «Ескельдинская центральная районная больница» ГУ «Управление здравоохранения области Жетісу» акимата области Жетісу</t>
  </si>
  <si>
    <t xml:space="preserve">20240003946</t>
  </si>
  <si>
    <t xml:space="preserve">333630100</t>
  </si>
  <si>
    <t xml:space="preserve">ЗАПАДНО-КАЗАХСТАНСКАЯ</t>
  </si>
  <si>
    <t xml:space="preserve">ГКП на ПХВ "Чингирлауская районная больница" УЗ ЗКО</t>
  </si>
  <si>
    <t xml:space="preserve">70740006313</t>
  </si>
  <si>
    <t xml:space="preserve">276630100</t>
  </si>
  <si>
    <t xml:space="preserve">ГКП на ПХВ «Жангалинская РБ» УЗ ЗКО</t>
  </si>
  <si>
    <t xml:space="preserve">70440006283</t>
  </si>
  <si>
    <t xml:space="preserve">274030100</t>
  </si>
  <si>
    <t xml:space="preserve">Государственное коммунальное предприятие на праве хозяйственного ведения "2- больница Казталовского района" управления здравоохранения акимата Западно-Казахстанской области"</t>
  </si>
  <si>
    <t xml:space="preserve">70740006294</t>
  </si>
  <si>
    <t xml:space="preserve">274843100</t>
  </si>
  <si>
    <t xml:space="preserve">Государственное коммунальное предприятие на праве хозяйственного ведения "Казталовская районная больница" управления здравоохранения акимата Западно-Казахстанской области"</t>
  </si>
  <si>
    <t xml:space="preserve">70640005371</t>
  </si>
  <si>
    <t xml:space="preserve">274830100</t>
  </si>
  <si>
    <t xml:space="preserve">Государственное коммунальное предприятие на праве хозяйственного ведения «Акжаикская районная больница» управления здравоохранения акимата Западно- Казахстанской области</t>
  </si>
  <si>
    <t xml:space="preserve">70740006145</t>
  </si>
  <si>
    <t xml:space="preserve">273230100</t>
  </si>
  <si>
    <t xml:space="preserve">ТОО "Медикер Аксай"</t>
  </si>
  <si>
    <t xml:space="preserve">141140007754</t>
  </si>
  <si>
    <t xml:space="preserve">271010000</t>
  </si>
  <si>
    <t xml:space="preserve">ТОО "Батыс АвиГип"</t>
  </si>
  <si>
    <t xml:space="preserve">50540005304</t>
  </si>
  <si>
    <t xml:space="preserve">ТОО "Медицинский Центр "ИНТЕРТИЧ" города Уральск"</t>
  </si>
  <si>
    <t xml:space="preserve">110240013358</t>
  </si>
  <si>
    <t xml:space="preserve">ТОО "Медицинский центр"</t>
  </si>
  <si>
    <t xml:space="preserve">10140001756</t>
  </si>
  <si>
    <t xml:space="preserve">ТОО "СВА ИНТЕРТИЧ"</t>
  </si>
  <si>
    <t xml:space="preserve">41240012436</t>
  </si>
  <si>
    <t xml:space="preserve">273620100</t>
  </si>
  <si>
    <t xml:space="preserve">ГКП на ПХВ "Теректинская районная больница" УЗ ЗКО"</t>
  </si>
  <si>
    <t xml:space="preserve">70740006254</t>
  </si>
  <si>
    <t xml:space="preserve">276230100</t>
  </si>
  <si>
    <t xml:space="preserve">ТОО "Uniserv Medical Center"</t>
  </si>
  <si>
    <t xml:space="preserve">180740022249</t>
  </si>
  <si>
    <t xml:space="preserve">ГКП на ПХВ "Городская поликлиника №6" УЗ акимата ЗКО</t>
  </si>
  <si>
    <t xml:space="preserve">131240020039</t>
  </si>
  <si>
    <t xml:space="preserve">271035100</t>
  </si>
  <si>
    <t xml:space="preserve">ГКП "Городская поликлиника №4" на ПХВ УЗ акимата ЗКО</t>
  </si>
  <si>
    <t xml:space="preserve">990340004126</t>
  </si>
  <si>
    <t xml:space="preserve">ГКП на ПХВ "Городская поликлиника № 5" УЗ акимата ЗКО</t>
  </si>
  <si>
    <t xml:space="preserve">100840003727</t>
  </si>
  <si>
    <t xml:space="preserve">ГКП "Городская поликлиника №2" на праве хозяйственного ведения управления здравоохранения акимата Западно-Казахстанской области</t>
  </si>
  <si>
    <t xml:space="preserve">990340004621</t>
  </si>
  <si>
    <t xml:space="preserve">ГКП на ПХВ "Городская поликлиника №3" управления здравоохранения акимата Западно-Казахстанской области</t>
  </si>
  <si>
    <t xml:space="preserve">990340004413</t>
  </si>
  <si>
    <t xml:space="preserve">ГКП на праве хозяйственного ведения "Городская поликлиника №1" управления здравоохранения акимата Западно-Казахстанской области</t>
  </si>
  <si>
    <t xml:space="preserve">990240004102</t>
  </si>
  <si>
    <t xml:space="preserve">ГКП на праве хозяйственного ведения "Жанибекская районная больница" управления здравохранения акимата ЗКО</t>
  </si>
  <si>
    <t xml:space="preserve">70640005252</t>
  </si>
  <si>
    <t xml:space="preserve">274230100</t>
  </si>
  <si>
    <t xml:space="preserve">ГКП на праве хозяйственного ведения "Сырымская районная больница" управления здравоохранения акимата Западно-Казахстанской области</t>
  </si>
  <si>
    <t xml:space="preserve">70340006616</t>
  </si>
  <si>
    <t xml:space="preserve">275830100</t>
  </si>
  <si>
    <t xml:space="preserve">ГКП на праве хозяйственного ведения "Бокейординская районная больница" управления здравоохранения акимата Западно-Казахстанской области</t>
  </si>
  <si>
    <t xml:space="preserve">71140005920</t>
  </si>
  <si>
    <t xml:space="preserve">275430100</t>
  </si>
  <si>
    <t xml:space="preserve">ГКП на праве хозяйственного ведения «Каратобинская районная больница» управления здравоохранения акимата Западно-Казахстанской области</t>
  </si>
  <si>
    <t xml:space="preserve">70340001183</t>
  </si>
  <si>
    <t xml:space="preserve">275030100</t>
  </si>
  <si>
    <t xml:space="preserve">ГКП на ПХВ "2-больница района Бәйтерек" управления здравоохранения акимата Западно-Казахстанской области</t>
  </si>
  <si>
    <t xml:space="preserve">70740002727</t>
  </si>
  <si>
    <t xml:space="preserve">274431100</t>
  </si>
  <si>
    <t xml:space="preserve">ГКП на ПХВ "Больница района Бәйтерек" управления здравоохранения акимата Западно-Казахстанской области</t>
  </si>
  <si>
    <t xml:space="preserve">70740006234</t>
  </si>
  <si>
    <t xml:space="preserve">274430300</t>
  </si>
  <si>
    <t xml:space="preserve">ГКП на ПХВ "Бурлинская районная больница" УЗ ЗКО</t>
  </si>
  <si>
    <t xml:space="preserve">110240019426</t>
  </si>
  <si>
    <t xml:space="preserve">ГКП на праве хозяйственного ведения "Таскалинская районная больница" Управления здравоохранения акимата ЗКО</t>
  </si>
  <si>
    <t xml:space="preserve">50140005667</t>
  </si>
  <si>
    <t xml:space="preserve">276030100</t>
  </si>
  <si>
    <t xml:space="preserve">КАРАГАНДИНСКАЯ</t>
  </si>
  <si>
    <t xml:space="preserve">ТОО "Карагандинская железнодорожная больница"</t>
  </si>
  <si>
    <t xml:space="preserve">180440028613</t>
  </si>
  <si>
    <t xml:space="preserve">351011100</t>
  </si>
  <si>
    <t xml:space="preserve">ТОО "Clinic Miras"</t>
  </si>
  <si>
    <t xml:space="preserve">180140031781</t>
  </si>
  <si>
    <t xml:space="preserve">351013100</t>
  </si>
  <si>
    <t xml:space="preserve">ТОО "InLife"</t>
  </si>
  <si>
    <t xml:space="preserve">181040009249</t>
  </si>
  <si>
    <t xml:space="preserve">ТОО "Jysan med"</t>
  </si>
  <si>
    <t xml:space="preserve">190140018230</t>
  </si>
  <si>
    <t xml:space="preserve">ТОО "БЦМО"</t>
  </si>
  <si>
    <t xml:space="preserve">110540013547</t>
  </si>
  <si>
    <t xml:space="preserve">351610000</t>
  </si>
  <si>
    <t xml:space="preserve">ТОО "Городской центр первичной медико-санитарной помощи"</t>
  </si>
  <si>
    <t xml:space="preserve">21240006547</t>
  </si>
  <si>
    <t xml:space="preserve">ТОО "Детская поликлиника 1"</t>
  </si>
  <si>
    <t xml:space="preserve">111240012614</t>
  </si>
  <si>
    <t xml:space="preserve">ТОО "Медицинская фирма "Гиппократ"</t>
  </si>
  <si>
    <t xml:space="preserve">10940006459</t>
  </si>
  <si>
    <t xml:space="preserve">352810000</t>
  </si>
  <si>
    <t xml:space="preserve">ТОО "Поликлиника №8 города Караганды"</t>
  </si>
  <si>
    <t xml:space="preserve">170540014853</t>
  </si>
  <si>
    <t xml:space="preserve">ТОО "Медицинский центр "Будь Здоров"</t>
  </si>
  <si>
    <t xml:space="preserve">130440025124</t>
  </si>
  <si>
    <t xml:space="preserve">352410000</t>
  </si>
  <si>
    <t xml:space="preserve">ТОО "МЦ Жезказган"</t>
  </si>
  <si>
    <t xml:space="preserve">351635100</t>
  </si>
  <si>
    <t xml:space="preserve">ТОО "Новая Поликлиника"</t>
  </si>
  <si>
    <t xml:space="preserve">150840011658</t>
  </si>
  <si>
    <t xml:space="preserve">ТОО "Поликлиника 15"</t>
  </si>
  <si>
    <t xml:space="preserve">190840014184</t>
  </si>
  <si>
    <t xml:space="preserve">НАО "КМУ"</t>
  </si>
  <si>
    <t xml:space="preserve">240940035132</t>
  </si>
  <si>
    <t xml:space="preserve">ТОО "Студенттік емхана 1"</t>
  </si>
  <si>
    <t xml:space="preserve">210440014295</t>
  </si>
  <si>
    <t xml:space="preserve">ТОО "Центральная Поликлиника №3"</t>
  </si>
  <si>
    <t xml:space="preserve">191240013928</t>
  </si>
  <si>
    <t xml:space="preserve">ТОО "Медицинская фирма "Мерей"</t>
  </si>
  <si>
    <t xml:space="preserve">81040006540</t>
  </si>
  <si>
    <t xml:space="preserve">Коммунальное государственное предприятие на праве хозяйственного ведения «Районная больница Актогайского района» управления здравоохранения Карагандинской области</t>
  </si>
  <si>
    <t xml:space="preserve">440002446</t>
  </si>
  <si>
    <t xml:space="preserve">353630100</t>
  </si>
  <si>
    <t xml:space="preserve">Коммунальное государственное предприятие на праве хозяйственного ведения «Районная больница Осакаровского района" управления здравоохранения Карагандинской области</t>
  </si>
  <si>
    <t xml:space="preserve">540002407</t>
  </si>
  <si>
    <t xml:space="preserve">355630100</t>
  </si>
  <si>
    <t xml:space="preserve">Коммунальное государственное предприятие на праве хозяйственного ведения "Больница города Сарани" управления здравоохранения Карагандинской области</t>
  </si>
  <si>
    <t xml:space="preserve">990140001927</t>
  </si>
  <si>
    <t xml:space="preserve">352210000</t>
  </si>
  <si>
    <t xml:space="preserve">"КГП" на праве хозяйственного ведения "Районная больница Шетского района" управления здравоохранения Карагандинской области</t>
  </si>
  <si>
    <t xml:space="preserve">30240002513</t>
  </si>
  <si>
    <t xml:space="preserve">356430100</t>
  </si>
  <si>
    <t xml:space="preserve">КГП "Многопрофильная больница № 1 города Караганды" управления здравоохранения Карагандинской области</t>
  </si>
  <si>
    <t xml:space="preserve">990140002787</t>
  </si>
  <si>
    <t xml:space="preserve">Коммунальное государственное предприятие на праве хозяйственного ведения «Многопрофильная больница города Темиртау» управления здравоохранения Карагандинской области</t>
  </si>
  <si>
    <t xml:space="preserve">990140002330</t>
  </si>
  <si>
    <t xml:space="preserve">КГП "Поликлиника №1 города Караганды"</t>
  </si>
  <si>
    <t xml:space="preserve">990140001888</t>
  </si>
  <si>
    <t xml:space="preserve">КГП "Поликлиника №2 г. Караганды"</t>
  </si>
  <si>
    <t xml:space="preserve">990140001987</t>
  </si>
  <si>
    <t xml:space="preserve">КГП "Поликлиника №3 города Караганды"</t>
  </si>
  <si>
    <t xml:space="preserve">990140001898</t>
  </si>
  <si>
    <t xml:space="preserve">КГП "Поликлиника №5 города Караганды"</t>
  </si>
  <si>
    <t xml:space="preserve">990740001770</t>
  </si>
  <si>
    <t xml:space="preserve">КГП «Поликлиника № 4 города Темиртау» управления здравоохранения Карагандинской области"</t>
  </si>
  <si>
    <t xml:space="preserve">90140006444</t>
  </si>
  <si>
    <t xml:space="preserve">КГП «Поликлиника №2 города Темиртау» управления здравоохранения Карагандинской области</t>
  </si>
  <si>
    <t xml:space="preserve">990140002390</t>
  </si>
  <si>
    <t xml:space="preserve">КГП "Поликлиника № 4 города Караганды" управления здравоохранения Карагандинской области</t>
  </si>
  <si>
    <t xml:space="preserve">990140002093</t>
  </si>
  <si>
    <t xml:space="preserve">КГП на ПХВ "Больница города Шахтинск" управления здравоохранения Карагандинской области</t>
  </si>
  <si>
    <t xml:space="preserve">990140002475</t>
  </si>
  <si>
    <t xml:space="preserve">КГП на ПХВ "Многопрофильная больница города Балхаш" управления здравоохранения Карагандинской области"</t>
  </si>
  <si>
    <t xml:space="preserve">990140002192</t>
  </si>
  <si>
    <t xml:space="preserve">КГП на ПХВ "Районная больница Абайского района" управления здравоохранения Карагандинской области</t>
  </si>
  <si>
    <t xml:space="preserve">540002468</t>
  </si>
  <si>
    <t xml:space="preserve">353285100</t>
  </si>
  <si>
    <t xml:space="preserve">КГП на ПХВ "Районная больница Каркаралинского района" управления здравоохранения Карагандинской области</t>
  </si>
  <si>
    <t xml:space="preserve">540000969</t>
  </si>
  <si>
    <t xml:space="preserve">354820100</t>
  </si>
  <si>
    <t xml:space="preserve">КГП на ПХВ “Районная больница Нуринского района” управления здравоохранения Карагандинской области</t>
  </si>
  <si>
    <t xml:space="preserve">440002387</t>
  </si>
  <si>
    <t xml:space="preserve">355230100</t>
  </si>
  <si>
    <t xml:space="preserve">КГП на ПХВ «Больница города Приозерск» УЗКО.</t>
  </si>
  <si>
    <t xml:space="preserve">990140002628</t>
  </si>
  <si>
    <t xml:space="preserve">352110000</t>
  </si>
  <si>
    <t xml:space="preserve">КГП ПХВ "Больница города Абая" управления здравоохранения Карагандинской области</t>
  </si>
  <si>
    <t xml:space="preserve">990140002426</t>
  </si>
  <si>
    <t xml:space="preserve">353220100</t>
  </si>
  <si>
    <t xml:space="preserve">КГП на праве хозяйственного ведения "Районная больница Бухар-Жырауского района" управления здравоохранения Карагандинской области</t>
  </si>
  <si>
    <t xml:space="preserve">540002419</t>
  </si>
  <si>
    <t xml:space="preserve">354030100</t>
  </si>
  <si>
    <t xml:space="preserve">КОСТАНАЙСКАЯ</t>
  </si>
  <si>
    <t xml:space="preserve">КГП "Узункольская районная больница» Управления здравоохранения акимата Костанайской области</t>
  </si>
  <si>
    <t xml:space="preserve">950640000741</t>
  </si>
  <si>
    <t xml:space="preserve">396630100</t>
  </si>
  <si>
    <t xml:space="preserve">КГП "Федоровская районная больница" Управления здравоохранения акимата Костанайской области</t>
  </si>
  <si>
    <t xml:space="preserve">950640000711</t>
  </si>
  <si>
    <t xml:space="preserve">396830100</t>
  </si>
  <si>
    <t xml:space="preserve">КГП «Амангельдинская районная больница» Управления здравоохранения акимата Костанайской области</t>
  </si>
  <si>
    <t xml:space="preserve">990640001727</t>
  </si>
  <si>
    <t xml:space="preserve">393430100</t>
  </si>
  <si>
    <t xml:space="preserve">КГП «Джангельдинская районная больница» Управления здравоохранения акимата Костанайской области</t>
  </si>
  <si>
    <t xml:space="preserve">970740001152</t>
  </si>
  <si>
    <t xml:space="preserve">394230100</t>
  </si>
  <si>
    <t xml:space="preserve">Коммунальное государственное предприятие "Аулиекольская районная больница" Управления здравоохранения акимата Костанайской области</t>
  </si>
  <si>
    <t xml:space="preserve">950640000692</t>
  </si>
  <si>
    <t xml:space="preserve">393630100</t>
  </si>
  <si>
    <t xml:space="preserve">Коммунальное государственное предприятие "Житикаринская районная больница" Управления здравоохранения акимата Костанайской области</t>
  </si>
  <si>
    <t xml:space="preserve">960640000258</t>
  </si>
  <si>
    <t xml:space="preserve">394420100</t>
  </si>
  <si>
    <t xml:space="preserve">ТОО "Медицинский центр "Казахстан"</t>
  </si>
  <si>
    <t xml:space="preserve">170840003716</t>
  </si>
  <si>
    <t xml:space="preserve">391610000</t>
  </si>
  <si>
    <t xml:space="preserve">ТОО "ECO CITY KZ (ЭКО СИТИ КЗ)"</t>
  </si>
  <si>
    <t xml:space="preserve">180640016607</t>
  </si>
  <si>
    <t xml:space="preserve">395430100</t>
  </si>
  <si>
    <t xml:space="preserve">КАТО по ЦС «РПН» 395430100 в КАТО 18.09.2026 отсутствует – район по первым 4 знакам кода</t>
  </si>
  <si>
    <t xml:space="preserve">ТОО "Костанайская железнодорожная больница"</t>
  </si>
  <si>
    <t xml:space="preserve">180440018913</t>
  </si>
  <si>
    <t xml:space="preserve">391010000</t>
  </si>
  <si>
    <t xml:space="preserve">ТОО "Поликлиника №2 города Рудный"</t>
  </si>
  <si>
    <t xml:space="preserve">110640012413</t>
  </si>
  <si>
    <t xml:space="preserve">392410000</t>
  </si>
  <si>
    <t xml:space="preserve">ТОО "Поликлиника №5 города Костанай"</t>
  </si>
  <si>
    <t xml:space="preserve">100440014887</t>
  </si>
  <si>
    <t xml:space="preserve">ТОО "Поликлиника №6 города Костанай"</t>
  </si>
  <si>
    <t xml:space="preserve">100440009840</t>
  </si>
  <si>
    <t xml:space="preserve">КГП "Сарыкольская районная больница" Управления здравоохранения акимата Костанайской области</t>
  </si>
  <si>
    <t xml:space="preserve">60340005705</t>
  </si>
  <si>
    <t xml:space="preserve">396230100</t>
  </si>
  <si>
    <t xml:space="preserve">Коммунальное государственное предприятие "Мендыкаринская районная больница" Управления здравоохранения акимата Костанайской области</t>
  </si>
  <si>
    <t xml:space="preserve">970140001339</t>
  </si>
  <si>
    <t xml:space="preserve">395630100</t>
  </si>
  <si>
    <t xml:space="preserve">КГП "Рудненская городская поликлиника" Управления здравоохранения акимата Костанайской области</t>
  </si>
  <si>
    <t xml:space="preserve">951040000277</t>
  </si>
  <si>
    <t xml:space="preserve">КОММУНАЛЬНОЕ ГОСУДАРСТВЕННОЕ ПРЕДПРИЯТИЕ «АЛТЫНСАРИНСКАЯ РАЙОННАЯ БОЛЬНИЦА» УПРАВЛЕНИЯ ЗДРАВООХРАНЕНИЯ АКИМАТА КОСТАНАЙСКОЙ ОБЛАСТИ</t>
  </si>
  <si>
    <t xml:space="preserve">961240001105</t>
  </si>
  <si>
    <t xml:space="preserve">393230500</t>
  </si>
  <si>
    <t xml:space="preserve">КГП "Поликлиника № 4 города Костанай" Управления здравоохранения акимата Костанайской области</t>
  </si>
  <si>
    <t xml:space="preserve">101240019487</t>
  </si>
  <si>
    <t xml:space="preserve">КГП "Аркалыкская региональная больница" Управления здравоохранения акимата Костанайской области</t>
  </si>
  <si>
    <t xml:space="preserve">970940001368</t>
  </si>
  <si>
    <t xml:space="preserve">КГП "Денисовская районная больница" Управления здравоохранения акимата Костанайской области</t>
  </si>
  <si>
    <t xml:space="preserve">991240001765</t>
  </si>
  <si>
    <t xml:space="preserve">394030100</t>
  </si>
  <si>
    <t xml:space="preserve">КГП "Карабалыкская районная больница" Управления здравоохранения акимата Костанайской области</t>
  </si>
  <si>
    <t xml:space="preserve">950440000764</t>
  </si>
  <si>
    <t xml:space="preserve">395030100</t>
  </si>
  <si>
    <t xml:space="preserve">КГП "Карасуская районная больница" Управления здравоохранения акимата Костанайской области"</t>
  </si>
  <si>
    <t xml:space="preserve">960140000498</t>
  </si>
  <si>
    <t xml:space="preserve">395230100</t>
  </si>
  <si>
    <t xml:space="preserve">КГП "Качарская городская больница" Управления здравоохранения акимата Костанайской области</t>
  </si>
  <si>
    <t xml:space="preserve">950540000480</t>
  </si>
  <si>
    <t xml:space="preserve">392435100</t>
  </si>
  <si>
    <t xml:space="preserve">КГП "Районная больница района Беимбета Майлина" Управления здравоохранения акимата Костанайской области</t>
  </si>
  <si>
    <t xml:space="preserve">660640000017</t>
  </si>
  <si>
    <t xml:space="preserve">396430100</t>
  </si>
  <si>
    <t xml:space="preserve">КГП "Костанайская районная больница" Управления здравоохранения акимата Костанайской области</t>
  </si>
  <si>
    <t xml:space="preserve">950640000731</t>
  </si>
  <si>
    <t xml:space="preserve">КГП "Камыстинская районная больница" Управления здравоохранения акимата Костанайской области</t>
  </si>
  <si>
    <t xml:space="preserve">930140000343</t>
  </si>
  <si>
    <t xml:space="preserve">394830100</t>
  </si>
  <si>
    <t xml:space="preserve">КГП "Лисаковская городская больница" Управления здравоохранения акимата Костанайской области</t>
  </si>
  <si>
    <t xml:space="preserve">960340000455</t>
  </si>
  <si>
    <t xml:space="preserve">392010000</t>
  </si>
  <si>
    <t xml:space="preserve">КГП "Наурзумская районная больница" Управления здравоохранения акимата Костанайской области</t>
  </si>
  <si>
    <t xml:space="preserve">640940000034</t>
  </si>
  <si>
    <t xml:space="preserve">395830100</t>
  </si>
  <si>
    <t xml:space="preserve">КГП "Октябрьская сельская больница" Управления здравоохранения акимата Костанайской области</t>
  </si>
  <si>
    <t xml:space="preserve">981140001204</t>
  </si>
  <si>
    <t xml:space="preserve">395267100</t>
  </si>
  <si>
    <t xml:space="preserve">КГП "Поликлиника № 1 города Костанай" Управления здравоохранения акимата Костанайской области</t>
  </si>
  <si>
    <t xml:space="preserve">980940001398</t>
  </si>
  <si>
    <t xml:space="preserve">КГП "Поликлиника № 2 города Костанай" Управления здравоохранения акимата Костанайской области</t>
  </si>
  <si>
    <t xml:space="preserve">960140000488</t>
  </si>
  <si>
    <t xml:space="preserve">КГП "Поликлиника № 3 города Костанай" Управления здравоохранения акимата Костанайской области</t>
  </si>
  <si>
    <t xml:space="preserve">950540000490</t>
  </si>
  <si>
    <t xml:space="preserve">КГП "Кушмурунская сельская больница" Управления здравоохранения акимата Костанайской области</t>
  </si>
  <si>
    <t xml:space="preserve">990640001678</t>
  </si>
  <si>
    <t xml:space="preserve">393633100</t>
  </si>
  <si>
    <t xml:space="preserve">КЫЗЫЛОРДИНСКАЯ</t>
  </si>
  <si>
    <t xml:space="preserve">ТОО "AIBARMED"</t>
  </si>
  <si>
    <t xml:space="preserve">211240015586</t>
  </si>
  <si>
    <t xml:space="preserve">431010000</t>
  </si>
  <si>
    <t xml:space="preserve">ТОО "ALEXEY SULTAN-AKHMET"</t>
  </si>
  <si>
    <t xml:space="preserve">61240012589</t>
  </si>
  <si>
    <t xml:space="preserve">ТОО "ДостарМедLine"</t>
  </si>
  <si>
    <t xml:space="preserve">111240003353</t>
  </si>
  <si>
    <t xml:space="preserve">ТОО "Казалинская железнодорожная больница"</t>
  </si>
  <si>
    <t xml:space="preserve">180440029979</t>
  </si>
  <si>
    <t xml:space="preserve">434430100</t>
  </si>
  <si>
    <t xml:space="preserve">ТОО "Клиника Али-Нур Мед"</t>
  </si>
  <si>
    <t xml:space="preserve">181040004773</t>
  </si>
  <si>
    <t xml:space="preserve">ТОО "Мед Ай-Ерке"</t>
  </si>
  <si>
    <t xml:space="preserve">191140010377</t>
  </si>
  <si>
    <t xml:space="preserve">ТОО "Кызылординская железнодорожная больница"</t>
  </si>
  <si>
    <t xml:space="preserve">180440022416</t>
  </si>
  <si>
    <t xml:space="preserve">ТОО "Сенім"</t>
  </si>
  <si>
    <t xml:space="preserve">970940000230</t>
  </si>
  <si>
    <t xml:space="preserve">ТОО клиника "Orda Medline"</t>
  </si>
  <si>
    <t xml:space="preserve">221040045364</t>
  </si>
  <si>
    <t xml:space="preserve">Коммунальное государственное предприятие на праве хозяйственного ведения «Городская центральная поликлиника» управления здравоохранения Кызылординской области»</t>
  </si>
  <si>
    <t xml:space="preserve">970840001502</t>
  </si>
  <si>
    <t xml:space="preserve">ТОО "Клиника Интертич"</t>
  </si>
  <si>
    <t xml:space="preserve">60740005422</t>
  </si>
  <si>
    <t xml:space="preserve">коммунальное государственное предприятие на праве хозяйственного ведения "Городская поликлиника №1" управления здравоохранения Кызылординской области"</t>
  </si>
  <si>
    <t xml:space="preserve">990140004525</t>
  </si>
  <si>
    <t xml:space="preserve">КГПнПХВ "Сырдарьинская районная больница" управления здравоохранения Кызылординской области</t>
  </si>
  <si>
    <t xml:space="preserve">141040022645</t>
  </si>
  <si>
    <t xml:space="preserve">434830100</t>
  </si>
  <si>
    <t xml:space="preserve">КГПнПХВ "Жалагашская районная больница" управления здравоохранения Кызылординской области"</t>
  </si>
  <si>
    <t xml:space="preserve">140840001094</t>
  </si>
  <si>
    <t xml:space="preserve">433630100</t>
  </si>
  <si>
    <t xml:space="preserve">КГП на праве хозяйственного ведения "Городская поликлиника № 5" управления здравоохранения Кызылординской области"</t>
  </si>
  <si>
    <t xml:space="preserve">41040004795</t>
  </si>
  <si>
    <t xml:space="preserve">КГП на праве хозяйственного ведения "Шиелийская многопрофильная центральная районная больница" управления здравоохранения Кызылординской области"</t>
  </si>
  <si>
    <t xml:space="preserve">140640020390</t>
  </si>
  <si>
    <t xml:space="preserve">435230100</t>
  </si>
  <si>
    <t xml:space="preserve">КГП на ПХВ "Городская поликлиника № 3" управления здравоохранения Кызылординской области"</t>
  </si>
  <si>
    <t xml:space="preserve">110940004403</t>
  </si>
  <si>
    <t xml:space="preserve">КГП на ПХВ "Городская поликлиника № 4" управления здравоохранения Кызылординской области"</t>
  </si>
  <si>
    <t xml:space="preserve">840003072</t>
  </si>
  <si>
    <t xml:space="preserve">431047100</t>
  </si>
  <si>
    <t xml:space="preserve">КГП на ПХВ "Аральская многопрофильная центральная районная больница" управления здравоохранения Кызылординской области"</t>
  </si>
  <si>
    <t xml:space="preserve">140140016919</t>
  </si>
  <si>
    <t xml:space="preserve">433220100</t>
  </si>
  <si>
    <t xml:space="preserve">КГП НА ПХВ "Казалинская многопрофильная центральная районная больница" управления здравоохранения Кызылординской области"</t>
  </si>
  <si>
    <t xml:space="preserve">140740004907</t>
  </si>
  <si>
    <t xml:space="preserve">КГП на ПХВ "Кармакшинская районная больница" управления здравоохранения Кызылординской области"</t>
  </si>
  <si>
    <t xml:space="preserve">140640021292</t>
  </si>
  <si>
    <t xml:space="preserve">434630100</t>
  </si>
  <si>
    <t xml:space="preserve">КГП на ПХВ "Многопрофильная больница города Байконыр" управления здравоохранения Кызылординской области"</t>
  </si>
  <si>
    <t xml:space="preserve">190640014652</t>
  </si>
  <si>
    <t xml:space="preserve">431910000</t>
  </si>
  <si>
    <t xml:space="preserve">КГП на ПХВ «Жанакорганская многопрофильная центральная районная больница» управления здравоохранения Кызылординской области»</t>
  </si>
  <si>
    <t xml:space="preserve">140740007416</t>
  </si>
  <si>
    <t xml:space="preserve">434030100</t>
  </si>
  <si>
    <t xml:space="preserve">КГП на ПХВ "Городская поликлиника № 6" управления здравоохранения Кызылординской области</t>
  </si>
  <si>
    <t xml:space="preserve">1040003125</t>
  </si>
  <si>
    <t xml:space="preserve">МАНГИСТАУСКАЯ</t>
  </si>
  <si>
    <t xml:space="preserve">ТОО "Медцентр Медина"</t>
  </si>
  <si>
    <t xml:space="preserve">201040029319</t>
  </si>
  <si>
    <t xml:space="preserve">475042100</t>
  </si>
  <si>
    <t xml:space="preserve">ТОО "Абылхайрхан"</t>
  </si>
  <si>
    <t xml:space="preserve">70240022892</t>
  </si>
  <si>
    <t xml:space="preserve">474239100</t>
  </si>
  <si>
    <t xml:space="preserve">ТОО "Еркемед"</t>
  </si>
  <si>
    <t xml:space="preserve">120540021679</t>
  </si>
  <si>
    <t xml:space="preserve">471010000</t>
  </si>
  <si>
    <t xml:space="preserve">ТОО "Медикер Каспий"</t>
  </si>
  <si>
    <t xml:space="preserve">180440037870</t>
  </si>
  <si>
    <t xml:space="preserve">ТОО "Медицинский Центр "Мухамбет"</t>
  </si>
  <si>
    <t xml:space="preserve">161140017567</t>
  </si>
  <si>
    <t xml:space="preserve">475034100</t>
  </si>
  <si>
    <t xml:space="preserve">ТОО "Медицинский центр "ЯСИН - Атамекен"</t>
  </si>
  <si>
    <t xml:space="preserve">230840032132</t>
  </si>
  <si>
    <t xml:space="preserve">475032100</t>
  </si>
  <si>
    <t xml:space="preserve">ТОО "МК "Сенім"</t>
  </si>
  <si>
    <t xml:space="preserve">151140024845</t>
  </si>
  <si>
    <t xml:space="preserve">ТОО медицинский центр «Reamed»</t>
  </si>
  <si>
    <t xml:space="preserve">191140005985</t>
  </si>
  <si>
    <t xml:space="preserve">ТОО "МЦ Жоламан"</t>
  </si>
  <si>
    <t xml:space="preserve">190940012250</t>
  </si>
  <si>
    <t xml:space="preserve">475233100</t>
  </si>
  <si>
    <t xml:space="preserve">ТОО "Нейрон-Узень"</t>
  </si>
  <si>
    <t xml:space="preserve">190140010839</t>
  </si>
  <si>
    <t xml:space="preserve">471810000</t>
  </si>
  <si>
    <t xml:space="preserve">ТОО "Сагынмед"</t>
  </si>
  <si>
    <t xml:space="preserve">210340020553</t>
  </si>
  <si>
    <t xml:space="preserve">474630100</t>
  </si>
  <si>
    <t xml:space="preserve">ТОО "West Medical Corp"</t>
  </si>
  <si>
    <t xml:space="preserve">220840028519</t>
  </si>
  <si>
    <t xml:space="preserve">ТОО "Фирма Ча-Кур"</t>
  </si>
  <si>
    <t xml:space="preserve">971040000944</t>
  </si>
  <si>
    <t xml:space="preserve">ТОО «Медицинский Центр «ЯСИН»</t>
  </si>
  <si>
    <t xml:space="preserve">150940010653</t>
  </si>
  <si>
    <t xml:space="preserve">ТОО "Многопрофильная клиника "Sofie Medgroup" /Софи Медгрупп/</t>
  </si>
  <si>
    <t xml:space="preserve">110240007125</t>
  </si>
  <si>
    <t xml:space="preserve">ТОО "UZENMEDICS"</t>
  </si>
  <si>
    <t xml:space="preserve">130140000841</t>
  </si>
  <si>
    <t xml:space="preserve">ГКП на праве хозяйственного ведения "Жанаозенская городская поликлиника № 2" Управления здравоохранения Мангистауской области</t>
  </si>
  <si>
    <t xml:space="preserve">1140002478</t>
  </si>
  <si>
    <t xml:space="preserve">ТОО "SMA Company KZ"</t>
  </si>
  <si>
    <t xml:space="preserve">220640009486</t>
  </si>
  <si>
    <t xml:space="preserve">ТОО "ToliMed"</t>
  </si>
  <si>
    <t xml:space="preserve">210540016512</t>
  </si>
  <si>
    <t xml:space="preserve">ГКП на праве хозяйственного ведения "Жанаозенская городская поликлиника № 1" Управления здравоохранения Мангистауской области</t>
  </si>
  <si>
    <t xml:space="preserve">990340007170</t>
  </si>
  <si>
    <t xml:space="preserve">по наименованию МО (г. Жанаозен); КАТО в ЦС «РПН» 471010000 – г. Актау (юридический адрес)</t>
  </si>
  <si>
    <t xml:space="preserve">ГКП на праве хозяйственного ведения "Жанаозенская городская поликлиника № 3" Управления здравоохранения Мангистауской области</t>
  </si>
  <si>
    <t xml:space="preserve">180140009230</t>
  </si>
  <si>
    <t xml:space="preserve">471836100</t>
  </si>
  <si>
    <t xml:space="preserve">ГКП на праве хозяйственного ведения "Жетыбайская сельская больница" Управления здравоохранения Мангистауской области</t>
  </si>
  <si>
    <t xml:space="preserve">990340008961</t>
  </si>
  <si>
    <t xml:space="preserve">ГКП на праве хозяйственного ведения "Каракиянская центральная районная больница" Управления здравоохранения Мангистауской области</t>
  </si>
  <si>
    <t xml:space="preserve">970240000384</t>
  </si>
  <si>
    <t xml:space="preserve">474230100</t>
  </si>
  <si>
    <t xml:space="preserve">ГКП на праве хозяйственного ведения "Мангистауская центральная районная больница" Управления здравоохранения Мангистауской области</t>
  </si>
  <si>
    <t xml:space="preserve">860440000041</t>
  </si>
  <si>
    <t xml:space="preserve">ГКППХВ "Бейнеуская многопрофильная центральная районная больница" Управления здравоохранения Мангистауской области</t>
  </si>
  <si>
    <t xml:space="preserve">731140000017</t>
  </si>
  <si>
    <t xml:space="preserve">473630100</t>
  </si>
  <si>
    <t xml:space="preserve">ГКП на праве хозяйственного ведения "Актауская городская поликлиника №1" Управления здравоохранения Мангистауской области</t>
  </si>
  <si>
    <t xml:space="preserve">50740003840</t>
  </si>
  <si>
    <t xml:space="preserve">Государственное коммунальное предприятие на праве хозяйственного ведения "Тупкараганская центральная районная больница" Управления здравоохранения Мангистауской области акимата Мангистауской области</t>
  </si>
  <si>
    <t xml:space="preserve">730140000034</t>
  </si>
  <si>
    <t xml:space="preserve">475220100</t>
  </si>
  <si>
    <t xml:space="preserve">Мунайлинская районная больница</t>
  </si>
  <si>
    <t xml:space="preserve">940340000055</t>
  </si>
  <si>
    <t xml:space="preserve">475030100</t>
  </si>
  <si>
    <t xml:space="preserve">Товарищество с ограниченной отвественностью "Нейрон"</t>
  </si>
  <si>
    <t xml:space="preserve">921240001297</t>
  </si>
  <si>
    <t xml:space="preserve">ТОО "AMANKOS Clinic"</t>
  </si>
  <si>
    <t xml:space="preserve">221240032855</t>
  </si>
  <si>
    <t xml:space="preserve">ТОО "CaspiMed"</t>
  </si>
  <si>
    <t xml:space="preserve">201040021571</t>
  </si>
  <si>
    <t xml:space="preserve">ТОО "Jarqyn-2019"</t>
  </si>
  <si>
    <t xml:space="preserve">190140027646</t>
  </si>
  <si>
    <t xml:space="preserve">Государственное коммунальное предприятие на праве хозяйственного ведения "Актауская городская поликлиника №2" Управления здравоохранения Мангистауской области</t>
  </si>
  <si>
    <t xml:space="preserve">50740004472</t>
  </si>
  <si>
    <t xml:space="preserve">ПАВЛОДАРСКАЯ</t>
  </si>
  <si>
    <t xml:space="preserve">Товарищество с ограниченной ответственностью "МедПроект-ПВ"</t>
  </si>
  <si>
    <t xml:space="preserve">170140008438</t>
  </si>
  <si>
    <t xml:space="preserve">551041100</t>
  </si>
  <si>
    <t xml:space="preserve">ТОО "BASSK"</t>
  </si>
  <si>
    <t xml:space="preserve">140840013414</t>
  </si>
  <si>
    <t xml:space="preserve">ТОО "Danelclinic"</t>
  </si>
  <si>
    <t xml:space="preserve">21140007244</t>
  </si>
  <si>
    <t xml:space="preserve">ТОО "MED-C"</t>
  </si>
  <si>
    <t xml:space="preserve">151040026878</t>
  </si>
  <si>
    <t xml:space="preserve">ТОО "Mediker Yertis"</t>
  </si>
  <si>
    <t xml:space="preserve">210140007093</t>
  </si>
  <si>
    <t xml:space="preserve">ТОО "Клиника семейной медицины"</t>
  </si>
  <si>
    <t xml:space="preserve">210640006498</t>
  </si>
  <si>
    <t xml:space="preserve">ТОО "Viamedis Pavlodar"</t>
  </si>
  <si>
    <t xml:space="preserve">130640021298</t>
  </si>
  <si>
    <t xml:space="preserve">ТОО "VitaClinic"</t>
  </si>
  <si>
    <t xml:space="preserve">200240024868</t>
  </si>
  <si>
    <t xml:space="preserve">551610000</t>
  </si>
  <si>
    <t xml:space="preserve">ТОО "Омир-ПВ"</t>
  </si>
  <si>
    <t xml:space="preserve">170640017693</t>
  </si>
  <si>
    <t xml:space="preserve">ТОО "РАХИМ-А"</t>
  </si>
  <si>
    <t xml:space="preserve">140840006687</t>
  </si>
  <si>
    <t xml:space="preserve">ПК "ДИСКОНТ"</t>
  </si>
  <si>
    <t xml:space="preserve">930340000142</t>
  </si>
  <si>
    <t xml:space="preserve">552210000</t>
  </si>
  <si>
    <t xml:space="preserve">ТОО "Poliklinika №1"</t>
  </si>
  <si>
    <t xml:space="preserve">180540009630</t>
  </si>
  <si>
    <t xml:space="preserve">Павлодарский филиал ТОО "Almaz Medical Group"</t>
  </si>
  <si>
    <t xml:space="preserve">181041016762</t>
  </si>
  <si>
    <t xml:space="preserve">ТОО "Павлодарская железнодорожная больница"</t>
  </si>
  <si>
    <t xml:space="preserve">180440022466</t>
  </si>
  <si>
    <t xml:space="preserve">Коммунальное государственное предприятие на праве хозяйственного ведения "Городская больница г. Аксу" управления здравоохранения Павлодарской области, акимата Павлодарской области</t>
  </si>
  <si>
    <t xml:space="preserve">990240004457</t>
  </si>
  <si>
    <t xml:space="preserve">Коммунальное государственное предприятие на праве хозяйственного ведения "Железинская районная больница" управления здравоохранения Павлодарской области, акимата Павлодарской области</t>
  </si>
  <si>
    <t xml:space="preserve">10140002477</t>
  </si>
  <si>
    <t xml:space="preserve">554230100</t>
  </si>
  <si>
    <t xml:space="preserve">КГП на праве хозяйственного ведения "Поликлиника № 5 города Павлодара" управления здравоохранения Павлодарской области, акимата Павлодарской области</t>
  </si>
  <si>
    <t xml:space="preserve">990240004221</t>
  </si>
  <si>
    <t xml:space="preserve">КГП на праве хозяйственного ведения "Щербактинская районная больница" управления здравоохранения Павлодарской области, акимата Павлодарской области</t>
  </si>
  <si>
    <t xml:space="preserve">10140001151</t>
  </si>
  <si>
    <t xml:space="preserve">556830100</t>
  </si>
  <si>
    <t xml:space="preserve">КГП на ПХВ "Актогайская районная больница" управления здравоохранения Павлодарской области, акимата Павлодарской области</t>
  </si>
  <si>
    <t xml:space="preserve">10140001805</t>
  </si>
  <si>
    <t xml:space="preserve">553230100</t>
  </si>
  <si>
    <t xml:space="preserve">КГП на ПХВ "Баянаульская районная больница" управления здравоохранения Павлодарской области,акимата Павлодарской области</t>
  </si>
  <si>
    <t xml:space="preserve">10240002480</t>
  </si>
  <si>
    <t xml:space="preserve">553630100</t>
  </si>
  <si>
    <t xml:space="preserve">КГП на праве хозяйственного ведения "Успенская районная больница" управления здравоохранения Павлодарской области, акимата Павлодарской области.</t>
  </si>
  <si>
    <t xml:space="preserve">10140002249</t>
  </si>
  <si>
    <t xml:space="preserve">556430100</t>
  </si>
  <si>
    <t xml:space="preserve">КГП на ПХВ "Больница района Тереңкөл" управления здравоохранения Павлодарской области, акимата Павлодарской области</t>
  </si>
  <si>
    <t xml:space="preserve">10240002591</t>
  </si>
  <si>
    <t xml:space="preserve">554830100</t>
  </si>
  <si>
    <t xml:space="preserve">КГП на ПХВ "Майская районная больница" управления здравоохранения Павлодарской области, акимата Павлодарской области</t>
  </si>
  <si>
    <t xml:space="preserve">10140002289</t>
  </si>
  <si>
    <t xml:space="preserve">555630100</t>
  </si>
  <si>
    <t xml:space="preserve">КГП на ПХВ "Поликлиника № 3 города Павлодара" управления здравоохранения Павлодарской области, акимата Павлодарской области</t>
  </si>
  <si>
    <t xml:space="preserve">130740024177</t>
  </si>
  <si>
    <t xml:space="preserve">КГП на ПХВ "Поликлиника Павлодарского района" управления здравоохранения Павлодарской области, акимата Павлодарской области</t>
  </si>
  <si>
    <t xml:space="preserve">10240002530</t>
  </si>
  <si>
    <t xml:space="preserve">по наименованию МО (Павлодарский район); КАТО в ЦС «РПН» 551010000 – г. Павлодар (юридический адрес)</t>
  </si>
  <si>
    <t xml:space="preserve">КГП на ПХВ «Иртышская районная больница» управления здравоохранения Павлодарской области, акимата Павлодарской области.</t>
  </si>
  <si>
    <t xml:space="preserve">10140000986</t>
  </si>
  <si>
    <t xml:space="preserve">554630100</t>
  </si>
  <si>
    <t xml:space="preserve">КГП на ПХВ "Больница района Аққулы" управления здравоохранения Павлодарской области, акимата Павлодарской области</t>
  </si>
  <si>
    <t xml:space="preserve">10140002279</t>
  </si>
  <si>
    <t xml:space="preserve">555230100</t>
  </si>
  <si>
    <t xml:space="preserve">СЕВЕРО-КАЗАХСТАНСКАЯ</t>
  </si>
  <si>
    <t xml:space="preserve">Коммунальное государственное предприятие на праве хозяйственного ведения "Мамлютская районная больница" коммунального государственного учреждения "Управление здравоохранения акимата Северо-Казахстанской области"</t>
  </si>
  <si>
    <t xml:space="preserve">990440005009</t>
  </si>
  <si>
    <t xml:space="preserve">595220100</t>
  </si>
  <si>
    <t xml:space="preserve">ЧНУ "Денсаулык"</t>
  </si>
  <si>
    <t xml:space="preserve">960540000561</t>
  </si>
  <si>
    <t xml:space="preserve">591010000</t>
  </si>
  <si>
    <t xml:space="preserve">ТОО "ПриИшимье и К"</t>
  </si>
  <si>
    <t xml:space="preserve">230540012968</t>
  </si>
  <si>
    <t xml:space="preserve">ТОО "MedicaLine"</t>
  </si>
  <si>
    <t xml:space="preserve">220740001810</t>
  </si>
  <si>
    <t xml:space="preserve">Коммунальное государственное предприятие на праве хозяйственного ведения «Районная больница района Магжана Жумабаева» коммунального государственного учреждения «Управление здравоохранения акимата Северо-Казахстанской области»</t>
  </si>
  <si>
    <t xml:space="preserve">990340004780</t>
  </si>
  <si>
    <t xml:space="preserve">593620100</t>
  </si>
  <si>
    <t xml:space="preserve">Коммунальное государственное предприятие на праве хозяйственного ведения «Городская поликлиника №3» коммунального государственного учреждения «Управление здравоохранения акимата Северо- Казахстанской области»</t>
  </si>
  <si>
    <t xml:space="preserve">990340006618</t>
  </si>
  <si>
    <t xml:space="preserve">Коммунальное государственное предприятие на праве хозяйственного ведения "Явленская районная больница" коммунального государственного учреждения "Управление здравоохранения акимата Северо-Казахстанской области"</t>
  </si>
  <si>
    <t xml:space="preserve">990340000064</t>
  </si>
  <si>
    <t xml:space="preserve">594230100</t>
  </si>
  <si>
    <t xml:space="preserve">Коммунальное государственное предприятие на праве хозяйственного ведения "Районная больница района Шал акына" коммунального государственного учреждения "Управление здравоохранения акимата Северо-Казахстанской области"</t>
  </si>
  <si>
    <t xml:space="preserve">990440000157</t>
  </si>
  <si>
    <t xml:space="preserve">595620100</t>
  </si>
  <si>
    <t xml:space="preserve">Коммунальное государственное предприятие на праве хозяйственного ведения "Городская поликлиника №1" коммунального государственного учреждения "Управление здравоохранения акимата Северо-Казахстанской области"</t>
  </si>
  <si>
    <t xml:space="preserve">10940004105</t>
  </si>
  <si>
    <t xml:space="preserve">Коммунальное государственное предприятие на праве хозяйственного ведения "Кызылжарская районная больница" коммунального государственного учреждения "Управление здравоохранения акимата Северо-Казахстанской области"</t>
  </si>
  <si>
    <t xml:space="preserve">20440004357</t>
  </si>
  <si>
    <t xml:space="preserve">595030100</t>
  </si>
  <si>
    <t xml:space="preserve">Коммунальное государственное предприятие на праве хозяйственного ведения "Айыртауская районная больница" коммунального государственного учреждения "Управление здравоохранения акимата Северо-Казахстанской области"</t>
  </si>
  <si>
    <t xml:space="preserve">990340003534</t>
  </si>
  <si>
    <t xml:space="preserve">593230100</t>
  </si>
  <si>
    <t xml:space="preserve">КГП на ПХВ «Тимирязевская районная больница» КГУ "Управление здравоохранения акимата Северо-Казахстанской области»</t>
  </si>
  <si>
    <t xml:space="preserve">990340006370</t>
  </si>
  <si>
    <t xml:space="preserve">596230100</t>
  </si>
  <si>
    <t xml:space="preserve">КГП на ПХВ «Жамбылская районная больница» КГУ «Управление здравоохранения акимата Северо-Казахстанской области»</t>
  </si>
  <si>
    <t xml:space="preserve">990340008059</t>
  </si>
  <si>
    <t xml:space="preserve">594630100</t>
  </si>
  <si>
    <t xml:space="preserve">КГП на ПХВ «Аккайынская районная больница» коммунального государственного учреждения «Управление здравоохранения акимата Северо-Казахстанской области»</t>
  </si>
  <si>
    <t xml:space="preserve">990740003201</t>
  </si>
  <si>
    <t xml:space="preserve">595830100</t>
  </si>
  <si>
    <t xml:space="preserve">КГП на ПХВ "Уалихановская районная больница" коммунального государственного учреждения "Управление здравоохранения акимата Северо-Казахстанской области"</t>
  </si>
  <si>
    <t xml:space="preserve">990240006892</t>
  </si>
  <si>
    <t xml:space="preserve">596430100</t>
  </si>
  <si>
    <t xml:space="preserve">КГП на ПХВ "Тайыншинская многопрофильная межрайонная больница" коммунального государственного учреждения "Управление здравоохранения акимата Северо-Казахстанской области"</t>
  </si>
  <si>
    <t xml:space="preserve">90640013059</t>
  </si>
  <si>
    <t xml:space="preserve">596020100</t>
  </si>
  <si>
    <t xml:space="preserve">КГП на ПХВ "Районная больница района имени Габита Мусрепова" коммунального государственного учреждения "Управление здравоохранения акимата Северо-Казахстанской области"</t>
  </si>
  <si>
    <t xml:space="preserve">990340007814</t>
  </si>
  <si>
    <t xml:space="preserve">596630100</t>
  </si>
  <si>
    <t xml:space="preserve">КГП на ПХВ "Акжарская районная больница" КГУ "Управление здравоохранения акимата СКО"</t>
  </si>
  <si>
    <t xml:space="preserve">990840001398</t>
  </si>
  <si>
    <t xml:space="preserve">593430100</t>
  </si>
  <si>
    <t xml:space="preserve">Коммунальное государственное предприятие на праве хозяйственного ведения "Городская поликлиника № 2" коммунального государственного учреждения "Управление здравоохранения акимата Северо-Казахстанской области"</t>
  </si>
  <si>
    <t xml:space="preserve">990440005089</t>
  </si>
  <si>
    <t xml:space="preserve">ТУРКЕСТАНСКАЯ</t>
  </si>
  <si>
    <t xml:space="preserve">ТОО "Лечебно - оздоровительный центр "Аян"</t>
  </si>
  <si>
    <t xml:space="preserve">170140024330</t>
  </si>
  <si>
    <t xml:space="preserve">515469800</t>
  </si>
  <si>
    <t xml:space="preserve">КАТО по ЦС «РПН» 515469800 в прежней кодировке ЮКО (51…) – приведён к коду района Туркестанской области (61…)</t>
  </si>
  <si>
    <t xml:space="preserve">ТОО "Авиценна-А"</t>
  </si>
  <si>
    <t xml:space="preserve">200740020239</t>
  </si>
  <si>
    <t xml:space="preserve">612038100</t>
  </si>
  <si>
    <t xml:space="preserve">КАТО по ЦС «РПН» 612038100 в КАТО 18.09.2026 отсутствует – район по первым 4 знакам кода</t>
  </si>
  <si>
    <t xml:space="preserve">ТОО "Күлпаршын"</t>
  </si>
  <si>
    <t xml:space="preserve">10640001823</t>
  </si>
  <si>
    <t xml:space="preserve">613820100</t>
  </si>
  <si>
    <t xml:space="preserve">ТОО "Клиника Талгата"</t>
  </si>
  <si>
    <t xml:space="preserve">990140005078</t>
  </si>
  <si>
    <t xml:space="preserve">611010000</t>
  </si>
  <si>
    <t xml:space="preserve">ТОО "Клиника доктора Ирсалиева Н.Р."</t>
  </si>
  <si>
    <t xml:space="preserve">230440017967</t>
  </si>
  <si>
    <t xml:space="preserve">615267100</t>
  </si>
  <si>
    <t xml:space="preserve">ТОО "Ем Коныр"</t>
  </si>
  <si>
    <t xml:space="preserve">140940004964</t>
  </si>
  <si>
    <t xml:space="preserve">515230100</t>
  </si>
  <si>
    <t xml:space="preserve">КАТО по ЦС «РПН» 515230100 в прежней кодировке ЮКО (51…) – приведён к коду района Туркестанской области (61…)</t>
  </si>
  <si>
    <t xml:space="preserve">ТОО "ДанияМед"</t>
  </si>
  <si>
    <t xml:space="preserve">210840026302</t>
  </si>
  <si>
    <t xml:space="preserve">ТОО "Ақниет PLUS"</t>
  </si>
  <si>
    <t xml:space="preserve">190140006019</t>
  </si>
  <si>
    <t xml:space="preserve">615253100</t>
  </si>
  <si>
    <t xml:space="preserve">ТОО "БЕГІМ АRT"</t>
  </si>
  <si>
    <t xml:space="preserve">70740015947</t>
  </si>
  <si>
    <t xml:space="preserve">515420100</t>
  </si>
  <si>
    <t xml:space="preserve">КАТО по ЦС «РПН» 515420100 в прежней кодировке ЮКО (51…) – приведён к коду района Туркестанской области (61…)</t>
  </si>
  <si>
    <t xml:space="preserve">ТОО "БакАру Групп"</t>
  </si>
  <si>
    <t xml:space="preserve">210540010761</t>
  </si>
  <si>
    <t xml:space="preserve">612010000</t>
  </si>
  <si>
    <t xml:space="preserve">ТОО "Амина медицина орталығы"</t>
  </si>
  <si>
    <t xml:space="preserve">190440023149</t>
  </si>
  <si>
    <t xml:space="preserve">ТОО "Ақзере-ТМ"</t>
  </si>
  <si>
    <t xml:space="preserve">20940005135</t>
  </si>
  <si>
    <t xml:space="preserve">ТОО "Азия-Фаворит"</t>
  </si>
  <si>
    <t xml:space="preserve">111240001406</t>
  </si>
  <si>
    <t xml:space="preserve">ТОО "Азия мед-МО"</t>
  </si>
  <si>
    <t xml:space="preserve">210740020954</t>
  </si>
  <si>
    <t xml:space="preserve">ТОО "ГАПЛ"</t>
  </si>
  <si>
    <t xml:space="preserve">160140012964</t>
  </si>
  <si>
    <t xml:space="preserve">613843100</t>
  </si>
  <si>
    <t xml:space="preserve">ТОО "Мед клиника "Сұңқар"</t>
  </si>
  <si>
    <t xml:space="preserve">230640025876</t>
  </si>
  <si>
    <t xml:space="preserve">Учреждение "Больница "АКМАРАЛ"</t>
  </si>
  <si>
    <t xml:space="preserve">980740003428</t>
  </si>
  <si>
    <t xml:space="preserve">ТОО "Медицинский центр "Ай-фарма"</t>
  </si>
  <si>
    <t xml:space="preserve">130840021225</t>
  </si>
  <si>
    <t xml:space="preserve">614030100</t>
  </si>
  <si>
    <t xml:space="preserve">Учреждение "Лечебно-оздоровительный центр "Санитас"</t>
  </si>
  <si>
    <t xml:space="preserve">981240003492</t>
  </si>
  <si>
    <t xml:space="preserve">Учреждение "Клинико - диагностический центр Международного казахско-турецкого университета имени Ходжи Ахмета Ясави"</t>
  </si>
  <si>
    <t xml:space="preserve">70140010161</t>
  </si>
  <si>
    <t xml:space="preserve">ТОО "Spina sanus"</t>
  </si>
  <si>
    <t xml:space="preserve">180340019442</t>
  </si>
  <si>
    <t xml:space="preserve">УЕ "Медицинский центр "САПА"</t>
  </si>
  <si>
    <t xml:space="preserve">140540025546</t>
  </si>
  <si>
    <t xml:space="preserve">ТОО "Ясли-сад "Балбөбек-1"</t>
  </si>
  <si>
    <t xml:space="preserve">170340007942</t>
  </si>
  <si>
    <t xml:space="preserve">616065100</t>
  </si>
  <si>
    <t xml:space="preserve">ТОО "Центр реабилитации"</t>
  </si>
  <si>
    <t xml:space="preserve">970640002968</t>
  </si>
  <si>
    <t xml:space="preserve">614657100</t>
  </si>
  <si>
    <t xml:space="preserve">ТОО "Сельская врачебная амбулатория "Коксу"</t>
  </si>
  <si>
    <t xml:space="preserve">980440004287</t>
  </si>
  <si>
    <t xml:space="preserve">616439100</t>
  </si>
  <si>
    <t xml:space="preserve">ТОО "Салауат Медикал"</t>
  </si>
  <si>
    <t xml:space="preserve">180140004417</t>
  </si>
  <si>
    <t xml:space="preserve">614630100</t>
  </si>
  <si>
    <t xml:space="preserve">ТОО "РОЗАКУЛ АТА"</t>
  </si>
  <si>
    <t xml:space="preserve">150940021558</t>
  </si>
  <si>
    <t xml:space="preserve">ТОО "Өркен"</t>
  </si>
  <si>
    <t xml:space="preserve">31040007916</t>
  </si>
  <si>
    <t xml:space="preserve">ТОО "Омедин"</t>
  </si>
  <si>
    <t xml:space="preserve">170940020723</t>
  </si>
  <si>
    <t xml:space="preserve">ТОО "Нұрлы-Мед"</t>
  </si>
  <si>
    <t xml:space="preserve">151240012390</t>
  </si>
  <si>
    <t xml:space="preserve">ТОО "МЦ Рауан"</t>
  </si>
  <si>
    <t xml:space="preserve">170440008697</t>
  </si>
  <si>
    <t xml:space="preserve">ТОО "Медцентр-Кентау"</t>
  </si>
  <si>
    <t xml:space="preserve">991240004717</t>
  </si>
  <si>
    <t xml:space="preserve">ТОО "Медицинский центр "Яссин"</t>
  </si>
  <si>
    <t xml:space="preserve">190940019159</t>
  </si>
  <si>
    <t xml:space="preserve">615820100</t>
  </si>
  <si>
    <t xml:space="preserve">ТОО "Мед центр AKSU"</t>
  </si>
  <si>
    <t xml:space="preserve">220740017470</t>
  </si>
  <si>
    <t xml:space="preserve">ТОО "ROLLAN MED"</t>
  </si>
  <si>
    <t xml:space="preserve">210940026811</t>
  </si>
  <si>
    <t xml:space="preserve">ТОО "МЕДИЦИНСКИЙ ЦЕНТР МАНКЕНТ"</t>
  </si>
  <si>
    <t xml:space="preserve">220740037861</t>
  </si>
  <si>
    <t xml:space="preserve">ТОО "MEDICAL PARK-E"</t>
  </si>
  <si>
    <t xml:space="preserve">200140023747</t>
  </si>
  <si>
    <t xml:space="preserve">515249300</t>
  </si>
  <si>
    <t xml:space="preserve">КАТО по ЦС «РПН» 515249300 в прежней кодировке ЮКО (51…) – приведён к коду района Туркестанской области (61…)</t>
  </si>
  <si>
    <t xml:space="preserve">ГКП на ПХВ "Туркестанская городская поликлиника" управления здравоохранения Туркестанской области</t>
  </si>
  <si>
    <t xml:space="preserve">240004495</t>
  </si>
  <si>
    <t xml:space="preserve">ГКП на ПХВ "Областная клиническая больница" управления здравоохранения Туркестанской области</t>
  </si>
  <si>
    <t xml:space="preserve">990740001631</t>
  </si>
  <si>
    <t xml:space="preserve">791310000</t>
  </si>
  <si>
    <t xml:space="preserve">ГКП на ПХВ "Кентауская городская поликлиника" управления здравоохранения Туркестанской области</t>
  </si>
  <si>
    <t xml:space="preserve">990740003370</t>
  </si>
  <si>
    <t xml:space="preserve">ГКП на праве хозяйственного ведения «Центральная районная больница Байдибек» управления здравоохранения Туркестанской области</t>
  </si>
  <si>
    <t xml:space="preserve">91040001056</t>
  </si>
  <si>
    <t xml:space="preserve">613630100</t>
  </si>
  <si>
    <t xml:space="preserve">ГКП на праве хозяйственного ведения «Сарыагашская многопрофильная центральная районная больница» управления здравоохранения Туркестанской области</t>
  </si>
  <si>
    <t xml:space="preserve">91040010283</t>
  </si>
  <si>
    <t xml:space="preserve">ГКП на праве хозяйственного ведения "Шардаринская центральная районная больница"</t>
  </si>
  <si>
    <t xml:space="preserve">91040007917</t>
  </si>
  <si>
    <t xml:space="preserve">616420100</t>
  </si>
  <si>
    <t xml:space="preserve">ГКП ПХВ "Казыгуртская центральная районная больница" управления здравоохранения Туркестанской области</t>
  </si>
  <si>
    <t xml:space="preserve">91040002807</t>
  </si>
  <si>
    <t xml:space="preserve">ГКП на праве хозяйственного ведения "Толебийская районная больница" управления здравоохранения Туркестанской области</t>
  </si>
  <si>
    <t xml:space="preserve">90940018813</t>
  </si>
  <si>
    <t xml:space="preserve">615847100</t>
  </si>
  <si>
    <t xml:space="preserve">ГКП на праве хозяйственного ведения "Сайрамская районная больница "Карабулак" управления здравоохронения Туркестанской области</t>
  </si>
  <si>
    <t xml:space="preserve">91040003697</t>
  </si>
  <si>
    <t xml:space="preserve">ГКП на праве хозяйственного ведения "Ленгерская городская поликлиника" управления здравоохранения Туркестанской области</t>
  </si>
  <si>
    <t xml:space="preserve">90940018744</t>
  </si>
  <si>
    <t xml:space="preserve">ГКП на праве хозяйственного ведения "Арысская центральная районная больница" управления здравоохранения Туркестанской области</t>
  </si>
  <si>
    <t xml:space="preserve">91040004104</t>
  </si>
  <si>
    <t xml:space="preserve">611610000</t>
  </si>
  <si>
    <t xml:space="preserve">ГКП "На праве хозяйственного ведения "Тюлькубасская центральная районная больница" управления здравоохранения Туркестанской области"</t>
  </si>
  <si>
    <t xml:space="preserve">91040006740</t>
  </si>
  <si>
    <t xml:space="preserve">616030100</t>
  </si>
  <si>
    <t xml:space="preserve">ГКП "на праве хозяйственного ведения "Отырарская центральная районная больница" управления здравоохранения Туркестанской области"</t>
  </si>
  <si>
    <t xml:space="preserve">91040006979</t>
  </si>
  <si>
    <t xml:space="preserve">614830100</t>
  </si>
  <si>
    <t xml:space="preserve">ТОО "MegaMed"</t>
  </si>
  <si>
    <t xml:space="preserve">191040029611</t>
  </si>
  <si>
    <t xml:space="preserve">ГКП на праве хозяйственного ведения "Сузакская центральная районная больница" управления здравоохранения Туркестанской области</t>
  </si>
  <si>
    <t xml:space="preserve">91040005910</t>
  </si>
  <si>
    <t xml:space="preserve">515630100</t>
  </si>
  <si>
    <t xml:space="preserve">КАТО по ЦС «РПН» 515630100 в прежней кодировке ЮКО (51…) – приведён к коду района Туркестанской области (61…)</t>
  </si>
  <si>
    <t xml:space="preserve">государственное коммунальное предприятие на праве хозяйственного ведения "Жетысайская многопрофильная центральная районная больница" управления здравоохранения Туркестанской области</t>
  </si>
  <si>
    <t xml:space="preserve">90940018586</t>
  </si>
  <si>
    <t xml:space="preserve">613853600</t>
  </si>
  <si>
    <t xml:space="preserve">ГКП на ПХВ "Районная поликлиника Сауран" УЗ Туркестанской области</t>
  </si>
  <si>
    <t xml:space="preserve">210940008388</t>
  </si>
  <si>
    <t xml:space="preserve">612057100</t>
  </si>
  <si>
    <t xml:space="preserve">по наименованию МО (район Сауран); КАТО в ЦС «РПН» 612057100 в КАТО 18.09.2026 отсутствует</t>
  </si>
  <si>
    <t xml:space="preserve">государственное коммунальное предприятие на праве хозяйственного ведения "Мактааральская районная больница "Мырзакент" управления здравоохранения Туркестанской области</t>
  </si>
  <si>
    <t xml:space="preserve">91040002946</t>
  </si>
  <si>
    <t xml:space="preserve">614430100</t>
  </si>
  <si>
    <t xml:space="preserve">ТОО "MEDICAL CENTER SHUBARSU (МЕДИКАЛ ЦЕНТР ШУБАРСУ)"</t>
  </si>
  <si>
    <t xml:space="preserve">180740013001</t>
  </si>
  <si>
    <t xml:space="preserve">ТОО "KAUSAR KLINIKASY"</t>
  </si>
  <si>
    <t xml:space="preserve">211240002415</t>
  </si>
  <si>
    <t xml:space="preserve">615265100</t>
  </si>
  <si>
    <t xml:space="preserve">ТОО "Jacksoft MDS. Клиника"</t>
  </si>
  <si>
    <t xml:space="preserve">230440018320</t>
  </si>
  <si>
    <t xml:space="preserve">ТОО "DOCTOR MEDICAL"</t>
  </si>
  <si>
    <t xml:space="preserve">190740004222</t>
  </si>
  <si>
    <t xml:space="preserve">государственное коммунальное предприятие на праве хозяйственного ведения "Мактааральская районная больница "Атакент" управления здравоохранения Туркестанской области</t>
  </si>
  <si>
    <t xml:space="preserve">90940018516</t>
  </si>
  <si>
    <t xml:space="preserve">614477580</t>
  </si>
  <si>
    <t xml:space="preserve">ТОО "Da'rmen Clinic"</t>
  </si>
  <si>
    <t xml:space="preserve">220440035428</t>
  </si>
  <si>
    <t xml:space="preserve">613930100</t>
  </si>
  <si>
    <t xml:space="preserve">ТОО ""Медицинский центр "АЯЛА-МЕД""</t>
  </si>
  <si>
    <t xml:space="preserve">180940011706</t>
  </si>
  <si>
    <t xml:space="preserve">Товарищество с ограниченной ответственностью "Мед Алатау"</t>
  </si>
  <si>
    <t xml:space="preserve">150940015991</t>
  </si>
  <si>
    <t xml:space="preserve">ТОО "Dives Group"</t>
  </si>
  <si>
    <t xml:space="preserve">140940008540</t>
  </si>
  <si>
    <t xml:space="preserve">Производственный кооператив "Нурболат"</t>
  </si>
  <si>
    <t xml:space="preserve">970340003540</t>
  </si>
  <si>
    <t xml:space="preserve">ПК "Торабтык аурухана"</t>
  </si>
  <si>
    <t xml:space="preserve">970240005197</t>
  </si>
  <si>
    <t xml:space="preserve">государственное коммунальное предприятие на праве хозяйственного ведения «Келесская районная больница «Абай» управления здравоохранения Туркестанской области</t>
  </si>
  <si>
    <t xml:space="preserve">91040010372</t>
  </si>
  <si>
    <t xml:space="preserve">государственное коммунальное предприятие на праве хозяйственного ведения «Жетысайская районная больница «Асыката» управления здравоохранения Туркестанской области</t>
  </si>
  <si>
    <t xml:space="preserve">91040000395</t>
  </si>
  <si>
    <t xml:space="preserve">Государственное коммунальное предприятие на праве хозяйственного ведения "Сайрамская центральная районная больница" управления здравоохранения Туркестанской области</t>
  </si>
  <si>
    <t xml:space="preserve">91040002074</t>
  </si>
  <si>
    <t xml:space="preserve">515230300</t>
  </si>
  <si>
    <t xml:space="preserve">КАТО по ЦС «РПН» 515230300 в прежней кодировке ЮКО (51…) – приведён к коду района Туркестанской области (61…)</t>
  </si>
  <si>
    <t xml:space="preserve">Государственное коммунальное предприятие на праве хозяйственного ведения "Ордабасинская многопрофильная центральная районная больница" управления здравоохранения Туркестанской области</t>
  </si>
  <si>
    <t xml:space="preserve">91040002440</t>
  </si>
  <si>
    <t xml:space="preserve">Товарищество с ограниченной ответственностью "Äl Käusär"</t>
  </si>
  <si>
    <t xml:space="preserve">210540031556</t>
  </si>
  <si>
    <t xml:space="preserve">612042100</t>
  </si>
  <si>
    <t xml:space="preserve">КАТО по ЦС «РПН» 612042100 в КАТО 18.09.2026 отсутствует – район по первым 4 знакам кода</t>
  </si>
  <si>
    <t xml:space="preserve">ҰЛЫТАУ</t>
  </si>
  <si>
    <t xml:space="preserve">ТОО "ЖезДенсаулық"</t>
  </si>
  <si>
    <t xml:space="preserve">11240005061</t>
  </si>
  <si>
    <t xml:space="preserve">621010000</t>
  </si>
  <si>
    <t xml:space="preserve">ТОО "ХорЛаН"</t>
  </si>
  <si>
    <t xml:space="preserve">31140001594</t>
  </si>
  <si>
    <t xml:space="preserve">КАТО в ЦС «РПН» не указан; предварительно г. Жезказган (областной центр) – требует подтверждения</t>
  </si>
  <si>
    <t xml:space="preserve">ТОО "Медицинский центр Жезказган"</t>
  </si>
  <si>
    <t xml:space="preserve">140940023762</t>
  </si>
  <si>
    <t xml:space="preserve">ТОО "Макенбаева"</t>
  </si>
  <si>
    <t xml:space="preserve">11240005150</t>
  </si>
  <si>
    <t xml:space="preserve">ТОО "Лекерова"</t>
  </si>
  <si>
    <t xml:space="preserve">11240008363</t>
  </si>
  <si>
    <t xml:space="preserve">622010000</t>
  </si>
  <si>
    <t xml:space="preserve">ТОО "Кошумбаева"</t>
  </si>
  <si>
    <t xml:space="preserve">11240007038</t>
  </si>
  <si>
    <t xml:space="preserve">ТОО "Журек"</t>
  </si>
  <si>
    <t xml:space="preserve">960340000207</t>
  </si>
  <si>
    <t xml:space="preserve">ТОО "Бексейтова Н.А."</t>
  </si>
  <si>
    <t xml:space="preserve">11240005041</t>
  </si>
  <si>
    <t xml:space="preserve">КГП на ПХВ «Поликлиника города Жезказган» управления здравоохранения области Ұлытау</t>
  </si>
  <si>
    <t xml:space="preserve">111040005818</t>
  </si>
  <si>
    <t xml:space="preserve">ТОО "Абильдинова"</t>
  </si>
  <si>
    <t xml:space="preserve">11240007018</t>
  </si>
  <si>
    <t xml:space="preserve">КГП предприятие на праве хозяйственного ведения "Многопрофильная центральная районная больница Жанааркинского района" управления здравоохранения области Ұлытау</t>
  </si>
  <si>
    <t xml:space="preserve">540002456</t>
  </si>
  <si>
    <t xml:space="preserve">623630100</t>
  </si>
  <si>
    <t xml:space="preserve">ТОО "Ахметова"</t>
  </si>
  <si>
    <t xml:space="preserve">11240007048</t>
  </si>
  <si>
    <t xml:space="preserve">КГП на ПХВ "Больница Улытауского района" УЗОҰ</t>
  </si>
  <si>
    <t xml:space="preserve">540002420</t>
  </si>
  <si>
    <t xml:space="preserve">623830100</t>
  </si>
  <si>
    <t xml:space="preserve">КГП на ПХВ "Больница города Каражал"</t>
  </si>
  <si>
    <t xml:space="preserve">990140002451</t>
  </si>
  <si>
    <t xml:space="preserve">621810000</t>
  </si>
  <si>
    <t xml:space="preserve">КГП на праве хозяйственного ведения "Поликлиника города Сатпаев" управления здравоохранения области Ұлытау</t>
  </si>
  <si>
    <t xml:space="preserve">21240002871</t>
  </si>
  <si>
    <t xml:space="preserve">КГКП "Больница поселка Жайрем"</t>
  </si>
  <si>
    <t xml:space="preserve">180240033731</t>
  </si>
  <si>
    <t xml:space="preserve">621835100</t>
  </si>
  <si>
    <t xml:space="preserve">ШЫМКЕНТ</t>
  </si>
  <si>
    <t xml:space="preserve">ТОО "Медикер ЮК"</t>
  </si>
  <si>
    <t xml:space="preserve">150140022767</t>
  </si>
  <si>
    <t xml:space="preserve">791710000</t>
  </si>
  <si>
    <t xml:space="preserve">ТОО "КАМЕЯ Pharm Group"</t>
  </si>
  <si>
    <t xml:space="preserve">240003070</t>
  </si>
  <si>
    <t xml:space="preserve">791510000</t>
  </si>
  <si>
    <t xml:space="preserve">ТОО "ДОЛАНА - БҰЛАҚ"</t>
  </si>
  <si>
    <t xml:space="preserve">150740002665</t>
  </si>
  <si>
    <t xml:space="preserve">ТОО "Дария-Медикус"</t>
  </si>
  <si>
    <t xml:space="preserve">210340012833</t>
  </si>
  <si>
    <t xml:space="preserve">ТОО "Городской Лечебный центр №15"</t>
  </si>
  <si>
    <t xml:space="preserve">220640028968</t>
  </si>
  <si>
    <t xml:space="preserve">ТОО "Shymkent Medical Services"</t>
  </si>
  <si>
    <t xml:space="preserve">180240008275</t>
  </si>
  <si>
    <t xml:space="preserve">ТОО "TURLAN MEDICAL"</t>
  </si>
  <si>
    <t xml:space="preserve">210640037063</t>
  </si>
  <si>
    <t xml:space="preserve">791110000</t>
  </si>
  <si>
    <t xml:space="preserve">ТОО "Медицинский центр "Togus-Med"</t>
  </si>
  <si>
    <t xml:space="preserve">220640048902</t>
  </si>
  <si>
    <t xml:space="preserve">ТОО "ParkHealth"</t>
  </si>
  <si>
    <t xml:space="preserve">180440018903</t>
  </si>
  <si>
    <t xml:space="preserve">ТОО "Otau Med"</t>
  </si>
  <si>
    <t xml:space="preserve">191240018514</t>
  </si>
  <si>
    <t xml:space="preserve">ТОО "№14 Емдеу орталығы"</t>
  </si>
  <si>
    <t xml:space="preserve">190940006662</t>
  </si>
  <si>
    <t xml:space="preserve">ТОО "VIP Service 17"</t>
  </si>
  <si>
    <t xml:space="preserve">50540010192</t>
  </si>
  <si>
    <t xml:space="preserve">ТОО "Медицинский центр "Ай-Нұры"</t>
  </si>
  <si>
    <t xml:space="preserve">110940000592</t>
  </si>
  <si>
    <t xml:space="preserve">ТОО "Медицинский центр "Ер - АНА"</t>
  </si>
  <si>
    <t xml:space="preserve">190740026322</t>
  </si>
  <si>
    <t xml:space="preserve">ТОО "Медицинский центр "Атамекен"</t>
  </si>
  <si>
    <t xml:space="preserve">191140012690</t>
  </si>
  <si>
    <t xml:space="preserve">ТОО "Медицинский центр "Омарали"</t>
  </si>
  <si>
    <t xml:space="preserve">180940018872</t>
  </si>
  <si>
    <t xml:space="preserve">ТОО "Медицинский центр "РайМед"</t>
  </si>
  <si>
    <t xml:space="preserve">170740030555</t>
  </si>
  <si>
    <t xml:space="preserve">ТОО "Медицинский центр доктора Орынбаева"</t>
  </si>
  <si>
    <t xml:space="preserve">540002221</t>
  </si>
  <si>
    <t xml:space="preserve">ТОО "МЦ "Sabi-med"</t>
  </si>
  <si>
    <t xml:space="preserve">171240008315</t>
  </si>
  <si>
    <t xml:space="preserve">ТОО "ОркенМед"</t>
  </si>
  <si>
    <t xml:space="preserve">200840005030</t>
  </si>
  <si>
    <t xml:space="preserve">ТОО "Отбасылық емхана"</t>
  </si>
  <si>
    <t xml:space="preserve">220740042729</t>
  </si>
  <si>
    <t xml:space="preserve">ТОО "Шымфарм"</t>
  </si>
  <si>
    <t xml:space="preserve">130940004992</t>
  </si>
  <si>
    <t xml:space="preserve">ТОО "Средне-Азиатский Высший медицинский колледж"</t>
  </si>
  <si>
    <t xml:space="preserve">140140019745</t>
  </si>
  <si>
    <t xml:space="preserve">ТОО "Студенческая поликлиника"</t>
  </si>
  <si>
    <t xml:space="preserve">201040003928</t>
  </si>
  <si>
    <t xml:space="preserve">ТОО "Сымбат-Нұр"</t>
  </si>
  <si>
    <t xml:space="preserve">111140013882</t>
  </si>
  <si>
    <t xml:space="preserve">ТОО "NURDAUA"</t>
  </si>
  <si>
    <t xml:space="preserve">220840010477</t>
  </si>
  <si>
    <t xml:space="preserve">ТОО "Медицинский центр "Алтын Тұмар"</t>
  </si>
  <si>
    <t xml:space="preserve">121240012007</t>
  </si>
  <si>
    <t xml:space="preserve">ТОО "Medical City"</t>
  </si>
  <si>
    <t xml:space="preserve">170640009117</t>
  </si>
  <si>
    <t xml:space="preserve">Государственное коммунальное предприятие на праве хозяйственного ведения "Городская поликлиника №10" управления здравоохранения города Шымкент</t>
  </si>
  <si>
    <t xml:space="preserve">240004425</t>
  </si>
  <si>
    <t xml:space="preserve">ТОО "Klinika Qazygurt"</t>
  </si>
  <si>
    <t xml:space="preserve">201040035165</t>
  </si>
  <si>
    <t xml:space="preserve">ТОО "Эскулап-Vita"</t>
  </si>
  <si>
    <t xml:space="preserve">100940011543</t>
  </si>
  <si>
    <t xml:space="preserve">ГКП на праве хозяйственного ведения "Городская поликлиника №1" управления здравоохранения города Шымкент</t>
  </si>
  <si>
    <t xml:space="preserve">991240004462</t>
  </si>
  <si>
    <t xml:space="preserve">Государственное коммунальное предприятие на праве хозяйственного ведения "Городская больница №2" управления здравоохранения города Шымкента</t>
  </si>
  <si>
    <t xml:space="preserve">170340012146</t>
  </si>
  <si>
    <t xml:space="preserve">Государственное коммунальное предприятие на праве хозяйственного ведения "Городская поликлиника № 2" управления здравоохранения города Шымкент</t>
  </si>
  <si>
    <t xml:space="preserve">991240004551</t>
  </si>
  <si>
    <t xml:space="preserve">Государственное коммунальное предприятие на праве хозяйственного ведения "Городская поликлиника №12" управления здравоохранения города Шымкент</t>
  </si>
  <si>
    <t xml:space="preserve">91040004259</t>
  </si>
  <si>
    <t xml:space="preserve">Государственное коммунальное предприятие на праве хозяйственного ведения "Городская поликлиника №3" управления здравоохранения города Шымкент</t>
  </si>
  <si>
    <t xml:space="preserve">130940020627</t>
  </si>
  <si>
    <t xml:space="preserve">Государственное коммунальное предприятие на праве хозяйственного ведения "Городская поликлиника №4" управления здравоохранения города Шымкент</t>
  </si>
  <si>
    <t xml:space="preserve">991140004677</t>
  </si>
  <si>
    <t xml:space="preserve">Государственное коммунальное предприятие на праве хозяйственного ведения "Городская поликлиника №5" управления здравоохранения города Шымкент</t>
  </si>
  <si>
    <t xml:space="preserve">991240004511</t>
  </si>
  <si>
    <t xml:space="preserve">Государственное коммунальное предприятие на праве хозяйственного ведения "Городская поликлиника №6" управления здравоохранения города Шымкент</t>
  </si>
  <si>
    <t xml:space="preserve">101240014733</t>
  </si>
  <si>
    <t xml:space="preserve">Государственное коммунальное предприятие на праве хозяйственного ведения "Городская поликлиника №7" управления здравоохранения города Шымкент"</t>
  </si>
  <si>
    <t xml:space="preserve">101240013537</t>
  </si>
  <si>
    <t xml:space="preserve">Государственное коммунальное предприятие на праве хозяйственного ведения "Городская поликлиника №9" управления здравоохранения города Шымкент</t>
  </si>
  <si>
    <t xml:space="preserve">130740003520</t>
  </si>
  <si>
    <t xml:space="preserve">Государственное коммунальное предприятие на праве хозяйственного ведения "Городская поликлиника№8" управления здравоохранения города Шымкент</t>
  </si>
  <si>
    <t xml:space="preserve">140440022499</t>
  </si>
  <si>
    <t xml:space="preserve">Государственное коммунальное предриятие на праве хозяйственного ведения "Городская поликлиника №11" управления здравоохранения города Шымкент</t>
  </si>
  <si>
    <t xml:space="preserve">991240004591</t>
  </si>
  <si>
    <t xml:space="preserve">ПрК "Поликлиника Чапаевка"</t>
  </si>
  <si>
    <t xml:space="preserve">970740002567</t>
  </si>
  <si>
    <t xml:space="preserve">Товарищество с ограниченной ответственностью "Sunkar Premium"</t>
  </si>
  <si>
    <t xml:space="preserve">130940014672</t>
  </si>
  <si>
    <t xml:space="preserve">Товарищество с ограниченной ответственностью "АЛИНУР и К"</t>
  </si>
  <si>
    <t xml:space="preserve">140840021405</t>
  </si>
  <si>
    <t xml:space="preserve">Товарищество с ограниченной ответственностью "М.Ф.К. Хаят"</t>
  </si>
  <si>
    <t xml:space="preserve">151140000213</t>
  </si>
  <si>
    <t xml:space="preserve">Товарищество с ограниченной ответственностью "Поликлиника "Дау-Мед"</t>
  </si>
  <si>
    <t xml:space="preserve">130940012309</t>
  </si>
  <si>
    <t xml:space="preserve">ТОО "Alfa Med (Альфа Мед)"</t>
  </si>
  <si>
    <t xml:space="preserve">160740004316</t>
  </si>
  <si>
    <t xml:space="preserve">ТОО "ALẎA MED"</t>
  </si>
  <si>
    <t xml:space="preserve">190740009104</t>
  </si>
  <si>
    <t xml:space="preserve">ТОО "AQBOLAT medicinalyq ortalygy"</t>
  </si>
  <si>
    <t xml:space="preserve">181040021664</t>
  </si>
  <si>
    <t xml:space="preserve">ТОО "ASEM MEDICAL"</t>
  </si>
  <si>
    <t xml:space="preserve">160140011644</t>
  </si>
  <si>
    <t xml:space="preserve">ТОО "CLINICA 77"</t>
  </si>
  <si>
    <t xml:space="preserve">211040019472</t>
  </si>
  <si>
    <t xml:space="preserve">ТОО "KANSMED"</t>
  </si>
  <si>
    <t xml:space="preserve">220540031944</t>
  </si>
  <si>
    <t xml:space="preserve">ТОО "Klinika Aqbura"</t>
  </si>
  <si>
    <t xml:space="preserve">220740022378</t>
  </si>
  <si>
    <t xml:space="preserve">Государственное коммунальное предриятие на праве хозяйственного ведения "Городская поликлиника №13" управления здравоохранения города Шымкент</t>
  </si>
  <si>
    <t xml:space="preserve">991240004571</t>
  </si>
  <si>
    <t xml:space="preserve">Частное учреждение "Семейно-врачебная амбулатория Интертич города Шымкент"</t>
  </si>
  <si>
    <t xml:space="preserve">11140006849</t>
  </si>
  <si>
    <t xml:space="preserve">Итого</t>
  </si>
  <si>
    <t xml:space="preserve">МО, местонахождение которых требует документального подтверждения (влияют на численность районов и Кплотн)</t>
  </si>
  <si>
    <t xml:space="preserve">Порядок: найти МО по БИН в реестре объектов здравоохранения (qalqan.e-qazyna.kz → Реестр объектов) или на stat.gov.kz (поиск юр. лиц по БИН); указать КАТО/адрес производственной базы, ссылку и приложить скриншот.</t>
  </si>
  <si>
    <t xml:space="preserve">Область</t>
  </si>
  <si>
    <t xml:space="preserve">Район в расчёте (предварительно)</t>
  </si>
  <si>
    <t xml:space="preserve">КАТО/адрес по источнику</t>
  </si>
  <si>
    <t xml:space="preserve">Ссылка на источник</t>
  </si>
  <si>
    <t xml:space="preserve">Скриншот (№ приложения)</t>
  </si>
  <si>
    <t xml:space="preserve">Район подтверждён (да/нет)</t>
  </si>
  <si>
    <t xml:space="preserve">Площадь районов и городов на 01.01.2026 (ответ МСХ РК), тыс. га</t>
  </si>
  <si>
    <t xml:space="preserve">Район (МСХ)</t>
  </si>
  <si>
    <t xml:space="preserve">Площадь, тыс. га</t>
  </si>
  <si>
    <t xml:space="preserve">Абай облысы</t>
  </si>
  <si>
    <t xml:space="preserve">Абайский</t>
  </si>
  <si>
    <t xml:space="preserve">Аксуатский</t>
  </si>
  <si>
    <t xml:space="preserve">Аягозский</t>
  </si>
  <si>
    <t xml:space="preserve">Бескарагайский</t>
  </si>
  <si>
    <t xml:space="preserve">Бородулихинский</t>
  </si>
  <si>
    <t xml:space="preserve">Жарминский</t>
  </si>
  <si>
    <t xml:space="preserve">Кокпектинский</t>
  </si>
  <si>
    <t xml:space="preserve">Урджарский</t>
  </si>
  <si>
    <t xml:space="preserve">г.Курчатов</t>
  </si>
  <si>
    <t xml:space="preserve">г.Семей</t>
  </si>
  <si>
    <t xml:space="preserve">Ақмола облысы</t>
  </si>
  <si>
    <t xml:space="preserve">Аккольский</t>
  </si>
  <si>
    <t xml:space="preserve">Аршалынский</t>
  </si>
  <si>
    <t xml:space="preserve">Астраханский</t>
  </si>
  <si>
    <t xml:space="preserve">Атбасарский</t>
  </si>
  <si>
    <t xml:space="preserve">Буландынский</t>
  </si>
  <si>
    <t xml:space="preserve">Бурабайский</t>
  </si>
  <si>
    <t xml:space="preserve">Биржан Сал</t>
  </si>
  <si>
    <t xml:space="preserve">Егиндыкольский</t>
  </si>
  <si>
    <t xml:space="preserve">Ерейментауский</t>
  </si>
  <si>
    <t xml:space="preserve">Есильский</t>
  </si>
  <si>
    <t xml:space="preserve">Жаксынский</t>
  </si>
  <si>
    <t xml:space="preserve">Жаркаинский</t>
  </si>
  <si>
    <t xml:space="preserve">Зерендинский</t>
  </si>
  <si>
    <t xml:space="preserve">Коргалжынский</t>
  </si>
  <si>
    <t xml:space="preserve">Сандыктауский</t>
  </si>
  <si>
    <t xml:space="preserve">Целиноградский</t>
  </si>
  <si>
    <t xml:space="preserve">Шортандинский</t>
  </si>
  <si>
    <t xml:space="preserve">г.Кокшетау</t>
  </si>
  <si>
    <t xml:space="preserve">г.Косшы</t>
  </si>
  <si>
    <t xml:space="preserve">г.Степногорск</t>
  </si>
  <si>
    <t xml:space="preserve">Ақтөбе облысы</t>
  </si>
  <si>
    <t xml:space="preserve">Айтекебийский</t>
  </si>
  <si>
    <t xml:space="preserve">Алгинский</t>
  </si>
  <si>
    <t xml:space="preserve">Байганинский</t>
  </si>
  <si>
    <t xml:space="preserve">Иргизский</t>
  </si>
  <si>
    <t xml:space="preserve">Каргалинский</t>
  </si>
  <si>
    <t xml:space="preserve">Кобдинский</t>
  </si>
  <si>
    <t xml:space="preserve">Мартукский</t>
  </si>
  <si>
    <t xml:space="preserve">Мугалжарский</t>
  </si>
  <si>
    <t xml:space="preserve">Темирский</t>
  </si>
  <si>
    <t xml:space="preserve">Уилский</t>
  </si>
  <si>
    <t xml:space="preserve">Хромтауский</t>
  </si>
  <si>
    <t xml:space="preserve">Шалкарский</t>
  </si>
  <si>
    <t xml:space="preserve">г. Актобе</t>
  </si>
  <si>
    <t xml:space="preserve">Алматы облысы</t>
  </si>
  <si>
    <t xml:space="preserve">Балхашский</t>
  </si>
  <si>
    <t xml:space="preserve">Енбекшиказахский</t>
  </si>
  <si>
    <t xml:space="preserve">Жамбылский</t>
  </si>
  <si>
    <t xml:space="preserve">Илийский</t>
  </si>
  <si>
    <t xml:space="preserve">Карасайский</t>
  </si>
  <si>
    <t xml:space="preserve">Кегенский</t>
  </si>
  <si>
    <t xml:space="preserve">Райымбекский</t>
  </si>
  <si>
    <t xml:space="preserve">Талгарский</t>
  </si>
  <si>
    <t xml:space="preserve">Уйгурский</t>
  </si>
  <si>
    <t xml:space="preserve">г. Алатау</t>
  </si>
  <si>
    <t xml:space="preserve">г. Конаев</t>
  </si>
  <si>
    <t xml:space="preserve">Атырау облысы</t>
  </si>
  <si>
    <t xml:space="preserve">Жылыойский</t>
  </si>
  <si>
    <t xml:space="preserve">Индерский</t>
  </si>
  <si>
    <t xml:space="preserve">Исатайский</t>
  </si>
  <si>
    <t xml:space="preserve">Курмангазинский</t>
  </si>
  <si>
    <t xml:space="preserve">Кызылкогинский</t>
  </si>
  <si>
    <t xml:space="preserve">Макатский</t>
  </si>
  <si>
    <t xml:space="preserve">Махамбетский</t>
  </si>
  <si>
    <t xml:space="preserve">г.Атырау</t>
  </si>
  <si>
    <t xml:space="preserve">Шығыс Қазақстан облысы</t>
  </si>
  <si>
    <t xml:space="preserve">Глубоковский</t>
  </si>
  <si>
    <t xml:space="preserve">Зайсанский</t>
  </si>
  <si>
    <t xml:space="preserve">Катон-Карагайский</t>
  </si>
  <si>
    <t xml:space="preserve">Курчумский</t>
  </si>
  <si>
    <t xml:space="preserve">Тарбагатайский</t>
  </si>
  <si>
    <t xml:space="preserve">Уланский</t>
  </si>
  <si>
    <t xml:space="preserve">Шемонаихинский</t>
  </si>
  <si>
    <t xml:space="preserve">г.Риддер</t>
  </si>
  <si>
    <t xml:space="preserve">г.Усть-Каменогорск</t>
  </si>
  <si>
    <t xml:space="preserve">Жамбыл облысы</t>
  </si>
  <si>
    <t xml:space="preserve">Байзакский</t>
  </si>
  <si>
    <t xml:space="preserve">Жуалынский</t>
  </si>
  <si>
    <t xml:space="preserve">Кордайский</t>
  </si>
  <si>
    <t xml:space="preserve">Меркенский</t>
  </si>
  <si>
    <t xml:space="preserve">Мойынкумский</t>
  </si>
  <si>
    <t xml:space="preserve">Сарысуский</t>
  </si>
  <si>
    <t xml:space="preserve">Таласский</t>
  </si>
  <si>
    <t xml:space="preserve">Турар Рыскулов</t>
  </si>
  <si>
    <t xml:space="preserve">Шуский</t>
  </si>
  <si>
    <t xml:space="preserve">г. Тараз</t>
  </si>
  <si>
    <t xml:space="preserve">Жетісу облысы</t>
  </si>
  <si>
    <t xml:space="preserve">Аксуский</t>
  </si>
  <si>
    <t xml:space="preserve">Алакольский</t>
  </si>
  <si>
    <t xml:space="preserve">Ескельдинский</t>
  </si>
  <si>
    <t xml:space="preserve">Каратальский</t>
  </si>
  <si>
    <t xml:space="preserve">Кербулакский</t>
  </si>
  <si>
    <t xml:space="preserve">Коксуский</t>
  </si>
  <si>
    <t xml:space="preserve">Панфиловский</t>
  </si>
  <si>
    <t xml:space="preserve">Саркандский</t>
  </si>
  <si>
    <t xml:space="preserve">г.Талдыкорган</t>
  </si>
  <si>
    <t xml:space="preserve">г.Текели</t>
  </si>
  <si>
    <t xml:space="preserve">Батыс Қазақстан облысы</t>
  </si>
  <si>
    <t xml:space="preserve">Акжаикский</t>
  </si>
  <si>
    <t xml:space="preserve">район Байтерек (Зеленовский)</t>
  </si>
  <si>
    <t xml:space="preserve">Бокейординский</t>
  </si>
  <si>
    <t xml:space="preserve">Бурлинский</t>
  </si>
  <si>
    <t xml:space="preserve">Жангалинский</t>
  </si>
  <si>
    <t xml:space="preserve">Жанибекский</t>
  </si>
  <si>
    <t xml:space="preserve">Казталовский</t>
  </si>
  <si>
    <t xml:space="preserve">Каратобинский</t>
  </si>
  <si>
    <t xml:space="preserve">Сырымский</t>
  </si>
  <si>
    <t xml:space="preserve">Таскалинский</t>
  </si>
  <si>
    <t xml:space="preserve">Теректинский</t>
  </si>
  <si>
    <t xml:space="preserve">Чингирлауский</t>
  </si>
  <si>
    <t xml:space="preserve">г.Уральск</t>
  </si>
  <si>
    <t xml:space="preserve">Қарағанды облысы</t>
  </si>
  <si>
    <t xml:space="preserve">Актогайский</t>
  </si>
  <si>
    <t xml:space="preserve">Бухар-Жырауский</t>
  </si>
  <si>
    <t xml:space="preserve">Каркаралинский</t>
  </si>
  <si>
    <t xml:space="preserve">Нуринский</t>
  </si>
  <si>
    <t xml:space="preserve">Осакаровский</t>
  </si>
  <si>
    <t xml:space="preserve">Шетский</t>
  </si>
  <si>
    <t xml:space="preserve">г.Балхаш</t>
  </si>
  <si>
    <t xml:space="preserve">г.Караганды</t>
  </si>
  <si>
    <t xml:space="preserve">г.Приозерск</t>
  </si>
  <si>
    <t xml:space="preserve">г.Сарань</t>
  </si>
  <si>
    <t xml:space="preserve">г.Темиртау</t>
  </si>
  <si>
    <t xml:space="preserve">г.Шахтинск</t>
  </si>
  <si>
    <t xml:space="preserve">Қостанай облысы</t>
  </si>
  <si>
    <t xml:space="preserve">Алтынсаринский</t>
  </si>
  <si>
    <t xml:space="preserve">Амангельдинский</t>
  </si>
  <si>
    <t xml:space="preserve">Аулиекольский</t>
  </si>
  <si>
    <t xml:space="preserve">Беймбета Майлина</t>
  </si>
  <si>
    <t xml:space="preserve">Денисовский</t>
  </si>
  <si>
    <t xml:space="preserve">Жангельдинский</t>
  </si>
  <si>
    <t xml:space="preserve">Житикаринский</t>
  </si>
  <si>
    <t xml:space="preserve">Камыстинский</t>
  </si>
  <si>
    <t xml:space="preserve">Карабалыкский</t>
  </si>
  <si>
    <t xml:space="preserve">Карасуский</t>
  </si>
  <si>
    <t xml:space="preserve">Костанайский</t>
  </si>
  <si>
    <t xml:space="preserve">Мендыкаринский</t>
  </si>
  <si>
    <t xml:space="preserve">Наурзумский</t>
  </si>
  <si>
    <t xml:space="preserve">Сарыкольский</t>
  </si>
  <si>
    <t xml:space="preserve">Узункольский</t>
  </si>
  <si>
    <t xml:space="preserve">Федоровский</t>
  </si>
  <si>
    <t xml:space="preserve">г.Аркалык</t>
  </si>
  <si>
    <t xml:space="preserve">г.Лисаковск</t>
  </si>
  <si>
    <t xml:space="preserve">г.Костанай</t>
  </si>
  <si>
    <t xml:space="preserve">г.Рудный</t>
  </si>
  <si>
    <t xml:space="preserve">Қызылорда облысы</t>
  </si>
  <si>
    <t xml:space="preserve">Аральский</t>
  </si>
  <si>
    <t xml:space="preserve">Жалагашский</t>
  </si>
  <si>
    <t xml:space="preserve">Жанакорганский</t>
  </si>
  <si>
    <t xml:space="preserve">Казалинский</t>
  </si>
  <si>
    <t xml:space="preserve">Кармакшинский</t>
  </si>
  <si>
    <t xml:space="preserve">Сырдарьинский</t>
  </si>
  <si>
    <t xml:space="preserve">Шиелийский</t>
  </si>
  <si>
    <t xml:space="preserve">г.Кызылорда</t>
  </si>
  <si>
    <t xml:space="preserve">Маңғыстау облысы</t>
  </si>
  <si>
    <t xml:space="preserve">Бейнеуский</t>
  </si>
  <si>
    <t xml:space="preserve">Каракиянский</t>
  </si>
  <si>
    <t xml:space="preserve">Мангистауский</t>
  </si>
  <si>
    <t xml:space="preserve">Мунайлинский</t>
  </si>
  <si>
    <t xml:space="preserve">Тупкараганский</t>
  </si>
  <si>
    <t xml:space="preserve">г.Актау</t>
  </si>
  <si>
    <t xml:space="preserve">г.Жанаозен</t>
  </si>
  <si>
    <t xml:space="preserve">Павлодар қаласы</t>
  </si>
  <si>
    <t xml:space="preserve">Баянаульский</t>
  </si>
  <si>
    <t xml:space="preserve">Железинский</t>
  </si>
  <si>
    <t xml:space="preserve">Иртышский</t>
  </si>
  <si>
    <t xml:space="preserve">Майский</t>
  </si>
  <si>
    <t xml:space="preserve">Павлодарский</t>
  </si>
  <si>
    <t xml:space="preserve">Успенский</t>
  </si>
  <si>
    <t xml:space="preserve">Щербактинский</t>
  </si>
  <si>
    <t xml:space="preserve">г.Аксу</t>
  </si>
  <si>
    <t xml:space="preserve">г.Павлодар</t>
  </si>
  <si>
    <t xml:space="preserve">г.Экибастуз</t>
  </si>
  <si>
    <t xml:space="preserve">Солтүстік Қазақстан облысы</t>
  </si>
  <si>
    <t xml:space="preserve">Айыртауский</t>
  </si>
  <si>
    <t xml:space="preserve">Акжарский</t>
  </si>
  <si>
    <t xml:space="preserve">Аккайынский</t>
  </si>
  <si>
    <t xml:space="preserve">им.Габита Мусрепова</t>
  </si>
  <si>
    <t xml:space="preserve">Кызылжарский</t>
  </si>
  <si>
    <t xml:space="preserve">им. Магжана Жумабаева</t>
  </si>
  <si>
    <t xml:space="preserve">Мамлютский</t>
  </si>
  <si>
    <t xml:space="preserve">Тайыншинский</t>
  </si>
  <si>
    <t xml:space="preserve">Тимирязевский</t>
  </si>
  <si>
    <t xml:space="preserve">Уалихановский</t>
  </si>
  <si>
    <t xml:space="preserve">район Шал акына</t>
  </si>
  <si>
    <t xml:space="preserve">г.Петропавловск</t>
  </si>
  <si>
    <t xml:space="preserve">Түркістан облысы</t>
  </si>
  <si>
    <t xml:space="preserve">район Байдибек</t>
  </si>
  <si>
    <t xml:space="preserve">Жетысайский</t>
  </si>
  <si>
    <t xml:space="preserve">Казгуртский</t>
  </si>
  <si>
    <t xml:space="preserve">Келесский</t>
  </si>
  <si>
    <t xml:space="preserve">Махтааральский</t>
  </si>
  <si>
    <t xml:space="preserve">Ордабасинский</t>
  </si>
  <si>
    <t xml:space="preserve">Отрарский</t>
  </si>
  <si>
    <t xml:space="preserve">Сайрамский</t>
  </si>
  <si>
    <t xml:space="preserve">Сарыагашский</t>
  </si>
  <si>
    <t xml:space="preserve">Сузакский</t>
  </si>
  <si>
    <t xml:space="preserve">Толебийский</t>
  </si>
  <si>
    <t xml:space="preserve">Тюлькубасский</t>
  </si>
  <si>
    <t xml:space="preserve">Шардаринский</t>
  </si>
  <si>
    <t xml:space="preserve">г.Арысь</t>
  </si>
  <si>
    <t xml:space="preserve">г.Кентау</t>
  </si>
  <si>
    <t xml:space="preserve">г.Туркестан</t>
  </si>
  <si>
    <t xml:space="preserve">Ұлытау облысы</t>
  </si>
  <si>
    <t xml:space="preserve">Жанааркинский</t>
  </si>
  <si>
    <t xml:space="preserve">Улытауский</t>
  </si>
  <si>
    <t xml:space="preserve">г.Жезказган</t>
  </si>
  <si>
    <t xml:space="preserve">г.Каражал</t>
  </si>
  <si>
    <t xml:space="preserve">г.Сатпаев</t>
  </si>
  <si>
    <t xml:space="preserve">Алматы қаласы</t>
  </si>
  <si>
    <t xml:space="preserve">г.Алматы</t>
  </si>
  <si>
    <t xml:space="preserve">Астана қаласы</t>
  </si>
  <si>
    <t xml:space="preserve">г.Астана</t>
  </si>
  <si>
    <t xml:space="preserve">Шымкент қаласы</t>
  </si>
  <si>
    <t xml:space="preserve">г.Шымкент</t>
  </si>
  <si>
    <t xml:space="preserve">Прикреплённое население по МО, ЦС «РПН» на 01.08.2026 (выгрузка с КАТО от 04.10.2026), и район МО</t>
  </si>
  <si>
    <t xml:space="preserve">Область (ЦС «РПН»)</t>
  </si>
  <si>
    <t xml:space="preserve">Прикреплённое население на 01.08.2026</t>
  </si>
  <si>
    <t xml:space="preserve">Источник района (примечание)</t>
  </si>
  <si>
    <t xml:space="preserve">КАТО (ЦС «РПН»)</t>
  </si>
  <si>
    <t xml:space="preserve">ТОО "Viamedis Kosshy"</t>
  </si>
  <si>
    <t xml:space="preserve">по наименованию МО (г. Косшы); КАТО в ЦС «РПН» 711210000 – район Есиль г. Астаны (юридический адрес)</t>
  </si>
  <si>
    <t xml:space="preserve">240840022484</t>
  </si>
  <si>
    <t xml:space="preserve">Коммунальное государственное предприятие на праве хозяйственного ведения "Городская поликлиника №37" Управления общественного здравоохранение города Алматы</t>
  </si>
  <si>
    <t xml:space="preserve">260340017892</t>
  </si>
  <si>
    <t xml:space="preserve">КАТО местонахождения МО по ЦС «РПН» (выгрузка от 04.10.2026), соответствует КАТО 18.09.2026; в т.ч. 6 285 чел. – население района Марқакөл (лист «Моделирование»)</t>
  </si>
  <si>
    <t xml:space="preserve">ТОО "AYA CLINIC Medical Centre"</t>
  </si>
  <si>
    <t xml:space="preserve">220940046540</t>
  </si>
  <si>
    <t xml:space="preserve">473639100</t>
  </si>
  <si>
    <t xml:space="preserve">ТОО "Центр персональной медицины"</t>
  </si>
  <si>
    <t xml:space="preserve">120340016090</t>
  </si>
  <si>
    <t xml:space="preserve">Базовый КПН ПМСП по приказу № ҚР ДСМ-170/2020 (ред. приказа от 31.12.2025 № 176), приложение 8 и приложение 1 к тарифам, тенге</t>
  </si>
  <si>
    <t xml:space="preserve">БКПН для субъектов городского значения</t>
  </si>
  <si>
    <t xml:space="preserve">БКПН для субъектов районного значения и села</t>
  </si>
  <si>
    <t xml:space="preserve">Остальные регионы: 1 686,17 тенге для всех субъектов ПМСП (приложение 8). Субъекты районного значения и села – субъекты ПМСП, расположенные в районах (тип территории «район» на листе «Расчет Кплотн»).</t>
  </si>
  <si>
    <t xml:space="preserve">Подтверждение численности района Марқакөл: прикреплённое население КГП на ПХВ «Районная больница Курчумского района» по участкам</t>
  </si>
  <si>
    <t xml:space="preserve">Источник: список прикреплённого населения по медицинской организации, ЦС «РПН» (на 01.01.2026, сформирован 28.08.2026), 19 647 чел.; адрес проживания – графа «Адрес» (район, сельский округ).</t>
  </si>
  <si>
    <t xml:space="preserve">Участок</t>
  </si>
  <si>
    <t xml:space="preserve">Прикреплено, чел.</t>
  </si>
  <si>
    <t xml:space="preserve">в т.ч. проживают в сельских округах района Марқакөл</t>
  </si>
  <si>
    <t xml:space="preserve">Доля</t>
  </si>
  <si>
    <t xml:space="preserve">Обслуживает район Марқакөл</t>
  </si>
  <si>
    <t xml:space="preserve">1 общей практики</t>
  </si>
  <si>
    <t xml:space="preserve">3 общей практики</t>
  </si>
  <si>
    <t xml:space="preserve">7 общей практики</t>
  </si>
  <si>
    <t xml:space="preserve">2 общей практики</t>
  </si>
  <si>
    <t xml:space="preserve">101 общей практики</t>
  </si>
  <si>
    <t xml:space="preserve">10 общей практики</t>
  </si>
  <si>
    <t xml:space="preserve">102 общей практики</t>
  </si>
  <si>
    <t xml:space="preserve">9 общей практики</t>
  </si>
  <si>
    <t xml:space="preserve">12 общей практики</t>
  </si>
  <si>
    <t xml:space="preserve">106 общей практики</t>
  </si>
  <si>
    <t xml:space="preserve">104 общей практики</t>
  </si>
  <si>
    <t xml:space="preserve">2 педиатрический</t>
  </si>
  <si>
    <t xml:space="preserve">105 общей практики</t>
  </si>
  <si>
    <t xml:space="preserve">Итого по Курчумской РБ</t>
  </si>
  <si>
    <t xml:space="preserve">Район Марқакөл (участки № 101, 102, 104, 105, 106):</t>
  </si>
  <si>
    <t xml:space="preserve">Численность, принятая в расчёте, чел.</t>
  </si>
  <si>
    <t xml:space="preserve">Справочно: проживают в сельских округах района Марқакөл (Теректинский/Маркакольский, Тоскаинский, Бурановский, Акбулакский, Калжырский), всего по РБ, чел.</t>
  </si>
  <si>
    <t xml:space="preserve">Курчумский район (Курчумская РБ за вычетом района Марқакөл), чел.</t>
  </si>
  <si>
    <t xml:space="preserve">Сельские округа района Марқакөл – по КАТО 18.09.2026 (635530000 Маркакольский, 635533000 Тоскаинский, 635535000 Бурановский, 635537000 Акбулакский, 635539000 Калжырский с.о.); Теректинский с.о. в адресах ЦС «РПН» соответствует Маркакольскому с.о. (с. Теректы, Акжайлау).</t>
  </si>
  <si>
    <t xml:space="preserve">Численность выгрузки по МО (19 647 чел.) отличается от сводной выгрузки ЦС «РПН» на 01.01.2026 по Курчумской РБ (19 655 чел.) на 8 чел.</t>
  </si>
  <si>
    <t xml:space="preserve">Сравнение источников для определения района (города) местонахождения субъектов ПМСП</t>
  </si>
  <si>
    <t xml:space="preserve">Численность – ИС «РПН» на 01.01.2026; КАТО – классификатор на 18.09.2026; расчёт КПН – листы ГОБМП/ОСМС файла «Расчет ПВК и КПН (Моделирование)».</t>
  </si>
  <si>
    <t xml:space="preserve">Область (ИС «РПН»)</t>
  </si>
  <si>
    <t xml:space="preserve">Прикреплённое население (ИС «РПН» на 01.01.2026), чел.</t>
  </si>
  <si>
    <t xml:space="preserve">Район по ИС «РПН»</t>
  </si>
  <si>
    <t xml:space="preserve">Район по КАТО (по наименованию МО)</t>
  </si>
  <si>
    <t xml:space="preserve">Интернет-источник (ссылка)</t>
  </si>
  <si>
    <t xml:space="preserve">Принятый район в расчёте</t>
  </si>
  <si>
    <t xml:space="preserve">Результат сравнения</t>
  </si>
  <si>
    <t xml:space="preserve">Примечание</t>
  </si>
  <si>
    <t xml:space="preserve">080640003228</t>
  </si>
  <si>
    <t xml:space="preserve">не указан</t>
  </si>
  <si>
    <t xml:space="preserve">район Ақсуат (1034)</t>
  </si>
  <si>
    <t xml:space="preserve">Совпадает (КАТО = расчёт КПН)</t>
  </si>
  <si>
    <t xml:space="preserve">–</t>
  </si>
  <si>
    <t xml:space="preserve">Жарминский район (1042)</t>
  </si>
  <si>
    <t xml:space="preserve">Только расчёт КПН – требует подтверждения</t>
  </si>
  <si>
    <t xml:space="preserve">район Жаңасемей (1041)</t>
  </si>
  <si>
    <t xml:space="preserve">https://enbek.kz/ru</t>
  </si>
  <si>
    <t xml:space="preserve">Семей (1010)</t>
  </si>
  <si>
    <t xml:space="preserve">Только расчёт КПН (на Кплотн не влияет) – подтвердить</t>
  </si>
  <si>
    <t xml:space="preserve">У-е "Казыгул"</t>
  </si>
  <si>
    <t xml:space="preserve">Аягозский район (1036)</t>
  </si>
  <si>
    <t xml:space="preserve">Не определён – отнесён к областному центру, требует подтверждения</t>
  </si>
  <si>
    <t xml:space="preserve">090940007481</t>
  </si>
  <si>
    <t xml:space="preserve">051140004661</t>
  </si>
  <si>
    <t xml:space="preserve">080640010558</t>
  </si>
  <si>
    <t xml:space="preserve">Урджарский район (1046)</t>
  </si>
  <si>
    <t xml:space="preserve">080640010372</t>
  </si>
  <si>
    <t xml:space="preserve">Бескарагайский район (1038)</t>
  </si>
  <si>
    <t xml:space="preserve">район Мақаншы (1045)</t>
  </si>
  <si>
    <t xml:space="preserve">050740001874</t>
  </si>
  <si>
    <t xml:space="preserve">080640013601</t>
  </si>
  <si>
    <t xml:space="preserve">080640002349</t>
  </si>
  <si>
    <t xml:space="preserve">080740000693</t>
  </si>
  <si>
    <t xml:space="preserve">080640019859</t>
  </si>
  <si>
    <t xml:space="preserve">Бородулихинский район (1040)</t>
  </si>
  <si>
    <t xml:space="preserve">080640003505</t>
  </si>
  <si>
    <t xml:space="preserve">080640010736</t>
  </si>
  <si>
    <t xml:space="preserve">Кокпектинский район (1044)</t>
  </si>
  <si>
    <t xml:space="preserve">080540020185</t>
  </si>
  <si>
    <t xml:space="preserve">Абайский район (1032)</t>
  </si>
  <si>
    <t xml:space="preserve">080640000888</t>
  </si>
  <si>
    <t xml:space="preserve">080640006916</t>
  </si>
  <si>
    <t xml:space="preserve">КГП на ПХВ "Шульбинская врачебная амбулатория" управления здравоохранения области Абай</t>
  </si>
  <si>
    <t xml:space="preserve">Только КАТО (в расчёте КПН нет)</t>
  </si>
  <si>
    <t xml:space="preserve">011240001762</t>
  </si>
  <si>
    <t xml:space="preserve">Курчатов (1018)</t>
  </si>
  <si>
    <t xml:space="preserve">080640009455</t>
  </si>
  <si>
    <t xml:space="preserve">Степногорск (1118)</t>
  </si>
  <si>
    <t xml:space="preserve">090340005863</t>
  </si>
  <si>
    <t xml:space="preserve">Аршалынский район (1134)</t>
  </si>
  <si>
    <t xml:space="preserve">090340010380</t>
  </si>
  <si>
    <t xml:space="preserve">район Биржан сал (1145)</t>
  </si>
  <si>
    <t xml:space="preserve">Государственное коммунальное предприятие на праве хозяйственного ведения "Городская поликлиника №1 города Косшы" при управлении здравоохранения Акмолинской области</t>
  </si>
  <si>
    <t xml:space="preserve">Косшы (1116)</t>
  </si>
  <si>
    <t xml:space="preserve">Кокшетау (1110)</t>
  </si>
  <si>
    <t xml:space="preserve">160840010265</t>
  </si>
  <si>
    <t xml:space="preserve">140940007146</t>
  </si>
  <si>
    <t xml:space="preserve">Целиноградский район (1166)</t>
  </si>
  <si>
    <t xml:space="preserve">040640003220</t>
  </si>
  <si>
    <t xml:space="preserve">Егиндыкольский район (1144)</t>
  </si>
  <si>
    <t xml:space="preserve">Расхождение внутри расчёта КПН – требует подтверждения</t>
  </si>
  <si>
    <t xml:space="preserve">В расчёте КПН – г. Косшы, но Кплотн Целиноградского района (1,1961), население учтено как сельское</t>
  </si>
  <si>
    <t xml:space="preserve">040540002962</t>
  </si>
  <si>
    <t xml:space="preserve">Коргалжынский район (1160)</t>
  </si>
  <si>
    <t xml:space="preserve">040440004053</t>
  </si>
  <si>
    <t xml:space="preserve">Есильский район (1148)</t>
  </si>
  <si>
    <t xml:space="preserve">040540002883</t>
  </si>
  <si>
    <t xml:space="preserve">Шортандинский район (1168)</t>
  </si>
  <si>
    <t xml:space="preserve">040540003019</t>
  </si>
  <si>
    <t xml:space="preserve">Ерейментауский район (1146)</t>
  </si>
  <si>
    <t xml:space="preserve">040540002972</t>
  </si>
  <si>
    <t xml:space="preserve">Аккольский район (1132)</t>
  </si>
  <si>
    <t xml:space="preserve">040440004480</t>
  </si>
  <si>
    <t xml:space="preserve">Астраханский район (1136)</t>
  </si>
  <si>
    <t xml:space="preserve">040540002912</t>
  </si>
  <si>
    <t xml:space="preserve">Буландынский район (1140)</t>
  </si>
  <si>
    <t xml:space="preserve">070240006721</t>
  </si>
  <si>
    <t xml:space="preserve">Бурабайский район (1170)</t>
  </si>
  <si>
    <t xml:space="preserve">030640002677</t>
  </si>
  <si>
    <t xml:space="preserve">040440000299</t>
  </si>
  <si>
    <t xml:space="preserve">Атбасарский район (1138)</t>
  </si>
  <si>
    <t xml:space="preserve">040540002942</t>
  </si>
  <si>
    <t xml:space="preserve">Жаксынский район (1152)</t>
  </si>
  <si>
    <t xml:space="preserve">050340004933</t>
  </si>
  <si>
    <t xml:space="preserve">Жаркаинский район (1154)</t>
  </si>
  <si>
    <t xml:space="preserve">090340006957</t>
  </si>
  <si>
    <t xml:space="preserve">Зерендинский район (1156)</t>
  </si>
  <si>
    <t xml:space="preserve">040540002922</t>
  </si>
  <si>
    <t xml:space="preserve">Сандыктауский район (1164)</t>
  </si>
  <si>
    <t xml:space="preserve">070440005027</t>
  </si>
  <si>
    <t xml:space="preserve">Актобе (1510)</t>
  </si>
  <si>
    <t xml:space="preserve">Мугалжарский район (1548)</t>
  </si>
  <si>
    <t xml:space="preserve">ТОО "Медицинский центр Евразия"</t>
  </si>
  <si>
    <t xml:space="preserve">041240002322</t>
  </si>
  <si>
    <t xml:space="preserve">Темирский район (1556)</t>
  </si>
  <si>
    <t xml:space="preserve">Шалкарский район (1564)</t>
  </si>
  <si>
    <t xml:space="preserve">Айтекебийский район (1534)</t>
  </si>
  <si>
    <t xml:space="preserve">021140002114</t>
  </si>
  <si>
    <t xml:space="preserve">000740002655</t>
  </si>
  <si>
    <t xml:space="preserve">020640002615</t>
  </si>
  <si>
    <t xml:space="preserve">030340003783</t>
  </si>
  <si>
    <t xml:space="preserve">Хобдинский район (1542)</t>
  </si>
  <si>
    <t xml:space="preserve">Мартукский район (1546)</t>
  </si>
  <si>
    <t xml:space="preserve">060140002367</t>
  </si>
  <si>
    <t xml:space="preserve">Байганинский район (1536)</t>
  </si>
  <si>
    <t xml:space="preserve">Алгинский район (1532)</t>
  </si>
  <si>
    <t xml:space="preserve">020740002074</t>
  </si>
  <si>
    <t xml:space="preserve">060140005381</t>
  </si>
  <si>
    <t xml:space="preserve">Иргизский район (1568)</t>
  </si>
  <si>
    <t xml:space="preserve">Каргалинский район (1540)</t>
  </si>
  <si>
    <t xml:space="preserve">Хромтауский район (1560)</t>
  </si>
  <si>
    <t xml:space="preserve">060440006310</t>
  </si>
  <si>
    <t xml:space="preserve">Уилский район (1552)</t>
  </si>
  <si>
    <t xml:space="preserve">180440036169</t>
  </si>
  <si>
    <t xml:space="preserve">Жамбылский район (1942)</t>
  </si>
  <si>
    <t xml:space="preserve">Карасайский район (1952)</t>
  </si>
  <si>
    <t xml:space="preserve">Енбекшиказахский район (1940)</t>
  </si>
  <si>
    <t xml:space="preserve">Талгарский район (1962)</t>
  </si>
  <si>
    <t xml:space="preserve">Алатау (1918)</t>
  </si>
  <si>
    <t xml:space="preserve">ТОО "Интермедикал"</t>
  </si>
  <si>
    <t xml:space="preserve">190940012101</t>
  </si>
  <si>
    <t xml:space="preserve">Қонаев (1910)</t>
  </si>
  <si>
    <t xml:space="preserve">000840004833</t>
  </si>
  <si>
    <t xml:space="preserve">040840002735</t>
  </si>
  <si>
    <t xml:space="preserve">Илийский район (1968)</t>
  </si>
  <si>
    <t xml:space="preserve">020640001111</t>
  </si>
  <si>
    <t xml:space="preserve">211240008385</t>
  </si>
  <si>
    <t xml:space="preserve">ТОО "BRT clinic"</t>
  </si>
  <si>
    <t xml:space="preserve">020240003916</t>
  </si>
  <si>
    <t xml:space="preserve">Уйгурский район (1966)</t>
  </si>
  <si>
    <t xml:space="preserve">020240003847</t>
  </si>
  <si>
    <t xml:space="preserve">Балхашский район (1936)</t>
  </si>
  <si>
    <t xml:space="preserve">020240004459</t>
  </si>
  <si>
    <t xml:space="preserve">090240008820</t>
  </si>
  <si>
    <t xml:space="preserve">090240011484</t>
  </si>
  <si>
    <t xml:space="preserve">020240004627</t>
  </si>
  <si>
    <t xml:space="preserve">Кегенский район (1944)</t>
  </si>
  <si>
    <t xml:space="preserve">090240009402</t>
  </si>
  <si>
    <t xml:space="preserve">Райымбекский район (1958)</t>
  </si>
  <si>
    <t xml:space="preserve">Товарищество с ограниченной ответственностью "МЕД ЦЕНТР "МЕДИНА" (МЕД ЦЕНТР МЕДИНА)"</t>
  </si>
  <si>
    <t xml:space="preserve">090240005678</t>
  </si>
  <si>
    <t xml:space="preserve">г. Алматы (7500)</t>
  </si>
  <si>
    <t xml:space="preserve">Совпадает (город респ. значения по ИС «РПН»)</t>
  </si>
  <si>
    <t xml:space="preserve">080440002679</t>
  </si>
  <si>
    <t xml:space="preserve">ТОО "АСМЕД Мынбаева"</t>
  </si>
  <si>
    <t xml:space="preserve">020940005809</t>
  </si>
  <si>
    <t xml:space="preserve">010740001659</t>
  </si>
  <si>
    <t xml:space="preserve">040240003345</t>
  </si>
  <si>
    <t xml:space="preserve">020740002381</t>
  </si>
  <si>
    <t xml:space="preserve">060340003779</t>
  </si>
  <si>
    <t xml:space="preserve">010940000529</t>
  </si>
  <si>
    <t xml:space="preserve">080240012827</t>
  </si>
  <si>
    <t xml:space="preserve">090640010748</t>
  </si>
  <si>
    <t xml:space="preserve">040340003973</t>
  </si>
  <si>
    <t xml:space="preserve">Товарищество с ограниченной ответственностью "Unilab Medical"</t>
  </si>
  <si>
    <t xml:space="preserve">040240003187</t>
  </si>
  <si>
    <t xml:space="preserve">011240001891</t>
  </si>
  <si>
    <t xml:space="preserve">080940013246</t>
  </si>
  <si>
    <t xml:space="preserve">001240001919</t>
  </si>
  <si>
    <t xml:space="preserve">040340003894</t>
  </si>
  <si>
    <t xml:space="preserve">040240003197</t>
  </si>
  <si>
    <t xml:space="preserve">081240013808</t>
  </si>
  <si>
    <t xml:space="preserve">090140017707</t>
  </si>
  <si>
    <t xml:space="preserve">г. Астана (7100)</t>
  </si>
  <si>
    <t xml:space="preserve">090340017685</t>
  </si>
  <si>
    <t xml:space="preserve">020340006260</t>
  </si>
  <si>
    <t xml:space="preserve">000440001359</t>
  </si>
  <si>
    <t xml:space="preserve">070440005285</t>
  </si>
  <si>
    <t xml:space="preserve">070740004842</t>
  </si>
  <si>
    <t xml:space="preserve">070740004911</t>
  </si>
  <si>
    <t xml:space="preserve">070740003864</t>
  </si>
  <si>
    <t xml:space="preserve">010240001998</t>
  </si>
  <si>
    <t xml:space="preserve">Атырау (2310)</t>
  </si>
  <si>
    <t xml:space="preserve">090640005662</t>
  </si>
  <si>
    <t xml:space="preserve">060840012934</t>
  </si>
  <si>
    <t xml:space="preserve">040740011423</t>
  </si>
  <si>
    <t xml:space="preserve">070240006286</t>
  </si>
  <si>
    <t xml:space="preserve">Кзылкогинский район (2348)</t>
  </si>
  <si>
    <t xml:space="preserve">Макатский район (2352)</t>
  </si>
  <si>
    <t xml:space="preserve">010840006881</t>
  </si>
  <si>
    <t xml:space="preserve">070140004543</t>
  </si>
  <si>
    <t xml:space="preserve">010940002109</t>
  </si>
  <si>
    <t xml:space="preserve">070140004523</t>
  </si>
  <si>
    <t xml:space="preserve">Махамбетский район (2356)</t>
  </si>
  <si>
    <t xml:space="preserve">070240006117</t>
  </si>
  <si>
    <t xml:space="preserve">Исатайский район (2342)</t>
  </si>
  <si>
    <t xml:space="preserve">070140004563</t>
  </si>
  <si>
    <t xml:space="preserve">070240006206</t>
  </si>
  <si>
    <t xml:space="preserve">Курмангазинский район (2346)</t>
  </si>
  <si>
    <t xml:space="preserve">070240006048</t>
  </si>
  <si>
    <t xml:space="preserve">Индерский район (2340)</t>
  </si>
  <si>
    <t xml:space="preserve">040940002967</t>
  </si>
  <si>
    <t xml:space="preserve">Жылыойский район (2336)</t>
  </si>
  <si>
    <t xml:space="preserve">070140004434</t>
  </si>
  <si>
    <t xml:space="preserve">Усть-Каменогорск (6310)</t>
  </si>
  <si>
    <t xml:space="preserve">080540018321</t>
  </si>
  <si>
    <t xml:space="preserve">Уланский район (6362)</t>
  </si>
  <si>
    <t xml:space="preserve">080640011744</t>
  </si>
  <si>
    <t xml:space="preserve">Катон-Карагайский район (6354)</t>
  </si>
  <si>
    <t xml:space="preserve">080640011417</t>
  </si>
  <si>
    <t xml:space="preserve">район Үлкен Нарын (6363)</t>
  </si>
  <si>
    <t xml:space="preserve">080640016814</t>
  </si>
  <si>
    <t xml:space="preserve">Глубоковский район (6340)</t>
  </si>
  <si>
    <t xml:space="preserve">080740012052</t>
  </si>
  <si>
    <t xml:space="preserve">Зайсанский район (6346)</t>
  </si>
  <si>
    <t xml:space="preserve">Риддер (6324)</t>
  </si>
  <si>
    <t xml:space="preserve">080640014382</t>
  </si>
  <si>
    <t xml:space="preserve">район Алтай (6348)</t>
  </si>
  <si>
    <t xml:space="preserve">Курчумский район (6352)</t>
  </si>
  <si>
    <t xml:space="preserve">080640010409</t>
  </si>
  <si>
    <t xml:space="preserve">район Самар (6356)</t>
  </si>
  <si>
    <t xml:space="preserve">080740008521</t>
  </si>
  <si>
    <t xml:space="preserve">Шемонаихинский район (6368)</t>
  </si>
  <si>
    <t xml:space="preserve">071140024977</t>
  </si>
  <si>
    <t xml:space="preserve">080740001812</t>
  </si>
  <si>
    <t xml:space="preserve">080640009831</t>
  </si>
  <si>
    <t xml:space="preserve">Тарбагатайский район (6358)</t>
  </si>
  <si>
    <t xml:space="preserve">Тараз (3110)</t>
  </si>
  <si>
    <t xml:space="preserve">Меркенский район (3154)</t>
  </si>
  <si>
    <t xml:space="preserve">ТОО "МЦ "Серпін"</t>
  </si>
  <si>
    <t xml:space="preserve">191040001522</t>
  </si>
  <si>
    <t xml:space="preserve">Жамбылский район (3140)</t>
  </si>
  <si>
    <t xml:space="preserve">район Турара Рыскулова (3150)</t>
  </si>
  <si>
    <t xml:space="preserve">Таласский район (3162)</t>
  </si>
  <si>
    <t xml:space="preserve">Кордайский район (3148)</t>
  </si>
  <si>
    <t xml:space="preserve">010940002046</t>
  </si>
  <si>
    <t xml:space="preserve">011040001715</t>
  </si>
  <si>
    <t xml:space="preserve">Жуалынский район (3142)</t>
  </si>
  <si>
    <t xml:space="preserve">050240003921</t>
  </si>
  <si>
    <t xml:space="preserve">Сарысуский район (3160)</t>
  </si>
  <si>
    <t xml:space="preserve">Мойынкумский район (3156)</t>
  </si>
  <si>
    <t xml:space="preserve">Шуский район (3166)</t>
  </si>
  <si>
    <t xml:space="preserve">000440001993</t>
  </si>
  <si>
    <t xml:space="preserve">040540002724</t>
  </si>
  <si>
    <t xml:space="preserve">Байзакский район (3136)</t>
  </si>
  <si>
    <t xml:space="preserve">020240003798</t>
  </si>
  <si>
    <t xml:space="preserve">Текели (3318)</t>
  </si>
  <si>
    <t xml:space="preserve">130241033292</t>
  </si>
  <si>
    <t xml:space="preserve">Талдыкорган (3310)</t>
  </si>
  <si>
    <t xml:space="preserve">Панфиловский район (3346)</t>
  </si>
  <si>
    <t xml:space="preserve">020240004161</t>
  </si>
  <si>
    <t xml:space="preserve">Сарканский район (3348)</t>
  </si>
  <si>
    <t xml:space="preserve">020240004191</t>
  </si>
  <si>
    <t xml:space="preserve">Каратальский район (3344)</t>
  </si>
  <si>
    <t xml:space="preserve">020240004131</t>
  </si>
  <si>
    <t xml:space="preserve">Алакольский район (3334)</t>
  </si>
  <si>
    <t xml:space="preserve">090240012125</t>
  </si>
  <si>
    <t xml:space="preserve">020240003926</t>
  </si>
  <si>
    <t xml:space="preserve">Коксуский район (3342)</t>
  </si>
  <si>
    <t xml:space="preserve">Кербулакский район (3340)</t>
  </si>
  <si>
    <t xml:space="preserve">020240004250</t>
  </si>
  <si>
    <t xml:space="preserve">Аксуский район (3332)</t>
  </si>
  <si>
    <t xml:space="preserve">020240003946</t>
  </si>
  <si>
    <t xml:space="preserve">Ескельдинский район (3336)</t>
  </si>
  <si>
    <t xml:space="preserve">070740006313</t>
  </si>
  <si>
    <t xml:space="preserve">Чингирлауский район (2766)</t>
  </si>
  <si>
    <t xml:space="preserve">070440006283</t>
  </si>
  <si>
    <t xml:space="preserve">Жангалинский район (2740)</t>
  </si>
  <si>
    <t xml:space="preserve">070740006294</t>
  </si>
  <si>
    <t xml:space="preserve">Казталовский район (2748)</t>
  </si>
  <si>
    <t xml:space="preserve">070640005371</t>
  </si>
  <si>
    <t xml:space="preserve">070740006145</t>
  </si>
  <si>
    <t xml:space="preserve">Акжаикский район (2732)</t>
  </si>
  <si>
    <t xml:space="preserve">Уральск (2710)</t>
  </si>
  <si>
    <t xml:space="preserve">050540005304</t>
  </si>
  <si>
    <t xml:space="preserve">010140001756</t>
  </si>
  <si>
    <t xml:space="preserve">041240012436</t>
  </si>
  <si>
    <t xml:space="preserve">Бурлинский район (2736)</t>
  </si>
  <si>
    <t xml:space="preserve">070740006254</t>
  </si>
  <si>
    <t xml:space="preserve">Теректинский район (2762)</t>
  </si>
  <si>
    <t xml:space="preserve">070640005252</t>
  </si>
  <si>
    <t xml:space="preserve">Жанибекский район (2742)</t>
  </si>
  <si>
    <t xml:space="preserve">070340006616</t>
  </si>
  <si>
    <t xml:space="preserve">Сырымский район (2758)</t>
  </si>
  <si>
    <t xml:space="preserve">071140005920</t>
  </si>
  <si>
    <t xml:space="preserve">Бокейординский район (2754)</t>
  </si>
  <si>
    <t xml:space="preserve">070340001183</t>
  </si>
  <si>
    <t xml:space="preserve">Каратобинский район (2750)</t>
  </si>
  <si>
    <t xml:space="preserve">070740002727</t>
  </si>
  <si>
    <t xml:space="preserve">район Бәйтерек (2744)</t>
  </si>
  <si>
    <t xml:space="preserve">070740006234</t>
  </si>
  <si>
    <t xml:space="preserve">050140005667</t>
  </si>
  <si>
    <t xml:space="preserve">Таскалинский район (2760)</t>
  </si>
  <si>
    <t xml:space="preserve">Караганда (3510)</t>
  </si>
  <si>
    <t xml:space="preserve">Балхаш (3516)</t>
  </si>
  <si>
    <t xml:space="preserve">ТОО "Врачебная амбулатория Мейрим-К"</t>
  </si>
  <si>
    <t xml:space="preserve">021240006547</t>
  </si>
  <si>
    <t xml:space="preserve">https://www.goszakup.gov.kz/ru/registry/show_supplier/171980</t>
  </si>
  <si>
    <t xml:space="preserve">Подтверждено интернет-источником</t>
  </si>
  <si>
    <t xml:space="preserve">081040006540</t>
  </si>
  <si>
    <t xml:space="preserve">Темиртау (3524)</t>
  </si>
  <si>
    <t xml:space="preserve">010940006459</t>
  </si>
  <si>
    <t xml:space="preserve">Шахтинск (3528)</t>
  </si>
  <si>
    <t xml:space="preserve">000440002446</t>
  </si>
  <si>
    <t xml:space="preserve">Актогайский район (3536)</t>
  </si>
  <si>
    <t xml:space="preserve">000540002407</t>
  </si>
  <si>
    <t xml:space="preserve">Осакаровский район (3556)</t>
  </si>
  <si>
    <t xml:space="preserve">030240002513</t>
  </si>
  <si>
    <t xml:space="preserve">Шетский район (3564)</t>
  </si>
  <si>
    <t xml:space="preserve">090140006444</t>
  </si>
  <si>
    <t xml:space="preserve">000540002468</t>
  </si>
  <si>
    <t xml:space="preserve">Абайский район (3532)</t>
  </si>
  <si>
    <t xml:space="preserve">000540000969</t>
  </si>
  <si>
    <t xml:space="preserve">Каркаралинский район (3548)</t>
  </si>
  <si>
    <t xml:space="preserve">000440002387</t>
  </si>
  <si>
    <t xml:space="preserve">Нуринский район (3552)</t>
  </si>
  <si>
    <t xml:space="preserve">Приозерск (3521)</t>
  </si>
  <si>
    <t xml:space="preserve">Сарань (3522)</t>
  </si>
  <si>
    <t xml:space="preserve">000540002419</t>
  </si>
  <si>
    <t xml:space="preserve">Бухар-Жырауский район (3540)</t>
  </si>
  <si>
    <t xml:space="preserve">Аулиекольский район (3936)</t>
  </si>
  <si>
    <t xml:space="preserve">Узункольский район (3966)</t>
  </si>
  <si>
    <t xml:space="preserve">Федоровский район (3968)</t>
  </si>
  <si>
    <t xml:space="preserve">Амангельдинский район (3934)</t>
  </si>
  <si>
    <t xml:space="preserve">Жангельдинский район (3942)</t>
  </si>
  <si>
    <t xml:space="preserve">Житикаринский район (3944)</t>
  </si>
  <si>
    <t xml:space="preserve">060340005705</t>
  </si>
  <si>
    <t xml:space="preserve">Сарыкольский район (3962)</t>
  </si>
  <si>
    <t xml:space="preserve">Алтынсаринский район (3932)</t>
  </si>
  <si>
    <t xml:space="preserve">Костанай (3910)</t>
  </si>
  <si>
    <t xml:space="preserve">Аркалык (3916)</t>
  </si>
  <si>
    <t xml:space="preserve">Рудный (3924)</t>
  </si>
  <si>
    <t xml:space="preserve">Мендыкаринский район (3956)</t>
  </si>
  <si>
    <t xml:space="preserve">Костанайский район (3954)</t>
  </si>
  <si>
    <t xml:space="preserve">Денисовский район (3940)</t>
  </si>
  <si>
    <t xml:space="preserve">Карабалыкский район (3950)</t>
  </si>
  <si>
    <t xml:space="preserve">Карасуский район (3952)</t>
  </si>
  <si>
    <t xml:space="preserve">район Беимбета Майлина (3964)</t>
  </si>
  <si>
    <t xml:space="preserve">Камыстинский район (3948)</t>
  </si>
  <si>
    <t xml:space="preserve">Лисаковск (3920)</t>
  </si>
  <si>
    <t xml:space="preserve">Наурзумский район (3958)</t>
  </si>
  <si>
    <t xml:space="preserve">061240012589</t>
  </si>
  <si>
    <t xml:space="preserve">Кызылорда (4310)</t>
  </si>
  <si>
    <t xml:space="preserve">Казалинский район (4344)</t>
  </si>
  <si>
    <t xml:space="preserve">060740005422</t>
  </si>
  <si>
    <t xml:space="preserve">ТОО "МЦ Ондирис"</t>
  </si>
  <si>
    <t xml:space="preserve">Сырдарьинский район (4348)</t>
  </si>
  <si>
    <t xml:space="preserve">041040004795</t>
  </si>
  <si>
    <t xml:space="preserve">Шиелийский район (4352)</t>
  </si>
  <si>
    <t xml:space="preserve">000840003072</t>
  </si>
  <si>
    <t xml:space="preserve">001040003125</t>
  </si>
  <si>
    <t xml:space="preserve">Аральский район (4332)</t>
  </si>
  <si>
    <t xml:space="preserve">Кармакшинский район (4346)</t>
  </si>
  <si>
    <t xml:space="preserve">Байконыр (4319)</t>
  </si>
  <si>
    <t xml:space="preserve">Жанакорганский район (4340)</t>
  </si>
  <si>
    <t xml:space="preserve">Жалагашский район (4336)</t>
  </si>
  <si>
    <t xml:space="preserve">Мунайлинский район (4750)</t>
  </si>
  <si>
    <t xml:space="preserve">070240022892</t>
  </si>
  <si>
    <t xml:space="preserve">Каракиянский район (4742)</t>
  </si>
  <si>
    <t xml:space="preserve">Актау (4710)</t>
  </si>
  <si>
    <t xml:space="preserve">Тупкараганский район (4752)</t>
  </si>
  <si>
    <t xml:space="preserve">Жанаозен (4718)</t>
  </si>
  <si>
    <t xml:space="preserve">Мангистауский район (4746)</t>
  </si>
  <si>
    <t xml:space="preserve">001140002478</t>
  </si>
  <si>
    <t xml:space="preserve">Бейнеуский район (4736)</t>
  </si>
  <si>
    <t xml:space="preserve">050740003840</t>
  </si>
  <si>
    <t xml:space="preserve">050740004472</t>
  </si>
  <si>
    <t xml:space="preserve">Павлодар (5510)</t>
  </si>
  <si>
    <t xml:space="preserve">021140007244</t>
  </si>
  <si>
    <t xml:space="preserve">Аксу (5516)</t>
  </si>
  <si>
    <t xml:space="preserve">Экибастуз (5522)</t>
  </si>
  <si>
    <t xml:space="preserve">Коммунальное государственное предприятие на праве хозяйственного ведения "Поликлиника № 2 города Экибастуза" управления здравоохранения Павлодарской области, акимата Павлодарской области</t>
  </si>
  <si>
    <t xml:space="preserve">Коммунальное государственное предприятие на праве хозяйственного ведения "Поликлиника № 3 города Экибастуза" управления здравоохранения Павлодарской области, акимата Павлодарской области</t>
  </si>
  <si>
    <t xml:space="preserve">010140002249</t>
  </si>
  <si>
    <t xml:space="preserve">Успенский район (5564)</t>
  </si>
  <si>
    <t xml:space="preserve">010140001805</t>
  </si>
  <si>
    <t xml:space="preserve">Актогайский район (5532)</t>
  </si>
  <si>
    <t xml:space="preserve">010240002480</t>
  </si>
  <si>
    <t xml:space="preserve">Баянаульский район (5536)</t>
  </si>
  <si>
    <t xml:space="preserve">010140002279</t>
  </si>
  <si>
    <t xml:space="preserve">район Аққулы (5552)</t>
  </si>
  <si>
    <t xml:space="preserve">010140001151</t>
  </si>
  <si>
    <t xml:space="preserve">Щербактинский район (5568)</t>
  </si>
  <si>
    <t xml:space="preserve">010140002289</t>
  </si>
  <si>
    <t xml:space="preserve">Майский район (5556)</t>
  </si>
  <si>
    <t xml:space="preserve">010240002530</t>
  </si>
  <si>
    <t xml:space="preserve">Павлодарский район (5560)</t>
  </si>
  <si>
    <t xml:space="preserve">Расхождение: КАТО ≠ расчёт КПН; принято по КАТО</t>
  </si>
  <si>
    <t xml:space="preserve">В расчёте КПН отнесена к г. Павлодару, но Кплотн применён районный (1,4472)</t>
  </si>
  <si>
    <t xml:space="preserve">010140000986</t>
  </si>
  <si>
    <t xml:space="preserve">Иртышский район (5546)</t>
  </si>
  <si>
    <t xml:space="preserve">010140002477</t>
  </si>
  <si>
    <t xml:space="preserve">Железинский район (5542)</t>
  </si>
  <si>
    <t xml:space="preserve">010240002591</t>
  </si>
  <si>
    <t xml:space="preserve">район Тереңкөл (5548)</t>
  </si>
  <si>
    <t xml:space="preserve">Мамлютский район (5952)</t>
  </si>
  <si>
    <t xml:space="preserve">Петропавловск (5910)</t>
  </si>
  <si>
    <t xml:space="preserve">Район Магжана Жумабаева (5936)</t>
  </si>
  <si>
    <t xml:space="preserve">Есильский район (5942)</t>
  </si>
  <si>
    <t xml:space="preserve">Район Шал акына (5956)</t>
  </si>
  <si>
    <t xml:space="preserve">020440004357</t>
  </si>
  <si>
    <t xml:space="preserve">Кызылжарский район (5950)</t>
  </si>
  <si>
    <t xml:space="preserve">010940004105</t>
  </si>
  <si>
    <t xml:space="preserve">Айыртауский район (5932)</t>
  </si>
  <si>
    <t xml:space="preserve">Тимирязевский район (5962)</t>
  </si>
  <si>
    <t xml:space="preserve">Жамбылский район (5946)</t>
  </si>
  <si>
    <t xml:space="preserve">Аккайынский район (5958)</t>
  </si>
  <si>
    <t xml:space="preserve">Уалихановский район (5964)</t>
  </si>
  <si>
    <t xml:space="preserve">090640013059</t>
  </si>
  <si>
    <t xml:space="preserve">Тайыншинский район (5960)</t>
  </si>
  <si>
    <t xml:space="preserve">Район им.Габита Мусрепова (5966)</t>
  </si>
  <si>
    <t xml:space="preserve">Акжарский район (5934)</t>
  </si>
  <si>
    <t xml:space="preserve">район Сауран (6155)</t>
  </si>
  <si>
    <t xml:space="preserve">010640001823</t>
  </si>
  <si>
    <t xml:space="preserve">Жетысайский район (6138)</t>
  </si>
  <si>
    <t xml:space="preserve">Туркестан (6110)</t>
  </si>
  <si>
    <t xml:space="preserve">Сайрамский район (6152)</t>
  </si>
  <si>
    <t xml:space="preserve">Кентау (6120)</t>
  </si>
  <si>
    <t xml:space="preserve">Сарыагашский район (6154)</t>
  </si>
  <si>
    <t xml:space="preserve">020940005135</t>
  </si>
  <si>
    <t xml:space="preserve">070740015947</t>
  </si>
  <si>
    <t xml:space="preserve">070140010161</t>
  </si>
  <si>
    <t xml:space="preserve">Казыгуртский район (6140)</t>
  </si>
  <si>
    <t xml:space="preserve">Тюлькубасский район (6160)</t>
  </si>
  <si>
    <t xml:space="preserve">Ордабасынский район (6146)</t>
  </si>
  <si>
    <t xml:space="preserve">Шардаринский район (6164)</t>
  </si>
  <si>
    <t xml:space="preserve">031040007916</t>
  </si>
  <si>
    <t xml:space="preserve">Толебийский район (6158)</t>
  </si>
  <si>
    <t xml:space="preserve">000240004495</t>
  </si>
  <si>
    <t xml:space="preserve">Расхождение: ИС «РПН» ≠ расчёт КПН – требует подтверждения</t>
  </si>
  <si>
    <t xml:space="preserve">В ИС «РПН» – Туркестанская область, в расчёте КПН – г. Шымкент</t>
  </si>
  <si>
    <t xml:space="preserve">091040001056</t>
  </si>
  <si>
    <t xml:space="preserve">район Байдибека (6136)</t>
  </si>
  <si>
    <t xml:space="preserve">091040010283</t>
  </si>
  <si>
    <t xml:space="preserve">091040007917</t>
  </si>
  <si>
    <t xml:space="preserve">091040002807</t>
  </si>
  <si>
    <t xml:space="preserve">090940018813</t>
  </si>
  <si>
    <t xml:space="preserve">091040003697</t>
  </si>
  <si>
    <t xml:space="preserve">090940018744</t>
  </si>
  <si>
    <t xml:space="preserve">091040004104</t>
  </si>
  <si>
    <t xml:space="preserve">Арысь (6116)</t>
  </si>
  <si>
    <t xml:space="preserve">091040006740</t>
  </si>
  <si>
    <t xml:space="preserve">091040006979</t>
  </si>
  <si>
    <t xml:space="preserve">Отрарский район (6148)</t>
  </si>
  <si>
    <t xml:space="preserve">091040005910</t>
  </si>
  <si>
    <t xml:space="preserve">Сузакский район (6156)</t>
  </si>
  <si>
    <t xml:space="preserve">090940018586</t>
  </si>
  <si>
    <t xml:space="preserve">091040002946</t>
  </si>
  <si>
    <t xml:space="preserve">Мактааральский район (6144)</t>
  </si>
  <si>
    <t xml:space="preserve">090940018516</t>
  </si>
  <si>
    <t xml:space="preserve">Келесский район (6139)</t>
  </si>
  <si>
    <t xml:space="preserve">091040010372</t>
  </si>
  <si>
    <t xml:space="preserve">091040000395</t>
  </si>
  <si>
    <t xml:space="preserve">091040002074</t>
  </si>
  <si>
    <t xml:space="preserve">091040002440</t>
  </si>
  <si>
    <t xml:space="preserve">Жезказган (6210)</t>
  </si>
  <si>
    <t xml:space="preserve">031140001594</t>
  </si>
  <si>
    <t xml:space="preserve">ТОО "Тильман"</t>
  </si>
  <si>
    <t xml:space="preserve">011240005150</t>
  </si>
  <si>
    <t xml:space="preserve">011240008363</t>
  </si>
  <si>
    <t xml:space="preserve">Сатпаев (6220)</t>
  </si>
  <si>
    <t xml:space="preserve">011240007038</t>
  </si>
  <si>
    <t xml:space="preserve">011240005061</t>
  </si>
  <si>
    <t xml:space="preserve">000540002456</t>
  </si>
  <si>
    <t xml:space="preserve">Жанааркинский район (6236)</t>
  </si>
  <si>
    <t xml:space="preserve">011240007048</t>
  </si>
  <si>
    <t xml:space="preserve">011240007018</t>
  </si>
  <si>
    <t xml:space="preserve">011240005041</t>
  </si>
  <si>
    <t xml:space="preserve">000540002420</t>
  </si>
  <si>
    <t xml:space="preserve">Улытауский район (6238)</t>
  </si>
  <si>
    <t xml:space="preserve">Каражал (6218)</t>
  </si>
  <si>
    <t xml:space="preserve">021240002871</t>
  </si>
  <si>
    <t xml:space="preserve">г. Шымкент (7900)</t>
  </si>
  <si>
    <t xml:space="preserve">000240003070</t>
  </si>
  <si>
    <t xml:space="preserve">050540010192</t>
  </si>
  <si>
    <t xml:space="preserve">000540002221</t>
  </si>
  <si>
    <t xml:space="preserve">ТОО "Темир-Сервис ЛТД"</t>
  </si>
  <si>
    <t xml:space="preserve">000140004719</t>
  </si>
  <si>
    <t xml:space="preserve">000240004425</t>
  </si>
  <si>
    <t xml:space="preserve">091040004259</t>
  </si>
  <si>
    <t xml:space="preserve">ТОО "DAUA. SHIPA MEDICAL CENTER"</t>
  </si>
  <si>
    <t xml:space="preserve">011140006849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</si>
</sst>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[RED]\-#,##0;\-"/>
    <numFmt numFmtId="166" formatCode="0.0%;[RED]\-0.0%;\-"/>
    <numFmt numFmtId="167" formatCode="#,##0"/>
    <numFmt numFmtId="168" formatCode="0.0000"/>
    <numFmt numFmtId="169" formatCode="#,##0.00"/>
    <numFmt numFmtId="170" formatCode="#,##0.0"/>
    <numFmt numFmtId="171" formatCode="\+0.0000;[RED]\-0.0000;\-"/>
    <numFmt numFmtId="172" formatCode="#,##0.000"/>
    <numFmt numFmtId="173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9"/>
      <name val="Arial"/>
      <family val="0"/>
      <charset val="1"/>
    </font>
    <font>
      <sz val="9"/>
      <color rgb="FF80808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D9D9D9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D9D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goszakup.gov.kz/ru/registry/show_supplier/171980" TargetMode="External"/><Relationship Id="rId2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7"/>
    <col collapsed="false" customWidth="true" hidden="false" outlineLevel="0" max="6" min="6" style="0" width="8"/>
  </cols>
  <sheetData>
    <row r="1" customFormat="false" ht="15.75" hidden="false" customHeight="tru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n">
        <f aca="false">SUMIFS(Моделирование!$E$8:$E$219,Моделирование!$B$8:$B$219,$A4)</f>
        <v>773511</v>
      </c>
      <c r="C4" s="3" t="n">
        <f aca="false">SUMIFS(Моделирование!$H$8:$H$219,Моделирование!$B$8:$B$219,$A4)</f>
        <v>20572958.6018619</v>
      </c>
      <c r="D4" s="3" t="n">
        <f aca="false">SUMIFS(Моделирование!$I$8:$I$219,Моделирование!$B$8:$B$219,$A4)</f>
        <v>23398054.919985</v>
      </c>
      <c r="E4" s="3" t="n">
        <f aca="false">D4-C4</f>
        <v>2825096.31812305</v>
      </c>
      <c r="F4" s="4" t="n">
        <f aca="false">IFERROR(E4/C4,0)</f>
        <v>0.137320857577936</v>
      </c>
    </row>
    <row r="5" customFormat="false" ht="15" hidden="false" customHeight="false" outlineLevel="0" collapsed="false">
      <c r="A5" s="3" t="s">
        <v>8</v>
      </c>
      <c r="B5" s="3" t="n">
        <f aca="false">SUMIFS(Моделирование!$E$8:$E$219,Моделирование!$B$8:$B$219,$A5)</f>
        <v>937248</v>
      </c>
      <c r="C5" s="3" t="n">
        <f aca="false">SUMIFS(Моделирование!$H$8:$H$219,Моделирование!$B$8:$B$219,$A5)</f>
        <v>24051106.4647384</v>
      </c>
      <c r="D5" s="3" t="n">
        <f aca="false">SUMIFS(Моделирование!$I$8:$I$219,Моделирование!$B$8:$B$219,$A5)</f>
        <v>25660664.7170225</v>
      </c>
      <c r="E5" s="3" t="n">
        <f aca="false">D5-C5</f>
        <v>1609558.25228412</v>
      </c>
      <c r="F5" s="4" t="n">
        <f aca="false">IFERROR(E5/C5,0)</f>
        <v>0.0669224201657378</v>
      </c>
    </row>
    <row r="6" customFormat="false" ht="15" hidden="false" customHeight="false" outlineLevel="0" collapsed="false">
      <c r="A6" s="3" t="s">
        <v>9</v>
      </c>
      <c r="B6" s="3" t="n">
        <f aca="false">SUMIFS(Моделирование!$E$8:$E$219,Моделирование!$B$8:$B$219,$A6)</f>
        <v>1649754</v>
      </c>
      <c r="C6" s="3" t="n">
        <f aca="false">SUMIFS(Моделирование!$H$8:$H$219,Моделирование!$B$8:$B$219,$A6)</f>
        <v>36455978.3157058</v>
      </c>
      <c r="D6" s="3" t="n">
        <f aca="false">SUMIFS(Моделирование!$I$8:$I$219,Моделирование!$B$8:$B$219,$A6)</f>
        <v>40040581.1658516</v>
      </c>
      <c r="E6" s="3" t="n">
        <f aca="false">D6-C6</f>
        <v>3584602.85014583</v>
      </c>
      <c r="F6" s="4" t="n">
        <f aca="false">IFERROR(E6/C6,0)</f>
        <v>0.0983268867208409</v>
      </c>
    </row>
    <row r="7" customFormat="false" ht="15" hidden="false" customHeight="false" outlineLevel="0" collapsed="false">
      <c r="A7" s="3" t="s">
        <v>10</v>
      </c>
      <c r="B7" s="3" t="n">
        <f aca="false">SUMIFS(Моделирование!$E$8:$E$219,Моделирование!$B$8:$B$219,$A7)</f>
        <v>707248</v>
      </c>
      <c r="C7" s="3" t="n">
        <f aca="false">SUMIFS(Моделирование!$H$8:$H$219,Моделирование!$B$8:$B$219,$A7)</f>
        <v>18598475.7353485</v>
      </c>
      <c r="D7" s="3" t="n">
        <f aca="false">SUMIFS(Моделирование!$I$8:$I$219,Моделирование!$B$8:$B$219,$A7)</f>
        <v>19391676.68076</v>
      </c>
      <c r="E7" s="3" t="n">
        <f aca="false">D7-C7</f>
        <v>793200.945411541</v>
      </c>
      <c r="F7" s="4" t="n">
        <f aca="false">IFERROR(E7/C7,0)</f>
        <v>0.0426487071681888</v>
      </c>
    </row>
    <row r="8" customFormat="false" ht="15" hidden="false" customHeight="false" outlineLevel="0" collapsed="false">
      <c r="A8" s="3" t="s">
        <v>11</v>
      </c>
      <c r="B8" s="3" t="n">
        <f aca="false">SUMIFS(Моделирование!$E$8:$E$219,Моделирование!$B$8:$B$219,$A8)</f>
        <v>710040</v>
      </c>
      <c r="C8" s="3" t="n">
        <f aca="false">SUMIFS(Моделирование!$H$8:$H$219,Моделирование!$B$8:$B$219,$A8)</f>
        <v>18834781.9940801</v>
      </c>
      <c r="D8" s="3" t="n">
        <f aca="false">SUMIFS(Моделирование!$I$8:$I$219,Моделирование!$B$8:$B$219,$A8)</f>
        <v>21018818.4010565</v>
      </c>
      <c r="E8" s="3" t="n">
        <f aca="false">D8-C8</f>
        <v>2184036.40697642</v>
      </c>
      <c r="F8" s="4" t="n">
        <f aca="false">IFERROR(E8/C8,0)</f>
        <v>0.115957615419328</v>
      </c>
    </row>
    <row r="9" customFormat="false" ht="15" hidden="false" customHeight="false" outlineLevel="0" collapsed="false">
      <c r="A9" s="3" t="s">
        <v>12</v>
      </c>
      <c r="B9" s="3" t="n">
        <f aca="false">SUMIFS(Моделирование!$E$8:$E$219,Моделирование!$B$8:$B$219,$A9)</f>
        <v>1174485</v>
      </c>
      <c r="C9" s="3" t="n">
        <f aca="false">SUMIFS(Моделирование!$H$8:$H$219,Моделирование!$B$8:$B$219,$A9)</f>
        <v>27152447.4838296</v>
      </c>
      <c r="D9" s="3" t="n">
        <f aca="false">SUMIFS(Моделирование!$I$8:$I$219,Моделирование!$B$8:$B$219,$A9)</f>
        <v>30991795.9566926</v>
      </c>
      <c r="E9" s="3" t="n">
        <f aca="false">D9-C9</f>
        <v>3839348.47286297</v>
      </c>
      <c r="F9" s="4" t="n">
        <f aca="false">IFERROR(E9/C9,0)</f>
        <v>0.141399720049158</v>
      </c>
    </row>
    <row r="10" customFormat="false" ht="15" hidden="false" customHeight="false" outlineLevel="0" collapsed="false">
      <c r="A10" s="3" t="s">
        <v>13</v>
      </c>
      <c r="B10" s="3" t="n">
        <f aca="false">SUMIFS(Моделирование!$E$8:$E$219,Моделирование!$B$8:$B$219,$A10)</f>
        <v>687556</v>
      </c>
      <c r="C10" s="3" t="n">
        <f aca="false">SUMIFS(Моделирование!$H$8:$H$219,Моделирование!$B$8:$B$219,$A10)</f>
        <v>20353644.4743952</v>
      </c>
      <c r="D10" s="3" t="n">
        <f aca="false">SUMIFS(Моделирование!$I$8:$I$219,Моделирование!$B$8:$B$219,$A10)</f>
        <v>22014577.6708738</v>
      </c>
      <c r="E10" s="3" t="n">
        <f aca="false">D10-C10</f>
        <v>1660933.19647858</v>
      </c>
      <c r="F10" s="4" t="n">
        <f aca="false">IFERROR(E10/C10,0)</f>
        <v>0.0816037245107636</v>
      </c>
    </row>
    <row r="11" customFormat="false" ht="15" hidden="false" customHeight="false" outlineLevel="0" collapsed="false">
      <c r="A11" s="3" t="s">
        <v>14</v>
      </c>
      <c r="B11" s="3" t="n">
        <f aca="false">SUMIFS(Моделирование!$E$8:$E$219,Моделирование!$B$8:$B$219,$A11)</f>
        <v>1181097</v>
      </c>
      <c r="C11" s="3" t="n">
        <f aca="false">SUMIFS(Моделирование!$H$8:$H$219,Моделирование!$B$8:$B$219,$A11)</f>
        <v>31037890.3908903</v>
      </c>
      <c r="D11" s="3" t="n">
        <f aca="false">SUMIFS(Моделирование!$I$8:$I$219,Моделирование!$B$8:$B$219,$A11)</f>
        <v>32058109.8854391</v>
      </c>
      <c r="E11" s="3" t="n">
        <f aca="false">D11-C11</f>
        <v>1020219.49454879</v>
      </c>
      <c r="F11" s="4" t="n">
        <f aca="false">IFERROR(E11/C11,0)</f>
        <v>0.0328701300797242</v>
      </c>
    </row>
    <row r="12" customFormat="false" ht="15" hidden="false" customHeight="false" outlineLevel="0" collapsed="false">
      <c r="A12" s="3" t="s">
        <v>15</v>
      </c>
      <c r="B12" s="3" t="n">
        <f aca="false">SUMIFS(Моделирование!$E$8:$E$219,Моделирование!$B$8:$B$219,$A12)</f>
        <v>776501</v>
      </c>
      <c r="C12" s="3" t="n">
        <f aca="false">SUMIFS(Моделирование!$H$8:$H$219,Моделирование!$B$8:$B$219,$A12)</f>
        <v>21145751.9766873</v>
      </c>
      <c r="D12" s="3" t="n">
        <f aca="false">SUMIFS(Моделирование!$I$8:$I$219,Моделирование!$B$8:$B$219,$A12)</f>
        <v>23020385.5354957</v>
      </c>
      <c r="E12" s="3" t="n">
        <f aca="false">D12-C12</f>
        <v>1874633.55880847</v>
      </c>
      <c r="F12" s="4" t="n">
        <f aca="false">IFERROR(E12/C12,0)</f>
        <v>0.08865296258441</v>
      </c>
    </row>
    <row r="13" customFormat="false" ht="15" hidden="false" customHeight="false" outlineLevel="0" collapsed="false">
      <c r="A13" s="3" t="s">
        <v>16</v>
      </c>
      <c r="B13" s="3" t="n">
        <f aca="false">SUMIFS(Моделирование!$E$8:$E$219,Моделирование!$B$8:$B$219,$A13)</f>
        <v>821538</v>
      </c>
      <c r="C13" s="3" t="n">
        <f aca="false">SUMIFS(Моделирование!$H$8:$H$219,Моделирование!$B$8:$B$219,$A13)</f>
        <v>23707476.3201242</v>
      </c>
      <c r="D13" s="3" t="n">
        <f aca="false">SUMIFS(Моделирование!$I$8:$I$219,Моделирование!$B$8:$B$219,$A13)</f>
        <v>24984152.87934</v>
      </c>
      <c r="E13" s="3" t="n">
        <f aca="false">D13-C13</f>
        <v>1276676.55921578</v>
      </c>
      <c r="F13" s="4" t="n">
        <f aca="false">IFERROR(E13/C13,0)</f>
        <v>0.0538512215293059</v>
      </c>
    </row>
    <row r="14" customFormat="false" ht="15" hidden="false" customHeight="false" outlineLevel="0" collapsed="false">
      <c r="A14" s="3" t="s">
        <v>17</v>
      </c>
      <c r="B14" s="3" t="n">
        <f aca="false">SUMIFS(Моделирование!$E$8:$E$219,Моделирование!$B$8:$B$219,$A14)</f>
        <v>831774</v>
      </c>
      <c r="C14" s="3" t="n">
        <f aca="false">SUMIFS(Моделирование!$H$8:$H$219,Моделирование!$B$8:$B$219,$A14)</f>
        <v>21385306.8372191</v>
      </c>
      <c r="D14" s="3" t="n">
        <f aca="false">SUMIFS(Моделирование!$I$8:$I$219,Моделирование!$B$8:$B$219,$A14)</f>
        <v>22075873.4555898</v>
      </c>
      <c r="E14" s="3" t="n">
        <f aca="false">D14-C14</f>
        <v>690566.618370757</v>
      </c>
      <c r="F14" s="4" t="n">
        <f aca="false">IFERROR(E14/C14,0)</f>
        <v>0.0322916394713071</v>
      </c>
    </row>
    <row r="15" customFormat="false" ht="15" hidden="false" customHeight="false" outlineLevel="0" collapsed="false">
      <c r="A15" s="3" t="s">
        <v>18</v>
      </c>
      <c r="B15" s="3" t="n">
        <f aca="false">SUMIFS(Моделирование!$E$8:$E$219,Моделирование!$B$8:$B$219,$A15)</f>
        <v>745936</v>
      </c>
      <c r="C15" s="3" t="n">
        <f aca="false">SUMIFS(Моделирование!$H$8:$H$219,Моделирование!$B$8:$B$219,$A15)</f>
        <v>21347798.9054445</v>
      </c>
      <c r="D15" s="3" t="n">
        <f aca="false">SUMIFS(Моделирование!$I$8:$I$219,Моделирование!$B$8:$B$219,$A15)</f>
        <v>21967559.3298</v>
      </c>
      <c r="E15" s="3" t="n">
        <f aca="false">D15-C15</f>
        <v>619760.424355477</v>
      </c>
      <c r="F15" s="4" t="n">
        <f aca="false">IFERROR(E15/C15,0)</f>
        <v>0.0290315843380656</v>
      </c>
    </row>
    <row r="16" customFormat="false" ht="15" hidden="false" customHeight="false" outlineLevel="0" collapsed="false">
      <c r="A16" s="3" t="s">
        <v>19</v>
      </c>
      <c r="B16" s="3" t="n">
        <f aca="false">SUMIFS(Моделирование!$E$8:$E$219,Моделирование!$B$8:$B$219,$A16)</f>
        <v>515743</v>
      </c>
      <c r="C16" s="3" t="n">
        <f aca="false">SUMIFS(Моделирование!$H$8:$H$219,Моделирование!$B$8:$B$219,$A16)</f>
        <v>15690805.6606363</v>
      </c>
      <c r="D16" s="3" t="n">
        <f aca="false">SUMIFS(Моделирование!$I$8:$I$219,Моделирование!$B$8:$B$219,$A16)</f>
        <v>18255797.2965772</v>
      </c>
      <c r="E16" s="3" t="n">
        <f aca="false">D16-C16</f>
        <v>2564991.63594086</v>
      </c>
      <c r="F16" s="4" t="n">
        <f aca="false">IFERROR(E16/C16,0)</f>
        <v>0.16347099641771</v>
      </c>
    </row>
    <row r="17" customFormat="false" ht="15" hidden="false" customHeight="false" outlineLevel="0" collapsed="false">
      <c r="A17" s="3" t="s">
        <v>20</v>
      </c>
      <c r="B17" s="3" t="n">
        <f aca="false">SUMIFS(Моделирование!$E$8:$E$219,Моделирование!$B$8:$B$219,$A17)</f>
        <v>2092440</v>
      </c>
      <c r="C17" s="3" t="n">
        <f aca="false">SUMIFS(Моделирование!$H$8:$H$219,Моделирование!$B$8:$B$219,$A17)</f>
        <v>47638742.6341312</v>
      </c>
      <c r="D17" s="3" t="n">
        <f aca="false">SUMIFS(Моделирование!$I$8:$I$219,Моделирование!$B$8:$B$219,$A17)</f>
        <v>51244917.4414933</v>
      </c>
      <c r="E17" s="3" t="n">
        <f aca="false">D17-C17</f>
        <v>3606174.80736211</v>
      </c>
      <c r="F17" s="4" t="n">
        <f aca="false">IFERROR(E17/C17,0)</f>
        <v>0.0756983624664021</v>
      </c>
    </row>
    <row r="18" customFormat="false" ht="15" hidden="false" customHeight="false" outlineLevel="0" collapsed="false">
      <c r="A18" s="3" t="s">
        <v>21</v>
      </c>
      <c r="B18" s="3" t="n">
        <f aca="false">SUMIFS(Моделирование!$E$8:$E$219,Моделирование!$B$8:$B$219,$A18)</f>
        <v>610366</v>
      </c>
      <c r="C18" s="3" t="n">
        <f aca="false">SUMIFS(Моделирование!$H$8:$H$219,Моделирование!$B$8:$B$219,$A18)</f>
        <v>17628219.6908236</v>
      </c>
      <c r="D18" s="3" t="n">
        <f aca="false">SUMIFS(Моделирование!$I$8:$I$219,Моделирование!$B$8:$B$219,$A18)</f>
        <v>18542190.27678</v>
      </c>
      <c r="E18" s="3" t="n">
        <f aca="false">D18-C18</f>
        <v>913970.585956428</v>
      </c>
      <c r="F18" s="4" t="n">
        <f aca="false">IFERROR(E18/C18,0)</f>
        <v>0.0518470158635587</v>
      </c>
    </row>
    <row r="19" customFormat="false" ht="15" hidden="false" customHeight="false" outlineLevel="0" collapsed="false">
      <c r="A19" s="3" t="s">
        <v>22</v>
      </c>
      <c r="B19" s="3" t="n">
        <f aca="false">SUMIFS(Моделирование!$E$8:$E$219,Моделирование!$B$8:$B$219,$A19)</f>
        <v>653811</v>
      </c>
      <c r="C19" s="3" t="n">
        <f aca="false">SUMIFS(Моделирование!$H$8:$H$219,Моделирование!$B$8:$B$219,$A19)</f>
        <v>17530782.9294561</v>
      </c>
      <c r="D19" s="3" t="n">
        <f aca="false">SUMIFS(Моделирование!$I$8:$I$219,Моделирование!$B$8:$B$219,$A19)</f>
        <v>19925826.0156126</v>
      </c>
      <c r="E19" s="3" t="n">
        <f aca="false">D19-C19</f>
        <v>2395043.08615654</v>
      </c>
      <c r="F19" s="4" t="n">
        <f aca="false">IFERROR(E19/C19,0)</f>
        <v>0.136619288242527</v>
      </c>
    </row>
    <row r="20" customFormat="false" ht="15" hidden="false" customHeight="false" outlineLevel="0" collapsed="false">
      <c r="A20" s="3" t="s">
        <v>23</v>
      </c>
      <c r="B20" s="3" t="n">
        <f aca="false">SUMIFS(Моделирование!$E$8:$E$219,Моделирование!$B$8:$B$219,$A20)</f>
        <v>214472</v>
      </c>
      <c r="C20" s="3" t="n">
        <f aca="false">SUMIFS(Моделирование!$H$8:$H$219,Моделирование!$B$8:$B$219,$A20)</f>
        <v>5865380.42454</v>
      </c>
      <c r="D20" s="3" t="n">
        <f aca="false">SUMIFS(Моделирование!$I$8:$I$219,Моделирование!$B$8:$B$219,$A20)</f>
        <v>5865380.42454</v>
      </c>
      <c r="E20" s="3" t="n">
        <f aca="false">D20-C20</f>
        <v>0</v>
      </c>
      <c r="F20" s="4" t="n">
        <f aca="false">IFERROR(E20/C20,0)</f>
        <v>0</v>
      </c>
    </row>
    <row r="21" customFormat="false" ht="15" hidden="false" customHeight="false" outlineLevel="0" collapsed="false">
      <c r="A21" s="3" t="s">
        <v>24</v>
      </c>
      <c r="B21" s="3" t="n">
        <f aca="false">SUMIFS(Моделирование!$E$8:$E$219,Моделирование!$B$8:$B$219,$A21)</f>
        <v>2398435</v>
      </c>
      <c r="C21" s="3" t="n">
        <f aca="false">SUMIFS(Моделирование!$H$8:$H$219,Моделирование!$B$8:$B$219,$A21)</f>
        <v>48530029.7274</v>
      </c>
      <c r="D21" s="3" t="n">
        <f aca="false">SUMIFS(Моделирование!$I$8:$I$219,Моделирование!$B$8:$B$219,$A21)</f>
        <v>48530029.7274</v>
      </c>
      <c r="E21" s="3" t="n">
        <f aca="false">D21-C21</f>
        <v>0</v>
      </c>
      <c r="F21" s="4" t="n">
        <f aca="false">IFERROR(E21/C21,0)</f>
        <v>0</v>
      </c>
    </row>
    <row r="22" customFormat="false" ht="15" hidden="false" customHeight="false" outlineLevel="0" collapsed="false">
      <c r="A22" s="3" t="s">
        <v>25</v>
      </c>
      <c r="B22" s="3" t="n">
        <f aca="false">SUMIFS(Моделирование!$E$8:$E$219,Моделирование!$B$8:$B$219,$A22)</f>
        <v>1700015</v>
      </c>
      <c r="C22" s="3" t="n">
        <f aca="false">SUMIFS(Моделирование!$H$8:$H$219,Моделирование!$B$8:$B$219,$A22)</f>
        <v>34398171.5106</v>
      </c>
      <c r="D22" s="3" t="n">
        <f aca="false">SUMIFS(Моделирование!$I$8:$I$219,Моделирование!$B$8:$B$219,$A22)</f>
        <v>34398171.5106</v>
      </c>
      <c r="E22" s="3" t="n">
        <f aca="false">D22-C22</f>
        <v>0</v>
      </c>
      <c r="F22" s="4" t="n">
        <f aca="false">IFERROR(E22/C22,0)</f>
        <v>0</v>
      </c>
    </row>
    <row r="23" customFormat="false" ht="15" hidden="false" customHeight="false" outlineLevel="0" collapsed="false">
      <c r="A23" s="3" t="s">
        <v>26</v>
      </c>
      <c r="B23" s="3" t="n">
        <f aca="false">SUMIFS(Моделирование!$E$8:$E$219,Моделирование!$B$8:$B$219,$A23)</f>
        <v>1295884</v>
      </c>
      <c r="C23" s="3" t="n">
        <f aca="false">SUMIFS(Моделирование!$H$8:$H$219,Моделирование!$B$8:$B$219,$A23)</f>
        <v>26220968.69136</v>
      </c>
      <c r="D23" s="3" t="n">
        <f aca="false">SUMIFS(Моделирование!$I$8:$I$219,Моделирование!$B$8:$B$219,$A23)</f>
        <v>26220968.69136</v>
      </c>
      <c r="E23" s="3" t="n">
        <f aca="false">D23-C23</f>
        <v>0</v>
      </c>
      <c r="F23" s="4" t="n">
        <f aca="false">IFERROR(E23/C23,0)</f>
        <v>0</v>
      </c>
    </row>
    <row r="24" customFormat="false" ht="15" hidden="false" customHeight="false" outlineLevel="0" collapsed="false">
      <c r="A24" s="5" t="s">
        <v>27</v>
      </c>
      <c r="B24" s="5" t="n">
        <f aca="false">SUM(B4:B23)</f>
        <v>20477854</v>
      </c>
      <c r="C24" s="5" t="n">
        <f aca="false">SUM(C4:C23)</f>
        <v>498146718.769272</v>
      </c>
      <c r="D24" s="5" t="n">
        <f aca="false">SUM(D4:D23)</f>
        <v>529605531.98227</v>
      </c>
      <c r="E24" s="5" t="n">
        <f aca="false">SUM(E4:E23)</f>
        <v>31458813.2129977</v>
      </c>
      <c r="F24" s="6" t="n">
        <f aca="false">IFERROR(E24/C24,0)</f>
        <v>0.0631517021545786</v>
      </c>
    </row>
    <row r="26" customFormat="false" ht="15" hidden="false" customHeight="false" outlineLevel="0" collapsed="false">
      <c r="A26" s="7" t="s">
        <v>28</v>
      </c>
    </row>
    <row r="27" customFormat="false" ht="15" hidden="false" customHeight="false" outlineLevel="0" collapsed="false">
      <c r="A27" s="7" t="s">
        <v>29</v>
      </c>
    </row>
    <row r="28" customFormat="false" ht="15" hidden="false" customHeight="false" outlineLevel="0" collapsed="false">
      <c r="A28" s="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10" min="9" style="0" width="15"/>
    <col collapsed="false" customWidth="true" hidden="false" outlineLevel="0" max="11" min="11" style="0" width="13"/>
    <col collapsed="false" customWidth="true" hidden="false" outlineLevel="0" max="12" min="12" style="0" width="8"/>
  </cols>
  <sheetData>
    <row r="1" customFormat="false" ht="15.75" hidden="false" customHeight="true" outlineLevel="0" collapsed="false">
      <c r="A1" s="1" t="s">
        <v>31</v>
      </c>
    </row>
    <row r="2" customFormat="false" ht="15" hidden="false" customHeight="false" outlineLevel="0" collapsed="false">
      <c r="A2" s="7" t="s">
        <v>32</v>
      </c>
    </row>
    <row r="4" customFormat="false" ht="69.75" hidden="false" customHeight="true" outlineLevel="0" collapsed="false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3</v>
      </c>
      <c r="J4" s="2" t="s">
        <v>4</v>
      </c>
      <c r="K4" s="2" t="s">
        <v>5</v>
      </c>
      <c r="L4" s="2" t="s">
        <v>6</v>
      </c>
      <c r="M4" s="2" t="s">
        <v>41</v>
      </c>
    </row>
    <row r="5" customFormat="false" ht="15" hidden="false" customHeight="false" outlineLevel="0" collapsed="false">
      <c r="A5" s="8"/>
      <c r="B5" s="8"/>
      <c r="C5" s="8" t="s">
        <v>27</v>
      </c>
      <c r="D5" s="8"/>
      <c r="E5" s="8"/>
      <c r="F5" s="9" t="n">
        <f aca="false">SUM(F6:F692)</f>
        <v>20477854</v>
      </c>
      <c r="G5" s="10" t="n">
        <f aca="false">SUMPRODUCT(F6:F692,G6:G692)/F5</f>
        <v>1.17930692925147</v>
      </c>
      <c r="H5" s="10" t="n">
        <f aca="false">SUMPRODUCT(F6:F692,H6:H692)/F5</f>
        <v>1.25175418747492</v>
      </c>
      <c r="I5" s="5" t="n">
        <f aca="false">SUM(I6:I692)</f>
        <v>498146718.769272</v>
      </c>
      <c r="J5" s="5" t="n">
        <f aca="false">SUM(J6:J692)</f>
        <v>529605531.98227</v>
      </c>
      <c r="K5" s="5" t="n">
        <f aca="false">SUM(K6:K692)</f>
        <v>31458813.2129977</v>
      </c>
      <c r="L5" s="6" t="n">
        <f aca="false">IFERROR(K5/I5,0)</f>
        <v>0.0631517021545787</v>
      </c>
      <c r="M5" s="11"/>
    </row>
    <row r="6" customFormat="false" ht="15" hidden="false" customHeight="false" outlineLevel="0" collapsed="false">
      <c r="A6" s="12" t="n">
        <v>1</v>
      </c>
      <c r="B6" s="12" t="str">
        <f aca="false">'РПН 01.08 по МО'!B4</f>
        <v>АБАЙ</v>
      </c>
      <c r="C6" s="12" t="str">
        <f aca="false">'РПН 01.08 по МО'!C4</f>
        <v>"Коммунальное госудаственное предприятие на праве хозяйственного ведения "Аксуатская районная больница" управления здравоохранения области Абай"</v>
      </c>
      <c r="D6" s="12" t="str">
        <f aca="false">'РПН 01.08 по МО'!E4</f>
        <v>1034</v>
      </c>
      <c r="E6" s="12" t="str">
        <f aca="false">'РПН 01.08 по МО'!F4</f>
        <v>район Ақсуат</v>
      </c>
      <c r="F6" s="13" t="n">
        <f aca="false">'РПН 01.08 по МО'!D4</f>
        <v>16574</v>
      </c>
      <c r="G6" s="14" t="n">
        <f aca="false">INDEX('Расчет Кплотн'!$K:$K,MATCH(D6,'Расчет Кплотн'!$A:$A,0))</f>
        <v>2</v>
      </c>
      <c r="H6" s="14" t="n">
        <f aca="false">INDEX('Расчет Кплотн'!$J:$J,MATCH(D6,'Расчет Кплотн'!$A:$A,0))</f>
        <v>2</v>
      </c>
      <c r="I6" s="3" t="n">
        <f aca="false">F6*Моделирование!$F$3*M6*G6/1000</f>
        <v>760511.91216</v>
      </c>
      <c r="J6" s="3" t="n">
        <f aca="false">F6*Моделирование!$F$3*M6*H6/1000</f>
        <v>760511.91216</v>
      </c>
      <c r="K6" s="3" t="n">
        <f aca="false">J6-I6</f>
        <v>0</v>
      </c>
      <c r="L6" s="4" t="n">
        <f aca="false">IFERROR(K6/I6,0)</f>
        <v>0</v>
      </c>
      <c r="M6" s="15" t="n">
        <f aca="false">IF(INDEX('Расчет Кплотн'!$D:$D,MATCH(D6,'Расчет Кплотн'!$A:$A,0))="район",IFERROR(VLOOKUP(INDEX('Расчет Кплотн'!$B:$B,MATCH(D6,'Расчет Кплотн'!$A:$A,0)),'БКПН (приказ 170)'!$A$4:$C$10,3,FALSE()),Моделирование!$F$2),Моделирование!$F$2)</f>
        <v>1911.91</v>
      </c>
    </row>
    <row r="7" customFormat="false" ht="15" hidden="false" customHeight="false" outlineLevel="0" collapsed="false">
      <c r="A7" s="12" t="n">
        <v>2</v>
      </c>
      <c r="B7" s="12" t="str">
        <f aca="false">'РПН 01.08 по МО'!B5</f>
        <v>АБАЙ</v>
      </c>
      <c r="C7" s="12" t="str">
        <f aca="false">'РПН 01.08 по МО'!C5</f>
        <v>Учреждение "Семейная амбулатория "Азат"</v>
      </c>
      <c r="D7" s="12" t="str">
        <f aca="false">'РПН 01.08 по МО'!E5</f>
        <v>1042</v>
      </c>
      <c r="E7" s="12" t="str">
        <f aca="false">'РПН 01.08 по МО'!F5</f>
        <v>Жарминский район</v>
      </c>
      <c r="F7" s="13" t="n">
        <f aca="false">'РПН 01.08 по МО'!D5</f>
        <v>3039</v>
      </c>
      <c r="G7" s="14" t="n">
        <f aca="false">INDEX('Расчет Кплотн'!$K:$K,MATCH(D7,'Расчет Кплотн'!$A:$A,0))</f>
        <v>2</v>
      </c>
      <c r="H7" s="14" t="n">
        <f aca="false">INDEX('Расчет Кплотн'!$J:$J,MATCH(D7,'Расчет Кплотн'!$A:$A,0))</f>
        <v>2</v>
      </c>
      <c r="I7" s="3" t="n">
        <f aca="false">F7*Моделирование!$F$3*M7*G7/1000</f>
        <v>139447.06776</v>
      </c>
      <c r="J7" s="3" t="n">
        <f aca="false">F7*Моделирование!$F$3*M7*H7/1000</f>
        <v>139447.06776</v>
      </c>
      <c r="K7" s="3" t="n">
        <f aca="false">J7-I7</f>
        <v>0</v>
      </c>
      <c r="L7" s="4" t="n">
        <f aca="false">IFERROR(K7/I7,0)</f>
        <v>0</v>
      </c>
      <c r="M7" s="15" t="n">
        <f aca="false">IF(INDEX('Расчет Кплотн'!$D:$D,MATCH(D7,'Расчет Кплотн'!$A:$A,0))="район",IFERROR(VLOOKUP(INDEX('Расчет Кплотн'!$B:$B,MATCH(D7,'Расчет Кплотн'!$A:$A,0)),'БКПН (приказ 170)'!$A$4:$C$10,3,FALSE()),Моделирование!$F$2),Моделирование!$F$2)</f>
        <v>1911.91</v>
      </c>
    </row>
    <row r="8" customFormat="false" ht="15" hidden="false" customHeight="false" outlineLevel="0" collapsed="false">
      <c r="A8" s="12" t="n">
        <v>3</v>
      </c>
      <c r="B8" s="12" t="str">
        <f aca="false">'РПН 01.08 по МО'!B6</f>
        <v>АБАЙ</v>
      </c>
      <c r="C8" s="12" t="str">
        <f aca="false">'РПН 01.08 по МО'!C6</f>
        <v>У-е "Сельская амбулатория "Гармония"</v>
      </c>
      <c r="D8" s="12" t="str">
        <f aca="false">'РПН 01.08 по МО'!E6</f>
        <v>1041</v>
      </c>
      <c r="E8" s="12" t="str">
        <f aca="false">'РПН 01.08 по МО'!F6</f>
        <v>район Жаңасемей</v>
      </c>
      <c r="F8" s="13" t="n">
        <f aca="false">'РПН 01.08 по МО'!D6</f>
        <v>1781</v>
      </c>
      <c r="G8" s="14" t="n">
        <f aca="false">INDEX('Расчет Кплотн'!$K:$K,MATCH(D8,'Расчет Кплотн'!$A:$A,0))</f>
        <v>1</v>
      </c>
      <c r="H8" s="14" t="n">
        <f aca="false">INDEX('Расчет Кплотн'!$J:$J,MATCH(D8,'Расчет Кплотн'!$A:$A,0))</f>
        <v>2</v>
      </c>
      <c r="I8" s="3" t="n">
        <f aca="false">F8*Моделирование!$F$3*M8*G8/1000</f>
        <v>40861.34052</v>
      </c>
      <c r="J8" s="3" t="n">
        <f aca="false">F8*Моделирование!$F$3*M8*H8/1000</f>
        <v>81722.68104</v>
      </c>
      <c r="K8" s="3" t="n">
        <f aca="false">J8-I8</f>
        <v>40861.34052</v>
      </c>
      <c r="L8" s="4" t="n">
        <f aca="false">IFERROR(K8/I8,0)</f>
        <v>1</v>
      </c>
      <c r="M8" s="15" t="n">
        <f aca="false">IF(INDEX('Расчет Кплотн'!$D:$D,MATCH(D8,'Расчет Кплотн'!$A:$A,0))="район",IFERROR(VLOOKUP(INDEX('Расчет Кплотн'!$B:$B,MATCH(D8,'Расчет Кплотн'!$A:$A,0)),'БКПН (приказ 170)'!$A$4:$C$10,3,FALSE()),Моделирование!$F$2),Моделирование!$F$2)</f>
        <v>1911.91</v>
      </c>
    </row>
    <row r="9" customFormat="false" ht="15" hidden="false" customHeight="false" outlineLevel="0" collapsed="false">
      <c r="A9" s="12" t="n">
        <v>4</v>
      </c>
      <c r="B9" s="12" t="str">
        <f aca="false">'РПН 01.08 по МО'!B7</f>
        <v>АБАЙ</v>
      </c>
      <c r="C9" s="12" t="str">
        <f aca="false">'РПН 01.08 по МО'!C7</f>
        <v>У-е "Поликлиника "Хаким"</v>
      </c>
      <c r="D9" s="12" t="str">
        <f aca="false">'РПН 01.08 по МО'!E7</f>
        <v>1010</v>
      </c>
      <c r="E9" s="12" t="str">
        <f aca="false">'РПН 01.08 по МО'!F7</f>
        <v>Семей</v>
      </c>
      <c r="F9" s="13" t="n">
        <f aca="false">'РПН 01.08 по МО'!D7</f>
        <v>11648</v>
      </c>
      <c r="G9" s="14" t="n">
        <f aca="false">INDEX('Расчет Кплотн'!$K:$K,MATCH(D9,'Расчет Кплотн'!$A:$A,0))</f>
        <v>1</v>
      </c>
      <c r="H9" s="14" t="n">
        <f aca="false">INDEX('Расчет Кплотн'!$J:$J,MATCH(D9,'Расчет Кплотн'!$A:$A,0))</f>
        <v>1</v>
      </c>
      <c r="I9" s="3" t="n">
        <f aca="false">F9*Моделирование!$F$3*M9*G9/1000</f>
        <v>235686.09792</v>
      </c>
      <c r="J9" s="3" t="n">
        <f aca="false">F9*Моделирование!$F$3*M9*H9/1000</f>
        <v>235686.09792</v>
      </c>
      <c r="K9" s="3" t="n">
        <f aca="false">J9-I9</f>
        <v>0</v>
      </c>
      <c r="L9" s="4" t="n">
        <f aca="false">IFERROR(K9/I9,0)</f>
        <v>0</v>
      </c>
      <c r="M9" s="15" t="n">
        <f aca="false">IF(INDEX('Расчет Кплотн'!$D:$D,MATCH(D9,'Расчет Кплотн'!$A:$A,0))="район",IFERROR(VLOOKUP(INDEX('Расчет Кплотн'!$B:$B,MATCH(D9,'Расчет Кплотн'!$A:$A,0)),'БКПН (приказ 170)'!$A$4:$C$10,3,FALSE()),Моделирование!$F$2),Моделирование!$F$2)</f>
        <v>1686.17</v>
      </c>
    </row>
    <row r="10" customFormat="false" ht="15" hidden="false" customHeight="false" outlineLevel="0" collapsed="false">
      <c r="A10" s="12" t="n">
        <v>5</v>
      </c>
      <c r="B10" s="12" t="str">
        <f aca="false">'РПН 01.08 по МО'!B8</f>
        <v>АБАЙ</v>
      </c>
      <c r="C10" s="12" t="str">
        <f aca="false">'РПН 01.08 по МО'!C8</f>
        <v>У-е "Консультативно-диагностическая поликлиника № 3 города Семей"</v>
      </c>
      <c r="D10" s="12" t="str">
        <f aca="false">'РПН 01.08 по МО'!E8</f>
        <v>1010</v>
      </c>
      <c r="E10" s="12" t="str">
        <f aca="false">'РПН 01.08 по МО'!F8</f>
        <v>Семей</v>
      </c>
      <c r="F10" s="13" t="n">
        <f aca="false">'РПН 01.08 по МО'!D8</f>
        <v>19155</v>
      </c>
      <c r="G10" s="14" t="n">
        <f aca="false">INDEX('Расчет Кплотн'!$K:$K,MATCH(D10,'Расчет Кплотн'!$A:$A,0))</f>
        <v>1</v>
      </c>
      <c r="H10" s="14" t="n">
        <f aca="false">INDEX('Расчет Кплотн'!$J:$J,MATCH(D10,'Расчет Кплотн'!$A:$A,0))</f>
        <v>1</v>
      </c>
      <c r="I10" s="3" t="n">
        <f aca="false">F10*Моделирование!$F$3*M10*G10/1000</f>
        <v>387583.0362</v>
      </c>
      <c r="J10" s="3" t="n">
        <f aca="false">F10*Моделирование!$F$3*M10*H10/1000</f>
        <v>387583.0362</v>
      </c>
      <c r="K10" s="3" t="n">
        <f aca="false">J10-I10</f>
        <v>0</v>
      </c>
      <c r="L10" s="4" t="n">
        <f aca="false">IFERROR(K10/I10,0)</f>
        <v>0</v>
      </c>
      <c r="M10" s="15" t="n">
        <f aca="false">IF(INDEX('Расчет Кплотн'!$D:$D,MATCH(D10,'Расчет Кплотн'!$A:$A,0))="район",IFERROR(VLOOKUP(INDEX('Расчет Кплотн'!$B:$B,MATCH(D10,'Расчет Кплотн'!$A:$A,0)),'БКПН (приказ 170)'!$A$4:$C$10,3,FALSE()),Моделирование!$F$2),Моделирование!$F$2)</f>
        <v>1686.17</v>
      </c>
    </row>
    <row r="11" customFormat="false" ht="15" hidden="false" customHeight="false" outlineLevel="0" collapsed="false">
      <c r="A11" s="12" t="n">
        <v>6</v>
      </c>
      <c r="B11" s="12" t="str">
        <f aca="false">'РПН 01.08 по МО'!B9</f>
        <v>АБАЙ</v>
      </c>
      <c r="C11" s="12" t="str">
        <f aca="false">'РПН 01.08 по МО'!C9</f>
        <v>ТОО "Семейская железнодорожная больница"</v>
      </c>
      <c r="D11" s="12" t="str">
        <f aca="false">'РПН 01.08 по МО'!E9</f>
        <v>1010</v>
      </c>
      <c r="E11" s="12" t="str">
        <f aca="false">'РПН 01.08 по МО'!F9</f>
        <v>Семей</v>
      </c>
      <c r="F11" s="13" t="n">
        <f aca="false">'РПН 01.08 по МО'!D9</f>
        <v>35438</v>
      </c>
      <c r="G11" s="14" t="n">
        <f aca="false">INDEX('Расчет Кплотн'!$K:$K,MATCH(D11,'Расчет Кплотн'!$A:$A,0))</f>
        <v>1</v>
      </c>
      <c r="H11" s="14" t="n">
        <f aca="false">INDEX('Расчет Кплотн'!$J:$J,MATCH(D11,'Расчет Кплотн'!$A:$A,0))</f>
        <v>1</v>
      </c>
      <c r="I11" s="3" t="n">
        <f aca="false">F11*Моделирование!$F$3*M11*G11/1000</f>
        <v>717053.90952</v>
      </c>
      <c r="J11" s="3" t="n">
        <f aca="false">F11*Моделирование!$F$3*M11*H11/1000</f>
        <v>717053.90952</v>
      </c>
      <c r="K11" s="3" t="n">
        <f aca="false">J11-I11</f>
        <v>0</v>
      </c>
      <c r="L11" s="4" t="n">
        <f aca="false">IFERROR(K11/I11,0)</f>
        <v>0</v>
      </c>
      <c r="M11" s="15" t="n">
        <f aca="false">IF(INDEX('Расчет Кплотн'!$D:$D,MATCH(D11,'Расчет Кплотн'!$A:$A,0))="район",IFERROR(VLOOKUP(INDEX('Расчет Кплотн'!$B:$B,MATCH(D11,'Расчет Кплотн'!$A:$A,0)),'БКПН (приказ 170)'!$A$4:$C$10,3,FALSE()),Моделирование!$F$2),Моделирование!$F$2)</f>
        <v>1686.17</v>
      </c>
    </row>
    <row r="12" customFormat="false" ht="15" hidden="false" customHeight="false" outlineLevel="0" collapsed="false">
      <c r="A12" s="12" t="n">
        <v>7</v>
      </c>
      <c r="B12" s="12" t="str">
        <f aca="false">'РПН 01.08 по МО'!B10</f>
        <v>АБАЙ</v>
      </c>
      <c r="C12" s="12" t="str">
        <f aca="false">'РПН 01.08 по МО'!C10</f>
        <v>ТОО "Поликлиника №6 города Семей"</v>
      </c>
      <c r="D12" s="12" t="str">
        <f aca="false">'РПН 01.08 по МО'!E10</f>
        <v>1010</v>
      </c>
      <c r="E12" s="12" t="str">
        <f aca="false">'РПН 01.08 по МО'!F10</f>
        <v>Семей</v>
      </c>
      <c r="F12" s="13" t="n">
        <f aca="false">'РПН 01.08 по МО'!D10</f>
        <v>38899</v>
      </c>
      <c r="G12" s="14" t="n">
        <f aca="false">INDEX('Расчет Кплотн'!$K:$K,MATCH(D12,'Расчет Кплотн'!$A:$A,0))</f>
        <v>1</v>
      </c>
      <c r="H12" s="14" t="n">
        <f aca="false">INDEX('Расчет Кплотн'!$J:$J,MATCH(D12,'Расчет Кплотн'!$A:$A,0))</f>
        <v>1</v>
      </c>
      <c r="I12" s="3" t="n">
        <f aca="false">F12*Моделирование!$F$3*M12*G12/1000</f>
        <v>787083.92196</v>
      </c>
      <c r="J12" s="3" t="n">
        <f aca="false">F12*Моделирование!$F$3*M12*H12/1000</f>
        <v>787083.92196</v>
      </c>
      <c r="K12" s="3" t="n">
        <f aca="false">J12-I12</f>
        <v>0</v>
      </c>
      <c r="L12" s="4" t="n">
        <f aca="false">IFERROR(K12/I12,0)</f>
        <v>0</v>
      </c>
      <c r="M12" s="15" t="n">
        <f aca="false">IF(INDEX('Расчет Кплотн'!$D:$D,MATCH(D12,'Расчет Кплотн'!$A:$A,0))="район",IFERROR(VLOOKUP(INDEX('Расчет Кплотн'!$B:$B,MATCH(D12,'Расчет Кплотн'!$A:$A,0)),'БКПН (приказ 170)'!$A$4:$C$10,3,FALSE()),Моделирование!$F$2),Моделирование!$F$2)</f>
        <v>1686.17</v>
      </c>
    </row>
    <row r="13" customFormat="false" ht="15" hidden="false" customHeight="false" outlineLevel="0" collapsed="false">
      <c r="A13" s="12" t="n">
        <v>8</v>
      </c>
      <c r="B13" s="12" t="str">
        <f aca="false">'РПН 01.08 по МО'!B11</f>
        <v>АБАЙ</v>
      </c>
      <c r="C13" s="12" t="str">
        <f aca="false">'РПН 01.08 по МО'!C11</f>
        <v>ТОО "Клиника iv plus"</v>
      </c>
      <c r="D13" s="12" t="str">
        <f aca="false">'РПН 01.08 по МО'!E11</f>
        <v>1010</v>
      </c>
      <c r="E13" s="12" t="str">
        <f aca="false">'РПН 01.08 по МО'!F11</f>
        <v>Семей</v>
      </c>
      <c r="F13" s="13" t="n">
        <f aca="false">'РПН 01.08 по МО'!D11</f>
        <v>6865</v>
      </c>
      <c r="G13" s="14" t="n">
        <f aca="false">INDEX('Расчет Кплотн'!$K:$K,MATCH(D13,'Расчет Кплотн'!$A:$A,0))</f>
        <v>1</v>
      </c>
      <c r="H13" s="14" t="n">
        <f aca="false">INDEX('Расчет Кплотн'!$J:$J,MATCH(D13,'Расчет Кплотн'!$A:$A,0))</f>
        <v>1</v>
      </c>
      <c r="I13" s="3" t="n">
        <f aca="false">F13*Моделирование!$F$3*M13*G13/1000</f>
        <v>138906.6846</v>
      </c>
      <c r="J13" s="3" t="n">
        <f aca="false">F13*Моделирование!$F$3*M13*H13/1000</f>
        <v>138906.6846</v>
      </c>
      <c r="K13" s="3" t="n">
        <f aca="false">J13-I13</f>
        <v>0</v>
      </c>
      <c r="L13" s="4" t="n">
        <f aca="false">IFERROR(K13/I13,0)</f>
        <v>0</v>
      </c>
      <c r="M13" s="15" t="n">
        <f aca="false">IF(INDEX('Расчет Кплотн'!$D:$D,MATCH(D13,'Расчет Кплотн'!$A:$A,0))="район",IFERROR(VLOOKUP(INDEX('Расчет Кплотн'!$B:$B,MATCH(D13,'Расчет Кплотн'!$A:$A,0)),'БКПН (приказ 170)'!$A$4:$C$10,3,FALSE()),Моделирование!$F$2),Моделирование!$F$2)</f>
        <v>1686.17</v>
      </c>
    </row>
    <row r="14" customFormat="false" ht="15" hidden="false" customHeight="false" outlineLevel="0" collapsed="false">
      <c r="A14" s="12" t="n">
        <v>9</v>
      </c>
      <c r="B14" s="12" t="str">
        <f aca="false">'РПН 01.08 по МО'!B12</f>
        <v>АБАЙ</v>
      </c>
      <c r="C14" s="12" t="str">
        <f aca="false">'РПН 01.08 по МО'!C12</f>
        <v>ТОО "Қазығұл"</v>
      </c>
      <c r="D14" s="12" t="str">
        <f aca="false">'РПН 01.08 по МО'!E12</f>
        <v>1036</v>
      </c>
      <c r="E14" s="12" t="str">
        <f aca="false">'РПН 01.08 по МО'!F12</f>
        <v>Аягозский район</v>
      </c>
      <c r="F14" s="13" t="n">
        <f aca="false">'РПН 01.08 по МО'!D12</f>
        <v>12762</v>
      </c>
      <c r="G14" s="14" t="n">
        <f aca="false">INDEX('Расчет Кплотн'!$K:$K,MATCH(D14,'Расчет Кплотн'!$A:$A,0))</f>
        <v>2</v>
      </c>
      <c r="H14" s="14" t="n">
        <f aca="false">INDEX('Расчет Кплотн'!$J:$J,MATCH(D14,'Расчет Кплотн'!$A:$A,0))</f>
        <v>2</v>
      </c>
      <c r="I14" s="3" t="n">
        <f aca="false">F14*Моделирование!$F$3*M14*G14/1000</f>
        <v>585595.09008</v>
      </c>
      <c r="J14" s="3" t="n">
        <f aca="false">F14*Моделирование!$F$3*M14*H14/1000</f>
        <v>585595.09008</v>
      </c>
      <c r="K14" s="3" t="n">
        <f aca="false">J14-I14</f>
        <v>0</v>
      </c>
      <c r="L14" s="4" t="n">
        <f aca="false">IFERROR(K14/I14,0)</f>
        <v>0</v>
      </c>
      <c r="M14" s="15" t="n">
        <f aca="false">IF(INDEX('Расчет Кплотн'!$D:$D,MATCH(D14,'Расчет Кплотн'!$A:$A,0))="район",IFERROR(VLOOKUP(INDEX('Расчет Кплотн'!$B:$B,MATCH(D14,'Расчет Кплотн'!$A:$A,0)),'БКПН (приказ 170)'!$A$4:$C$10,3,FALSE()),Моделирование!$F$2),Моделирование!$F$2)</f>
        <v>1911.91</v>
      </c>
    </row>
    <row r="15" customFormat="false" ht="15" hidden="false" customHeight="false" outlineLevel="0" collapsed="false">
      <c r="A15" s="12" t="n">
        <v>10</v>
      </c>
      <c r="B15" s="12" t="str">
        <f aca="false">'РПН 01.08 по МО'!B13</f>
        <v>АБАЙ</v>
      </c>
      <c r="C15" s="12" t="str">
        <f aca="false">'РПН 01.08 по МО'!C13</f>
        <v>ТОО "Жан-Ер"</v>
      </c>
      <c r="D15" s="12" t="str">
        <f aca="false">'РПН 01.08 по МО'!E13</f>
        <v>1010</v>
      </c>
      <c r="E15" s="12" t="str">
        <f aca="false">'РПН 01.08 по МО'!F13</f>
        <v>Семей</v>
      </c>
      <c r="F15" s="13" t="n">
        <f aca="false">'РПН 01.08 по МО'!D13</f>
        <v>9299</v>
      </c>
      <c r="G15" s="14" t="n">
        <f aca="false">INDEX('Расчет Кплотн'!$K:$K,MATCH(D15,'Расчет Кплотн'!$A:$A,0))</f>
        <v>1</v>
      </c>
      <c r="H15" s="14" t="n">
        <f aca="false">INDEX('Расчет Кплотн'!$J:$J,MATCH(D15,'Расчет Кплотн'!$A:$A,0))</f>
        <v>1</v>
      </c>
      <c r="I15" s="3" t="n">
        <f aca="false">F15*Моделирование!$F$3*M15*G15/1000</f>
        <v>188156.33796</v>
      </c>
      <c r="J15" s="3" t="n">
        <f aca="false">F15*Моделирование!$F$3*M15*H15/1000</f>
        <v>188156.33796</v>
      </c>
      <c r="K15" s="3" t="n">
        <f aca="false">J15-I15</f>
        <v>0</v>
      </c>
      <c r="L15" s="4" t="n">
        <f aca="false">IFERROR(K15/I15,0)</f>
        <v>0</v>
      </c>
      <c r="M15" s="15" t="n">
        <f aca="false">IF(INDEX('Расчет Кплотн'!$D:$D,MATCH(D15,'Расчет Кплотн'!$A:$A,0))="район",IFERROR(VLOOKUP(INDEX('Расчет Кплотн'!$B:$B,MATCH(D15,'Расчет Кплотн'!$A:$A,0)),'БКПН (приказ 170)'!$A$4:$C$10,3,FALSE()),Моделирование!$F$2),Моделирование!$F$2)</f>
        <v>1686.17</v>
      </c>
    </row>
    <row r="16" customFormat="false" ht="15" hidden="false" customHeight="false" outlineLevel="0" collapsed="false">
      <c r="A16" s="12" t="n">
        <v>11</v>
      </c>
      <c r="B16" s="12" t="str">
        <f aca="false">'РПН 01.08 по МО'!B14</f>
        <v>АБАЙ</v>
      </c>
      <c r="C16" s="12" t="str">
        <f aca="false">'РПН 01.08 по МО'!C14</f>
        <v>МУ "Центральная смотровая поликлиника"</v>
      </c>
      <c r="D16" s="12" t="str">
        <f aca="false">'РПН 01.08 по МО'!E14</f>
        <v>1010</v>
      </c>
      <c r="E16" s="12" t="str">
        <f aca="false">'РПН 01.08 по МО'!F14</f>
        <v>Семей</v>
      </c>
      <c r="F16" s="13" t="n">
        <f aca="false">'РПН 01.08 по МО'!D14</f>
        <v>17291</v>
      </c>
      <c r="G16" s="14" t="n">
        <f aca="false">INDEX('Расчет Кплотн'!$K:$K,MATCH(D16,'Расчет Кплотн'!$A:$A,0))</f>
        <v>1</v>
      </c>
      <c r="H16" s="14" t="n">
        <f aca="false">INDEX('Расчет Кплотн'!$J:$J,MATCH(D16,'Расчет Кплотн'!$A:$A,0))</f>
        <v>1</v>
      </c>
      <c r="I16" s="3" t="n">
        <f aca="false">F16*Моделирование!$F$3*M16*G16/1000</f>
        <v>349866.78564</v>
      </c>
      <c r="J16" s="3" t="n">
        <f aca="false">F16*Моделирование!$F$3*M16*H16/1000</f>
        <v>349866.78564</v>
      </c>
      <c r="K16" s="3" t="n">
        <f aca="false">J16-I16</f>
        <v>0</v>
      </c>
      <c r="L16" s="4" t="n">
        <f aca="false">IFERROR(K16/I16,0)</f>
        <v>0</v>
      </c>
      <c r="M16" s="15" t="n">
        <f aca="false">IF(INDEX('Расчет Кплотн'!$D:$D,MATCH(D16,'Расчет Кплотн'!$A:$A,0))="район",IFERROR(VLOOKUP(INDEX('Расчет Кплотн'!$B:$B,MATCH(D16,'Расчет Кплотн'!$A:$A,0)),'БКПН (приказ 170)'!$A$4:$C$10,3,FALSE()),Моделирование!$F$2),Моделирование!$F$2)</f>
        <v>1686.17</v>
      </c>
    </row>
    <row r="17" customFormat="false" ht="15" hidden="false" customHeight="false" outlineLevel="0" collapsed="false">
      <c r="A17" s="12" t="n">
        <v>12</v>
      </c>
      <c r="B17" s="12" t="str">
        <f aca="false">'РПН 01.08 по МО'!B15</f>
        <v>АБАЙ</v>
      </c>
      <c r="C17" s="12" t="str">
        <f aca="false">'РПН 01.08 по МО'!C15</f>
        <v>Медицинское учреждение "Поликлиника № 8 города Семей"</v>
      </c>
      <c r="D17" s="12" t="str">
        <f aca="false">'РПН 01.08 по МО'!E15</f>
        <v>1010</v>
      </c>
      <c r="E17" s="12" t="str">
        <f aca="false">'РПН 01.08 по МО'!F15</f>
        <v>Семей</v>
      </c>
      <c r="F17" s="13" t="n">
        <f aca="false">'РПН 01.08 по МО'!D15</f>
        <v>9013</v>
      </c>
      <c r="G17" s="14" t="n">
        <f aca="false">INDEX('Расчет Кплотн'!$K:$K,MATCH(D17,'Расчет Кплотн'!$A:$A,0))</f>
        <v>1</v>
      </c>
      <c r="H17" s="14" t="n">
        <f aca="false">INDEX('Расчет Кплотн'!$J:$J,MATCH(D17,'Расчет Кплотн'!$A:$A,0))</f>
        <v>1</v>
      </c>
      <c r="I17" s="3" t="n">
        <f aca="false">F17*Моделирование!$F$3*M17*G17/1000</f>
        <v>182369.40252</v>
      </c>
      <c r="J17" s="3" t="n">
        <f aca="false">F17*Моделирование!$F$3*M17*H17/1000</f>
        <v>182369.40252</v>
      </c>
      <c r="K17" s="3" t="n">
        <f aca="false">J17-I17</f>
        <v>0</v>
      </c>
      <c r="L17" s="4" t="n">
        <f aca="false">IFERROR(K17/I17,0)</f>
        <v>0</v>
      </c>
      <c r="M17" s="15" t="n">
        <f aca="false">IF(INDEX('Расчет Кплотн'!$D:$D,MATCH(D17,'Расчет Кплотн'!$A:$A,0))="район",IFERROR(VLOOKUP(INDEX('Расчет Кплотн'!$B:$B,MATCH(D17,'Расчет Кплотн'!$A:$A,0)),'БКПН (приказ 170)'!$A$4:$C$10,3,FALSE()),Моделирование!$F$2),Моделирование!$F$2)</f>
        <v>1686.17</v>
      </c>
    </row>
    <row r="18" customFormat="false" ht="15" hidden="false" customHeight="false" outlineLevel="0" collapsed="false">
      <c r="A18" s="12" t="n">
        <v>13</v>
      </c>
      <c r="B18" s="12" t="str">
        <f aca="false">'РПН 01.08 по МО'!B16</f>
        <v>АБАЙ</v>
      </c>
      <c r="C18" s="12" t="str">
        <f aca="false">'РПН 01.08 по МО'!C16</f>
        <v>Медицинское У-е "Победа"</v>
      </c>
      <c r="D18" s="12" t="str">
        <f aca="false">'РПН 01.08 по МО'!E16</f>
        <v>1010</v>
      </c>
      <c r="E18" s="12" t="str">
        <f aca="false">'РПН 01.08 по МО'!F16</f>
        <v>Семей</v>
      </c>
      <c r="F18" s="13" t="n">
        <f aca="false">'РПН 01.08 по МО'!D16</f>
        <v>9948</v>
      </c>
      <c r="G18" s="14" t="n">
        <f aca="false">INDEX('Расчет Кплотн'!$K:$K,MATCH(D18,'Расчет Кплотн'!$A:$A,0))</f>
        <v>1</v>
      </c>
      <c r="H18" s="14" t="n">
        <f aca="false">INDEX('Расчет Кплотн'!$J:$J,MATCH(D18,'Расчет Кплотн'!$A:$A,0))</f>
        <v>1</v>
      </c>
      <c r="I18" s="3" t="n">
        <f aca="false">F18*Моделирование!$F$3*M18*G18/1000</f>
        <v>201288.22992</v>
      </c>
      <c r="J18" s="3" t="n">
        <f aca="false">F18*Моделирование!$F$3*M18*H18/1000</f>
        <v>201288.22992</v>
      </c>
      <c r="K18" s="3" t="n">
        <f aca="false">J18-I18</f>
        <v>0</v>
      </c>
      <c r="L18" s="4" t="n">
        <f aca="false">IFERROR(K18/I18,0)</f>
        <v>0</v>
      </c>
      <c r="M18" s="15" t="n">
        <f aca="false">IF(INDEX('Расчет Кплотн'!$D:$D,MATCH(D18,'Расчет Кплотн'!$A:$A,0))="район",IFERROR(VLOOKUP(INDEX('Расчет Кплотн'!$B:$B,MATCH(D18,'Расчет Кплотн'!$A:$A,0)),'БКПН (приказ 170)'!$A$4:$C$10,3,FALSE()),Моделирование!$F$2),Моделирование!$F$2)</f>
        <v>1686.17</v>
      </c>
    </row>
    <row r="19" customFormat="false" ht="15" hidden="false" customHeight="false" outlineLevel="0" collapsed="false">
      <c r="A19" s="12" t="n">
        <v>14</v>
      </c>
      <c r="B19" s="12" t="str">
        <f aca="false">'РПН 01.08 по МО'!B17</f>
        <v>АБАЙ</v>
      </c>
      <c r="C19" s="12" t="str">
        <f aca="false">'РПН 01.08 по МО'!C17</f>
        <v>Коммунальное государственное предприятие на праве хозяйственного ведения «Многопрофильная центральная районная больница Урджарского района» управления здравоохранения области Абай</v>
      </c>
      <c r="D19" s="12" t="str">
        <f aca="false">'РПН 01.08 по МО'!E17</f>
        <v>1046</v>
      </c>
      <c r="E19" s="12" t="str">
        <f aca="false">'РПН 01.08 по МО'!F17</f>
        <v>Урджарский район</v>
      </c>
      <c r="F19" s="13" t="n">
        <f aca="false">'РПН 01.08 по МО'!D17</f>
        <v>34454</v>
      </c>
      <c r="G19" s="14" t="n">
        <f aca="false">INDEX('Расчет Кплотн'!$K:$K,MATCH(D19,'Расчет Кплотн'!$A:$A,0))</f>
        <v>1.6934</v>
      </c>
      <c r="H19" s="14" t="n">
        <f aca="false">INDEX('Расчет Кплотн'!$J:$J,MATCH(D19,'Расчет Кплотн'!$A:$A,0))</f>
        <v>2</v>
      </c>
      <c r="I19" s="3" t="n">
        <f aca="false">F19*Моделирование!$F$3*M19*G19/1000</f>
        <v>1338590.98424251</v>
      </c>
      <c r="J19" s="3" t="n">
        <f aca="false">F19*Моделирование!$F$3*M19*H19/1000</f>
        <v>1580950.73136</v>
      </c>
      <c r="K19" s="3" t="n">
        <f aca="false">J19-I19</f>
        <v>242359.747117488</v>
      </c>
      <c r="L19" s="4" t="n">
        <f aca="false">IFERROR(K19/I19,0)</f>
        <v>0.181055863942364</v>
      </c>
      <c r="M19" s="15" t="n">
        <f aca="false">IF(INDEX('Расчет Кплотн'!$D:$D,MATCH(D19,'Расчет Кплотн'!$A:$A,0))="район",IFERROR(VLOOKUP(INDEX('Расчет Кплотн'!$B:$B,MATCH(D19,'Расчет Кплотн'!$A:$A,0)),'БКПН (приказ 170)'!$A$4:$C$10,3,FALSE()),Моделирование!$F$2),Моделирование!$F$2)</f>
        <v>1911.91</v>
      </c>
    </row>
    <row r="20" customFormat="false" ht="15" hidden="false" customHeight="false" outlineLevel="0" collapsed="false">
      <c r="A20" s="12" t="n">
        <v>15</v>
      </c>
      <c r="B20" s="12" t="str">
        <f aca="false">'РПН 01.08 по МО'!B18</f>
        <v>АБАЙ</v>
      </c>
      <c r="C20" s="12" t="str">
        <f aca="false">'РПН 01.08 по МО'!C18</f>
        <v>Коммунальное государственное предприятие на праве хозяйственного ведения «Бескарагайская районная больница» управления здравоохранения области Абай</v>
      </c>
      <c r="D20" s="12" t="str">
        <f aca="false">'РПН 01.08 по МО'!E18</f>
        <v>1038</v>
      </c>
      <c r="E20" s="12" t="str">
        <f aca="false">'РПН 01.08 по МО'!F18</f>
        <v>Бескарагайский район</v>
      </c>
      <c r="F20" s="13" t="n">
        <f aca="false">'РПН 01.08 по МО'!D18</f>
        <v>13938</v>
      </c>
      <c r="G20" s="14" t="n">
        <f aca="false">INDEX('Расчет Кплотн'!$K:$K,MATCH(D20,'Расчет Кплотн'!$A:$A,0))</f>
        <v>2</v>
      </c>
      <c r="H20" s="14" t="n">
        <f aca="false">INDEX('Расчет Кплотн'!$J:$J,MATCH(D20,'Расчет Кплотн'!$A:$A,0))</f>
        <v>2</v>
      </c>
      <c r="I20" s="3" t="n">
        <f aca="false">F20*Моделирование!$F$3*M20*G20/1000</f>
        <v>639556.83792</v>
      </c>
      <c r="J20" s="3" t="n">
        <f aca="false">F20*Моделирование!$F$3*M20*H20/1000</f>
        <v>639556.83792</v>
      </c>
      <c r="K20" s="3" t="n">
        <f aca="false">J20-I20</f>
        <v>0</v>
      </c>
      <c r="L20" s="4" t="n">
        <f aca="false">IFERROR(K20/I20,0)</f>
        <v>0</v>
      </c>
      <c r="M20" s="15" t="n">
        <f aca="false">IF(INDEX('Расчет Кплотн'!$D:$D,MATCH(D20,'Расчет Кплотн'!$A:$A,0))="район",IFERROR(VLOOKUP(INDEX('Расчет Кплотн'!$B:$B,MATCH(D20,'Расчет Кплотн'!$A:$A,0)),'БКПН (приказ 170)'!$A$4:$C$10,3,FALSE()),Моделирование!$F$2),Моделирование!$F$2)</f>
        <v>1911.91</v>
      </c>
    </row>
    <row r="21" customFormat="false" ht="15" hidden="false" customHeight="false" outlineLevel="0" collapsed="false">
      <c r="A21" s="12" t="n">
        <v>16</v>
      </c>
      <c r="B21" s="12" t="str">
        <f aca="false">'РПН 01.08 по МО'!B19</f>
        <v>АБАЙ</v>
      </c>
      <c r="C21" s="12" t="str">
        <f aca="false">'РПН 01.08 по МО'!C19</f>
        <v>Коммунальное государственное предприятие на праве хозяйственного ведения "Больница района Мақаншы" управления здравоохранения области Абай</v>
      </c>
      <c r="D21" s="12" t="str">
        <f aca="false">'РПН 01.08 по МО'!E19</f>
        <v>1045</v>
      </c>
      <c r="E21" s="12" t="str">
        <f aca="false">'РПН 01.08 по МО'!F19</f>
        <v>район Мақаншы</v>
      </c>
      <c r="F21" s="13" t="n">
        <f aca="false">'РПН 01.08 по МО'!D19</f>
        <v>22985</v>
      </c>
      <c r="G21" s="14" t="n">
        <f aca="false">INDEX('Расчет Кплотн'!$K:$K,MATCH(D21,'Расчет Кплотн'!$A:$A,0))</f>
        <v>1.6934</v>
      </c>
      <c r="H21" s="14" t="n">
        <f aca="false">INDEX('Расчет Кплотн'!$J:$J,MATCH(D21,'Расчет Кплотн'!$A:$A,0))</f>
        <v>2</v>
      </c>
      <c r="I21" s="3" t="n">
        <f aca="false">F21*Моделирование!$F$3*M21*G21/1000</f>
        <v>893002.66363308</v>
      </c>
      <c r="J21" s="3" t="n">
        <f aca="false">F21*Моделирование!$F$3*M21*H21/1000</f>
        <v>1054686.0324</v>
      </c>
      <c r="K21" s="3" t="n">
        <f aca="false">J21-I21</f>
        <v>161683.36876692</v>
      </c>
      <c r="L21" s="4" t="n">
        <f aca="false">IFERROR(K21/I21,0)</f>
        <v>0.181055863942365</v>
      </c>
      <c r="M21" s="15" t="n">
        <f aca="false">IF(INDEX('Расчет Кплотн'!$D:$D,MATCH(D21,'Расчет Кплотн'!$A:$A,0))="район",IFERROR(VLOOKUP(INDEX('Расчет Кплотн'!$B:$B,MATCH(D21,'Расчет Кплотн'!$A:$A,0)),'БКПН (приказ 170)'!$A$4:$C$10,3,FALSE()),Моделирование!$F$2),Моделирование!$F$2)</f>
        <v>1911.91</v>
      </c>
    </row>
    <row r="22" customFormat="false" ht="15" hidden="false" customHeight="false" outlineLevel="0" collapsed="false">
      <c r="A22" s="12" t="n">
        <v>17</v>
      </c>
      <c r="B22" s="12" t="str">
        <f aca="false">'РПН 01.08 по МО'!B20</f>
        <v>АБАЙ</v>
      </c>
      <c r="C22" s="12" t="str">
        <f aca="false">'РПН 01.08 по МО'!C20</f>
        <v>ТОО "Әділ-Ем"</v>
      </c>
      <c r="D22" s="12" t="str">
        <f aca="false">'РПН 01.08 по МО'!E20</f>
        <v>1010</v>
      </c>
      <c r="E22" s="12" t="str">
        <f aca="false">'РПН 01.08 по МО'!F20</f>
        <v>Семей</v>
      </c>
      <c r="F22" s="13" t="n">
        <f aca="false">'РПН 01.08 по МО'!D20</f>
        <v>14180</v>
      </c>
      <c r="G22" s="14" t="n">
        <f aca="false">INDEX('Расчет Кплотн'!$K:$K,MATCH(D22,'Расчет Кплотн'!$A:$A,0))</f>
        <v>1</v>
      </c>
      <c r="H22" s="14" t="n">
        <f aca="false">INDEX('Расчет Кплотн'!$J:$J,MATCH(D22,'Расчет Кплотн'!$A:$A,0))</f>
        <v>1</v>
      </c>
      <c r="I22" s="3" t="n">
        <f aca="false">F22*Моделирование!$F$3*M22*G22/1000</f>
        <v>286918.6872</v>
      </c>
      <c r="J22" s="3" t="n">
        <f aca="false">F22*Моделирование!$F$3*M22*H22/1000</f>
        <v>286918.6872</v>
      </c>
      <c r="K22" s="3" t="n">
        <f aca="false">J22-I22</f>
        <v>0</v>
      </c>
      <c r="L22" s="4" t="n">
        <f aca="false">IFERROR(K22/I22,0)</f>
        <v>0</v>
      </c>
      <c r="M22" s="15" t="n">
        <f aca="false">IF(INDEX('Расчет Кплотн'!$D:$D,MATCH(D22,'Расчет Кплотн'!$A:$A,0))="район",IFERROR(VLOOKUP(INDEX('Расчет Кплотн'!$B:$B,MATCH(D22,'Расчет Кплотн'!$A:$A,0)),'БКПН (приказ 170)'!$A$4:$C$10,3,FALSE()),Моделирование!$F$2),Моделирование!$F$2)</f>
        <v>1686.17</v>
      </c>
    </row>
    <row r="23" customFormat="false" ht="15" hidden="false" customHeight="false" outlineLevel="0" collapsed="false">
      <c r="A23" s="12" t="n">
        <v>18</v>
      </c>
      <c r="B23" s="12" t="str">
        <f aca="false">'РПН 01.08 по МО'!B21</f>
        <v>АБАЙ</v>
      </c>
      <c r="C23" s="12" t="str">
        <f aca="false">'РПН 01.08 по МО'!C21</f>
        <v>КГП на ПХВ «Поликлиника № 2 города Семей» управления здравоохранения области Абай</v>
      </c>
      <c r="D23" s="12" t="str">
        <f aca="false">'РПН 01.08 по МО'!E21</f>
        <v>1010</v>
      </c>
      <c r="E23" s="12" t="str">
        <f aca="false">'РПН 01.08 по МО'!F21</f>
        <v>Семей</v>
      </c>
      <c r="F23" s="13" t="n">
        <f aca="false">'РПН 01.08 по МО'!D21</f>
        <v>31215</v>
      </c>
      <c r="G23" s="14" t="n">
        <f aca="false">INDEX('Расчет Кплотн'!$K:$K,MATCH(D23,'Расчет Кплотн'!$A:$A,0))</f>
        <v>1</v>
      </c>
      <c r="H23" s="14" t="n">
        <f aca="false">INDEX('Расчет Кплотн'!$J:$J,MATCH(D23,'Расчет Кплотн'!$A:$A,0))</f>
        <v>1</v>
      </c>
      <c r="I23" s="3" t="n">
        <f aca="false">F23*Моделирование!$F$3*M23*G23/1000</f>
        <v>631605.5586</v>
      </c>
      <c r="J23" s="3" t="n">
        <f aca="false">F23*Моделирование!$F$3*M23*H23/1000</f>
        <v>631605.5586</v>
      </c>
      <c r="K23" s="3" t="n">
        <f aca="false">J23-I23</f>
        <v>0</v>
      </c>
      <c r="L23" s="4" t="n">
        <f aca="false">IFERROR(K23/I23,0)</f>
        <v>0</v>
      </c>
      <c r="M23" s="15" t="n">
        <f aca="false">IF(INDEX('Расчет Кплотн'!$D:$D,MATCH(D23,'Расчет Кплотн'!$A:$A,0))="район",IFERROR(VLOOKUP(INDEX('Расчет Кплотн'!$B:$B,MATCH(D23,'Расчет Кплотн'!$A:$A,0)),'БКПН (приказ 170)'!$A$4:$C$10,3,FALSE()),Моделирование!$F$2),Моделирование!$F$2)</f>
        <v>1686.17</v>
      </c>
    </row>
    <row r="24" customFormat="false" ht="15" hidden="false" customHeight="false" outlineLevel="0" collapsed="false">
      <c r="A24" s="12" t="n">
        <v>19</v>
      </c>
      <c r="B24" s="12" t="str">
        <f aca="false">'РПН 01.08 по МО'!B22</f>
        <v>АБАЙ</v>
      </c>
      <c r="C24" s="12" t="str">
        <f aca="false">'РПН 01.08 по МО'!C22</f>
        <v>«Коммунальное государственное предприятие на праве хозяйственного ведения «Многопрофильная центральная районная больница Аягозского района» управления здравоохранения области Абай»</v>
      </c>
      <c r="D24" s="12" t="str">
        <f aca="false">'РПН 01.08 по МО'!E22</f>
        <v>1036</v>
      </c>
      <c r="E24" s="12" t="str">
        <f aca="false">'РПН 01.08 по МО'!F22</f>
        <v>Аягозский район</v>
      </c>
      <c r="F24" s="13" t="n">
        <f aca="false">'РПН 01.08 по МО'!D22</f>
        <v>48213</v>
      </c>
      <c r="G24" s="14" t="n">
        <f aca="false">INDEX('Расчет Кплотн'!$K:$K,MATCH(D24,'Расчет Кплотн'!$A:$A,0))</f>
        <v>2</v>
      </c>
      <c r="H24" s="14" t="n">
        <f aca="false">INDEX('Расчет Кплотн'!$J:$J,MATCH(D24,'Расчет Кплотн'!$A:$A,0))</f>
        <v>2</v>
      </c>
      <c r="I24" s="3" t="n">
        <f aca="false">F24*Моделирование!$F$3*M24*G24/1000</f>
        <v>2212294.00392</v>
      </c>
      <c r="J24" s="3" t="n">
        <f aca="false">F24*Моделирование!$F$3*M24*H24/1000</f>
        <v>2212294.00392</v>
      </c>
      <c r="K24" s="3" t="n">
        <f aca="false">J24-I24</f>
        <v>0</v>
      </c>
      <c r="L24" s="4" t="n">
        <f aca="false">IFERROR(K24/I24,0)</f>
        <v>0</v>
      </c>
      <c r="M24" s="15" t="n">
        <f aca="false">IF(INDEX('Расчет Кплотн'!$D:$D,MATCH(D24,'Расчет Кплотн'!$A:$A,0))="район",IFERROR(VLOOKUP(INDEX('Расчет Кплотн'!$B:$B,MATCH(D24,'Расчет Кплотн'!$A:$A,0)),'БКПН (приказ 170)'!$A$4:$C$10,3,FALSE()),Моделирование!$F$2),Моделирование!$F$2)</f>
        <v>1911.91</v>
      </c>
    </row>
    <row r="25" customFormat="false" ht="15" hidden="false" customHeight="false" outlineLevel="0" collapsed="false">
      <c r="A25" s="12" t="n">
        <v>20</v>
      </c>
      <c r="B25" s="12" t="str">
        <f aca="false">'РПН 01.08 по МО'!B23</f>
        <v>АБАЙ</v>
      </c>
      <c r="C25" s="12" t="str">
        <f aca="false">'РПН 01.08 по МО'!C23</f>
        <v>КГП на ПХВ «Центр первичной медико-санитарной помощи № 10 города Семей» управления здравоохранения области Абай</v>
      </c>
      <c r="D25" s="12" t="str">
        <f aca="false">'РПН 01.08 по МО'!E23</f>
        <v>1010</v>
      </c>
      <c r="E25" s="12" t="str">
        <f aca="false">'РПН 01.08 по МО'!F23</f>
        <v>Семей</v>
      </c>
      <c r="F25" s="13" t="n">
        <f aca="false">'РПН 01.08 по МО'!D23</f>
        <v>13785</v>
      </c>
      <c r="G25" s="14" t="n">
        <f aca="false">INDEX('Расчет Кплотн'!$K:$K,MATCH(D25,'Расчет Кплотн'!$A:$A,0))</f>
        <v>1</v>
      </c>
      <c r="H25" s="14" t="n">
        <f aca="false">INDEX('Расчет Кплотн'!$J:$J,MATCH(D25,'Расчет Кплотн'!$A:$A,0))</f>
        <v>1</v>
      </c>
      <c r="I25" s="3" t="n">
        <f aca="false">F25*Моделирование!$F$3*M25*G25/1000</f>
        <v>278926.2414</v>
      </c>
      <c r="J25" s="3" t="n">
        <f aca="false">F25*Моделирование!$F$3*M25*H25/1000</f>
        <v>278926.2414</v>
      </c>
      <c r="K25" s="3" t="n">
        <f aca="false">J25-I25</f>
        <v>0</v>
      </c>
      <c r="L25" s="4" t="n">
        <f aca="false">IFERROR(K25/I25,0)</f>
        <v>0</v>
      </c>
      <c r="M25" s="15" t="n">
        <f aca="false">IF(INDEX('Расчет Кплотн'!$D:$D,MATCH(D25,'Расчет Кплотн'!$A:$A,0))="район",IFERROR(VLOOKUP(INDEX('Расчет Кплотн'!$B:$B,MATCH(D25,'Расчет Кплотн'!$A:$A,0)),'БКПН (приказ 170)'!$A$4:$C$10,3,FALSE()),Моделирование!$F$2),Моделирование!$F$2)</f>
        <v>1686.17</v>
      </c>
    </row>
    <row r="26" customFormat="false" ht="15" hidden="false" customHeight="false" outlineLevel="0" collapsed="false">
      <c r="A26" s="12" t="n">
        <v>21</v>
      </c>
      <c r="B26" s="12" t="str">
        <f aca="false">'РПН 01.08 по МО'!B24</f>
        <v>АБАЙ</v>
      </c>
      <c r="C26" s="12" t="str">
        <f aca="false">'РПН 01.08 по МО'!C24</f>
        <v>КГП на ПХВ "Больница района Жаңасемей" управления здравоохранения области Абай</v>
      </c>
      <c r="D26" s="12" t="str">
        <f aca="false">'РПН 01.08 по МО'!E24</f>
        <v>1041</v>
      </c>
      <c r="E26" s="12" t="str">
        <f aca="false">'РПН 01.08 по МО'!F24</f>
        <v>район Жаңасемей</v>
      </c>
      <c r="F26" s="13" t="n">
        <f aca="false">'РПН 01.08 по МО'!D24</f>
        <v>4546</v>
      </c>
      <c r="G26" s="14" t="n">
        <f aca="false">INDEX('Расчет Кплотн'!$K:$K,MATCH(D26,'Расчет Кплотн'!$A:$A,0))</f>
        <v>1</v>
      </c>
      <c r="H26" s="14" t="n">
        <f aca="false">INDEX('Расчет Кплотн'!$J:$J,MATCH(D26,'Расчет Кплотн'!$A:$A,0))</f>
        <v>2</v>
      </c>
      <c r="I26" s="3" t="n">
        <f aca="false">F26*Моделирование!$F$3*M26*G26/1000</f>
        <v>104298.51432</v>
      </c>
      <c r="J26" s="3" t="n">
        <f aca="false">F26*Моделирование!$F$3*M26*H26/1000</f>
        <v>208597.02864</v>
      </c>
      <c r="K26" s="3" t="n">
        <f aca="false">J26-I26</f>
        <v>104298.51432</v>
      </c>
      <c r="L26" s="4" t="n">
        <f aca="false">IFERROR(K26/I26,0)</f>
        <v>1</v>
      </c>
      <c r="M26" s="15" t="n">
        <f aca="false">IF(INDEX('Расчет Кплотн'!$D:$D,MATCH(D26,'Расчет Кплотн'!$A:$A,0))="район",IFERROR(VLOOKUP(INDEX('Расчет Кплотн'!$B:$B,MATCH(D26,'Расчет Кплотн'!$A:$A,0)),'БКПН (приказ 170)'!$A$4:$C$10,3,FALSE()),Моделирование!$F$2),Моделирование!$F$2)</f>
        <v>1911.91</v>
      </c>
    </row>
    <row r="27" customFormat="false" ht="15" hidden="false" customHeight="false" outlineLevel="0" collapsed="false">
      <c r="A27" s="12" t="n">
        <v>22</v>
      </c>
      <c r="B27" s="12" t="str">
        <f aca="false">'РПН 01.08 по МО'!B25</f>
        <v>АБАЙ</v>
      </c>
      <c r="C27" s="12" t="str">
        <f aca="false">'РПН 01.08 по МО'!C25</f>
        <v>КГП на ПХВ "Бородулихинская районная больница" управления здравоохранения области Абай</v>
      </c>
      <c r="D27" s="12" t="str">
        <f aca="false">'РПН 01.08 по МО'!E25</f>
        <v>1040</v>
      </c>
      <c r="E27" s="12" t="str">
        <f aca="false">'РПН 01.08 по МО'!F25</f>
        <v>Бородулихинский район</v>
      </c>
      <c r="F27" s="13" t="n">
        <f aca="false">'РПН 01.08 по МО'!D25</f>
        <v>28085</v>
      </c>
      <c r="G27" s="14" t="n">
        <f aca="false">INDEX('Расчет Кплотн'!$K:$K,MATCH(D27,'Расчет Кплотн'!$A:$A,0))</f>
        <v>1.4339</v>
      </c>
      <c r="H27" s="14" t="n">
        <f aca="false">INDEX('Расчет Кплотн'!$J:$J,MATCH(D27,'Расчет Кплотн'!$A:$A,0))</f>
        <v>2</v>
      </c>
      <c r="I27" s="3" t="n">
        <f aca="false">F27*Моделирование!$F$3*M27*G27/1000</f>
        <v>923936.20116798</v>
      </c>
      <c r="J27" s="3" t="n">
        <f aca="false">F27*Моделирование!$F$3*M27*H27/1000</f>
        <v>1288703.8164</v>
      </c>
      <c r="K27" s="3" t="n">
        <f aca="false">J27-I27</f>
        <v>364767.61523202</v>
      </c>
      <c r="L27" s="4" t="n">
        <f aca="false">IFERROR(K27/I27,0)</f>
        <v>0.394797405676825</v>
      </c>
      <c r="M27" s="15" t="n">
        <f aca="false">IF(INDEX('Расчет Кплотн'!$D:$D,MATCH(D27,'Расчет Кплотн'!$A:$A,0))="район",IFERROR(VLOOKUP(INDEX('Расчет Кплотн'!$B:$B,MATCH(D27,'Расчет Кплотн'!$A:$A,0)),'БКПН (приказ 170)'!$A$4:$C$10,3,FALSE()),Моделирование!$F$2),Моделирование!$F$2)</f>
        <v>1911.91</v>
      </c>
    </row>
    <row r="28" customFormat="false" ht="15" hidden="false" customHeight="false" outlineLevel="0" collapsed="false">
      <c r="A28" s="12" t="n">
        <v>23</v>
      </c>
      <c r="B28" s="12" t="str">
        <f aca="false">'РПН 01.08 по МО'!B26</f>
        <v>АБАЙ</v>
      </c>
      <c r="C28" s="12" t="str">
        <f aca="false">'РПН 01.08 по МО'!C26</f>
        <v>КГП на ПХВ "Жарминская районная больница" УЗ области Абай</v>
      </c>
      <c r="D28" s="12" t="str">
        <f aca="false">'РПН 01.08 по МО'!E26</f>
        <v>1042</v>
      </c>
      <c r="E28" s="12" t="str">
        <f aca="false">'РПН 01.08 по МО'!F26</f>
        <v>Жарминский район</v>
      </c>
      <c r="F28" s="13" t="n">
        <f aca="false">'РПН 01.08 по МО'!D26</f>
        <v>17366</v>
      </c>
      <c r="G28" s="14" t="n">
        <f aca="false">INDEX('Расчет Кплотн'!$K:$K,MATCH(D28,'Расчет Кплотн'!$A:$A,0))</f>
        <v>2</v>
      </c>
      <c r="H28" s="14" t="n">
        <f aca="false">INDEX('Расчет Кплотн'!$J:$J,MATCH(D28,'Расчет Кплотн'!$A:$A,0))</f>
        <v>2</v>
      </c>
      <c r="I28" s="3" t="n">
        <f aca="false">F28*Моделирование!$F$3*M28*G28/1000</f>
        <v>796853.49744</v>
      </c>
      <c r="J28" s="3" t="n">
        <f aca="false">F28*Моделирование!$F$3*M28*H28/1000</f>
        <v>796853.49744</v>
      </c>
      <c r="K28" s="3" t="n">
        <f aca="false">J28-I28</f>
        <v>0</v>
      </c>
      <c r="L28" s="4" t="n">
        <f aca="false">IFERROR(K28/I28,0)</f>
        <v>0</v>
      </c>
      <c r="M28" s="15" t="n">
        <f aca="false">IF(INDEX('Расчет Кплотн'!$D:$D,MATCH(D28,'Расчет Кплотн'!$A:$A,0))="район",IFERROR(VLOOKUP(INDEX('Расчет Кплотн'!$B:$B,MATCH(D28,'Расчет Кплотн'!$A:$A,0)),'БКПН (приказ 170)'!$A$4:$C$10,3,FALSE()),Моделирование!$F$2),Моделирование!$F$2)</f>
        <v>1911.91</v>
      </c>
    </row>
    <row r="29" customFormat="false" ht="15" hidden="false" customHeight="false" outlineLevel="0" collapsed="false">
      <c r="A29" s="12" t="n">
        <v>24</v>
      </c>
      <c r="B29" s="12" t="str">
        <f aca="false">'РПН 01.08 по МО'!B27</f>
        <v>АБАЙ</v>
      </c>
      <c r="C29" s="12" t="str">
        <f aca="false">'РПН 01.08 по МО'!C27</f>
        <v>КГП на ПХВ "Кокпектинская районная больница" управления здравоохранения области Абай</v>
      </c>
      <c r="D29" s="12" t="str">
        <f aca="false">'РПН 01.08 по МО'!E27</f>
        <v>1044</v>
      </c>
      <c r="E29" s="12" t="str">
        <f aca="false">'РПН 01.08 по МО'!F27</f>
        <v>Кокпектинский район</v>
      </c>
      <c r="F29" s="13" t="n">
        <f aca="false">'РПН 01.08 по МО'!D27</f>
        <v>11539</v>
      </c>
      <c r="G29" s="14" t="n">
        <f aca="false">INDEX('Расчет Кплотн'!$K:$K,MATCH(D29,'Расчет Кплотн'!$A:$A,0))</f>
        <v>2</v>
      </c>
      <c r="H29" s="14" t="n">
        <f aca="false">INDEX('Расчет Кплотн'!$J:$J,MATCH(D29,'Расчет Кплотн'!$A:$A,0))</f>
        <v>2</v>
      </c>
      <c r="I29" s="3" t="n">
        <f aca="false">F29*Моделирование!$F$3*M29*G29/1000</f>
        <v>529476.70776</v>
      </c>
      <c r="J29" s="3" t="n">
        <f aca="false">F29*Моделирование!$F$3*M29*H29/1000</f>
        <v>529476.70776</v>
      </c>
      <c r="K29" s="3" t="n">
        <f aca="false">J29-I29</f>
        <v>0</v>
      </c>
      <c r="L29" s="4" t="n">
        <f aca="false">IFERROR(K29/I29,0)</f>
        <v>0</v>
      </c>
      <c r="M29" s="15" t="n">
        <f aca="false">IF(INDEX('Расчет Кплотн'!$D:$D,MATCH(D29,'Расчет Кплотн'!$A:$A,0))="район",IFERROR(VLOOKUP(INDEX('Расчет Кплотн'!$B:$B,MATCH(D29,'Расчет Кплотн'!$A:$A,0)),'БКПН (приказ 170)'!$A$4:$C$10,3,FALSE()),Моделирование!$F$2),Моделирование!$F$2)</f>
        <v>1911.91</v>
      </c>
    </row>
    <row r="30" customFormat="false" ht="15" hidden="false" customHeight="false" outlineLevel="0" collapsed="false">
      <c r="A30" s="12" t="n">
        <v>25</v>
      </c>
      <c r="B30" s="12" t="str">
        <f aca="false">'РПН 01.08 по МО'!B28</f>
        <v>АБАЙ</v>
      </c>
      <c r="C30" s="12" t="str">
        <f aca="false">'РПН 01.08 по МО'!C28</f>
        <v>КГП на ПХВ "Поликлиника № 1 города Семей" управления здравоохранения области Абай</v>
      </c>
      <c r="D30" s="12" t="str">
        <f aca="false">'РПН 01.08 по МО'!E28</f>
        <v>1010</v>
      </c>
      <c r="E30" s="12" t="str">
        <f aca="false">'РПН 01.08 по МО'!F28</f>
        <v>Семей</v>
      </c>
      <c r="F30" s="13" t="n">
        <f aca="false">'РПН 01.08 по МО'!D28</f>
        <v>37620</v>
      </c>
      <c r="G30" s="14" t="n">
        <f aca="false">INDEX('Расчет Кплотн'!$K:$K,MATCH(D30,'Расчет Кплотн'!$A:$A,0))</f>
        <v>1</v>
      </c>
      <c r="H30" s="14" t="n">
        <f aca="false">INDEX('Расчет Кплотн'!$J:$J,MATCH(D30,'Расчет Кплотн'!$A:$A,0))</f>
        <v>1</v>
      </c>
      <c r="I30" s="3" t="n">
        <f aca="false">F30*Моделирование!$F$3*M30*G30/1000</f>
        <v>761204.5848</v>
      </c>
      <c r="J30" s="3" t="n">
        <f aca="false">F30*Моделирование!$F$3*M30*H30/1000</f>
        <v>761204.5848</v>
      </c>
      <c r="K30" s="3" t="n">
        <f aca="false">J30-I30</f>
        <v>0</v>
      </c>
      <c r="L30" s="4" t="n">
        <f aca="false">IFERROR(K30/I30,0)</f>
        <v>0</v>
      </c>
      <c r="M30" s="15" t="n">
        <f aca="false">IF(INDEX('Расчет Кплотн'!$D:$D,MATCH(D30,'Расчет Кплотн'!$A:$A,0))="район",IFERROR(VLOOKUP(INDEX('Расчет Кплотн'!$B:$B,MATCH(D30,'Расчет Кплотн'!$A:$A,0)),'БКПН (приказ 170)'!$A$4:$C$10,3,FALSE()),Моделирование!$F$2),Моделирование!$F$2)</f>
        <v>1686.17</v>
      </c>
    </row>
    <row r="31" customFormat="false" ht="15" hidden="false" customHeight="false" outlineLevel="0" collapsed="false">
      <c r="A31" s="12" t="n">
        <v>26</v>
      </c>
      <c r="B31" s="12" t="str">
        <f aca="false">'РПН 01.08 по МО'!B29</f>
        <v>АБАЙ</v>
      </c>
      <c r="C31" s="12" t="str">
        <f aca="false">'РПН 01.08 по МО'!C29</f>
        <v>КГП на ПХВ "Абайская районная больница" УЗ области Абай</v>
      </c>
      <c r="D31" s="12" t="str">
        <f aca="false">'РПН 01.08 по МО'!E29</f>
        <v>1032</v>
      </c>
      <c r="E31" s="12" t="str">
        <f aca="false">'РПН 01.08 по МО'!F29</f>
        <v>Абайский район</v>
      </c>
      <c r="F31" s="13" t="n">
        <f aca="false">'РПН 01.08 по МО'!D29</f>
        <v>10794</v>
      </c>
      <c r="G31" s="14" t="n">
        <f aca="false">INDEX('Расчет Кплотн'!$K:$K,MATCH(D31,'Расчет Кплотн'!$A:$A,0))</f>
        <v>2</v>
      </c>
      <c r="H31" s="14" t="n">
        <f aca="false">INDEX('Расчет Кплотн'!$J:$J,MATCH(D31,'Расчет Кплотн'!$A:$A,0))</f>
        <v>2</v>
      </c>
      <c r="I31" s="3" t="n">
        <f aca="false">F31*Моделирование!$F$3*M31*G31/1000</f>
        <v>495291.75696</v>
      </c>
      <c r="J31" s="3" t="n">
        <f aca="false">F31*Моделирование!$F$3*M31*H31/1000</f>
        <v>495291.75696</v>
      </c>
      <c r="K31" s="3" t="n">
        <f aca="false">J31-I31</f>
        <v>0</v>
      </c>
      <c r="L31" s="4" t="n">
        <f aca="false">IFERROR(K31/I31,0)</f>
        <v>0</v>
      </c>
      <c r="M31" s="15" t="n">
        <f aca="false">IF(INDEX('Расчет Кплотн'!$D:$D,MATCH(D31,'Расчет Кплотн'!$A:$A,0))="район",IFERROR(VLOOKUP(INDEX('Расчет Кплотн'!$B:$B,MATCH(D31,'Расчет Кплотн'!$A:$A,0)),'БКПН (приказ 170)'!$A$4:$C$10,3,FALSE()),Моделирование!$F$2),Моделирование!$F$2)</f>
        <v>1911.91</v>
      </c>
    </row>
    <row r="32" customFormat="false" ht="15" hidden="false" customHeight="false" outlineLevel="0" collapsed="false">
      <c r="A32" s="12" t="n">
        <v>27</v>
      </c>
      <c r="B32" s="12" t="str">
        <f aca="false">'РПН 01.08 по МО'!B30</f>
        <v>АБАЙ</v>
      </c>
      <c r="C32" s="12" t="str">
        <f aca="false">'РПН 01.08 по МО'!C30</f>
        <v>КГП на ПХВ "Поликлиника № 7 города Семей" управления здравоохранения области Абай</v>
      </c>
      <c r="D32" s="12" t="str">
        <f aca="false">'РПН 01.08 по МО'!E30</f>
        <v>1010</v>
      </c>
      <c r="E32" s="12" t="str">
        <f aca="false">'РПН 01.08 по МО'!F30</f>
        <v>Семей</v>
      </c>
      <c r="F32" s="13" t="n">
        <f aca="false">'РПН 01.08 по МО'!D30</f>
        <v>33122</v>
      </c>
      <c r="G32" s="14" t="n">
        <f aca="false">INDEX('Расчет Кплотн'!$K:$K,MATCH(D32,'Расчет Кплотн'!$A:$A,0))</f>
        <v>1</v>
      </c>
      <c r="H32" s="14" t="n">
        <f aca="false">INDEX('Расчет Кплотн'!$J:$J,MATCH(D32,'Расчет Кплотн'!$A:$A,0))</f>
        <v>1</v>
      </c>
      <c r="I32" s="3" t="n">
        <f aca="false">F32*Моделирование!$F$3*M32*G32/1000</f>
        <v>670191.87288</v>
      </c>
      <c r="J32" s="3" t="n">
        <f aca="false">F32*Моделирование!$F$3*M32*H32/1000</f>
        <v>670191.87288</v>
      </c>
      <c r="K32" s="3" t="n">
        <f aca="false">J32-I32</f>
        <v>0</v>
      </c>
      <c r="L32" s="4" t="n">
        <f aca="false">IFERROR(K32/I32,0)</f>
        <v>0</v>
      </c>
      <c r="M32" s="15" t="n">
        <f aca="false">IF(INDEX('Расчет Кплотн'!$D:$D,MATCH(D32,'Расчет Кплотн'!$A:$A,0))="район",IFERROR(VLOOKUP(INDEX('Расчет Кплотн'!$B:$B,MATCH(D32,'Расчет Кплотн'!$A:$A,0)),'БКПН (приказ 170)'!$A$4:$C$10,3,FALSE()),Моделирование!$F$2),Моделирование!$F$2)</f>
        <v>1686.17</v>
      </c>
    </row>
    <row r="33" customFormat="false" ht="15" hidden="false" customHeight="false" outlineLevel="0" collapsed="false">
      <c r="A33" s="12" t="n">
        <v>28</v>
      </c>
      <c r="B33" s="12" t="str">
        <f aca="false">'РПН 01.08 по МО'!B31</f>
        <v>АБАЙ</v>
      </c>
      <c r="C33" s="12" t="str">
        <f aca="false">'РПН 01.08 по МО'!C31</f>
        <v>КГП на ПХВ "Поликлиника № 9 города Семей" управления здравоохранения области Абай</v>
      </c>
      <c r="D33" s="12" t="str">
        <f aca="false">'РПН 01.08 по МО'!E31</f>
        <v>1010</v>
      </c>
      <c r="E33" s="12" t="str">
        <f aca="false">'РПН 01.08 по МО'!F31</f>
        <v>Семей</v>
      </c>
      <c r="F33" s="13" t="n">
        <f aca="false">'РПН 01.08 по МО'!D31</f>
        <v>34725</v>
      </c>
      <c r="G33" s="14" t="n">
        <f aca="false">INDEX('Расчет Кплотн'!$K:$K,MATCH(D33,'Расчет Кплотн'!$A:$A,0))</f>
        <v>1</v>
      </c>
      <c r="H33" s="14" t="n">
        <f aca="false">INDEX('Расчет Кплотн'!$J:$J,MATCH(D33,'Расчет Кплотн'!$A:$A,0))</f>
        <v>1</v>
      </c>
      <c r="I33" s="3" t="n">
        <f aca="false">F33*Моделирование!$F$3*M33*G33/1000</f>
        <v>702627.039</v>
      </c>
      <c r="J33" s="3" t="n">
        <f aca="false">F33*Моделирование!$F$3*M33*H33/1000</f>
        <v>702627.039</v>
      </c>
      <c r="K33" s="3" t="n">
        <f aca="false">J33-I33</f>
        <v>0</v>
      </c>
      <c r="L33" s="4" t="n">
        <f aca="false">IFERROR(K33/I33,0)</f>
        <v>0</v>
      </c>
      <c r="M33" s="15" t="n">
        <f aca="false">IF(INDEX('Расчет Кплотн'!$D:$D,MATCH(D33,'Расчет Кплотн'!$A:$A,0))="район",IFERROR(VLOOKUP(INDEX('Расчет Кплотн'!$B:$B,MATCH(D33,'Расчет Кплотн'!$A:$A,0)),'БКПН (приказ 170)'!$A$4:$C$10,3,FALSE()),Моделирование!$F$2),Моделирование!$F$2)</f>
        <v>1686.17</v>
      </c>
    </row>
    <row r="34" customFormat="false" ht="15" hidden="false" customHeight="false" outlineLevel="0" collapsed="false">
      <c r="A34" s="12" t="n">
        <v>29</v>
      </c>
      <c r="B34" s="12" t="str">
        <f aca="false">'РПН 01.08 по МО'!B32</f>
        <v>АБАЙ</v>
      </c>
      <c r="C34" s="12" t="str">
        <f aca="false">'РПН 01.08 по МО'!C32</f>
        <v>КГП на ПХВ "Центр первичной медико-санитарной помощи №12 города Семей" управления здравоохранения области Абай</v>
      </c>
      <c r="D34" s="12" t="str">
        <f aca="false">'РПН 01.08 по МО'!E32</f>
        <v>1010</v>
      </c>
      <c r="E34" s="12" t="str">
        <f aca="false">'РПН 01.08 по МО'!F32</f>
        <v>Семей</v>
      </c>
      <c r="F34" s="13" t="n">
        <f aca="false">'РПН 01.08 по МО'!D32</f>
        <v>15528</v>
      </c>
      <c r="G34" s="14" t="n">
        <f aca="false">INDEX('Расчет Кплотн'!$K:$K,MATCH(D34,'Расчет Кплотн'!$A:$A,0))</f>
        <v>1</v>
      </c>
      <c r="H34" s="14" t="n">
        <f aca="false">INDEX('Расчет Кплотн'!$J:$J,MATCH(D34,'Расчет Кплотн'!$A:$A,0))</f>
        <v>1</v>
      </c>
      <c r="I34" s="3" t="n">
        <f aca="false">F34*Моделирование!$F$3*M34*G34/1000</f>
        <v>314194.17312</v>
      </c>
      <c r="J34" s="3" t="n">
        <f aca="false">F34*Моделирование!$F$3*M34*H34/1000</f>
        <v>314194.17312</v>
      </c>
      <c r="K34" s="3" t="n">
        <f aca="false">J34-I34</f>
        <v>0</v>
      </c>
      <c r="L34" s="4" t="n">
        <f aca="false">IFERROR(K34/I34,0)</f>
        <v>0</v>
      </c>
      <c r="M34" s="15" t="n">
        <f aca="false">IF(INDEX('Расчет Кплотн'!$D:$D,MATCH(D34,'Расчет Кплотн'!$A:$A,0))="район",IFERROR(VLOOKUP(INDEX('Расчет Кплотн'!$B:$B,MATCH(D34,'Расчет Кплотн'!$A:$A,0)),'БКПН (приказ 170)'!$A$4:$C$10,3,FALSE()),Моделирование!$F$2),Моделирование!$F$2)</f>
        <v>1686.17</v>
      </c>
    </row>
    <row r="35" customFormat="false" ht="15" hidden="false" customHeight="false" outlineLevel="0" collapsed="false">
      <c r="A35" s="12" t="n">
        <v>30</v>
      </c>
      <c r="B35" s="12" t="str">
        <f aca="false">'РПН 01.08 по МО'!B33</f>
        <v>АБАЙ</v>
      </c>
      <c r="C35" s="12" t="str">
        <f aca="false">'РПН 01.08 по МО'!C33</f>
        <v>КГП на ПХВ "Шарская городская больница" управления здравоохранения области Абай</v>
      </c>
      <c r="D35" s="12" t="str">
        <f aca="false">'РПН 01.08 по МО'!E33</f>
        <v>1042</v>
      </c>
      <c r="E35" s="12" t="str">
        <f aca="false">'РПН 01.08 по МО'!F33</f>
        <v>Жарминский район</v>
      </c>
      <c r="F35" s="13" t="n">
        <f aca="false">'РПН 01.08 по МО'!D33</f>
        <v>11408</v>
      </c>
      <c r="G35" s="14" t="n">
        <f aca="false">INDEX('Расчет Кплотн'!$K:$K,MATCH(D35,'Расчет Кплотн'!$A:$A,0))</f>
        <v>2</v>
      </c>
      <c r="H35" s="14" t="n">
        <f aca="false">INDEX('Расчет Кплотн'!$J:$J,MATCH(D35,'Расчет Кплотн'!$A:$A,0))</f>
        <v>2</v>
      </c>
      <c r="I35" s="3" t="n">
        <f aca="false">F35*Моделирование!$F$3*M35*G35/1000</f>
        <v>523465.66272</v>
      </c>
      <c r="J35" s="3" t="n">
        <f aca="false">F35*Моделирование!$F$3*M35*H35/1000</f>
        <v>523465.66272</v>
      </c>
      <c r="K35" s="3" t="n">
        <f aca="false">J35-I35</f>
        <v>0</v>
      </c>
      <c r="L35" s="4" t="n">
        <f aca="false">IFERROR(K35/I35,0)</f>
        <v>0</v>
      </c>
      <c r="M35" s="15" t="n">
        <f aca="false">IF(INDEX('Расчет Кплотн'!$D:$D,MATCH(D35,'Расчет Кплотн'!$A:$A,0))="район",IFERROR(VLOOKUP(INDEX('Расчет Кплотн'!$B:$B,MATCH(D35,'Расчет Кплотн'!$A:$A,0)),'БКПН (приказ 170)'!$A$4:$C$10,3,FALSE()),Моделирование!$F$2),Моделирование!$F$2)</f>
        <v>1911.91</v>
      </c>
    </row>
    <row r="36" customFormat="false" ht="15" hidden="false" customHeight="false" outlineLevel="0" collapsed="false">
      <c r="A36" s="12" t="n">
        <v>31</v>
      </c>
      <c r="B36" s="12" t="str">
        <f aca="false">'РПН 01.08 по МО'!B34</f>
        <v>АБАЙ</v>
      </c>
      <c r="C36" s="12" t="str">
        <f aca="false">'РПН 01.08 по МО'!C34</f>
        <v>КГП на ПХВ «Курчатовская городская больница» управления здравоохранения области Абай</v>
      </c>
      <c r="D36" s="12" t="str">
        <f aca="false">'РПН 01.08 по МО'!E34</f>
        <v>1018</v>
      </c>
      <c r="E36" s="12" t="str">
        <f aca="false">'РПН 01.08 по МО'!F34</f>
        <v>Курчатов</v>
      </c>
      <c r="F36" s="13" t="n">
        <f aca="false">'РПН 01.08 по МО'!D34</f>
        <v>9897</v>
      </c>
      <c r="G36" s="14" t="n">
        <f aca="false">INDEX('Расчет Кплотн'!$K:$K,MATCH(D36,'Расчет Кплотн'!$A:$A,0))</f>
        <v>1.5</v>
      </c>
      <c r="H36" s="14" t="n">
        <f aca="false">INDEX('Расчет Кплотн'!$J:$J,MATCH(D36,'Расчет Кплотн'!$A:$A,0))</f>
        <v>1.5</v>
      </c>
      <c r="I36" s="3" t="n">
        <f aca="false">F36*Моделирование!$F$3*M36*G36/1000</f>
        <v>300384.44082</v>
      </c>
      <c r="J36" s="3" t="n">
        <f aca="false">F36*Моделирование!$F$3*M36*H36/1000</f>
        <v>300384.44082</v>
      </c>
      <c r="K36" s="3" t="n">
        <f aca="false">J36-I36</f>
        <v>0</v>
      </c>
      <c r="L36" s="4" t="n">
        <f aca="false">IFERROR(K36/I36,0)</f>
        <v>0</v>
      </c>
      <c r="M36" s="15" t="n">
        <f aca="false">IF(INDEX('Расчет Кплотн'!$D:$D,MATCH(D36,'Расчет Кплотн'!$A:$A,0))="район",IFERROR(VLOOKUP(INDEX('Расчет Кплотн'!$B:$B,MATCH(D36,'Расчет Кплотн'!$A:$A,0)),'БКПН (приказ 170)'!$A$4:$C$10,3,FALSE()),Моделирование!$F$2),Моделирование!$F$2)</f>
        <v>1686.17</v>
      </c>
    </row>
    <row r="37" customFormat="false" ht="15" hidden="false" customHeight="false" outlineLevel="0" collapsed="false">
      <c r="A37" s="12" t="n">
        <v>32</v>
      </c>
      <c r="B37" s="12" t="str">
        <f aca="false">'РПН 01.08 по МО'!B35</f>
        <v>АБАЙ</v>
      </c>
      <c r="C37" s="12" t="str">
        <f aca="false">'РПН 01.08 по МО'!C35</f>
        <v>КГП на ПХВ "Поликлиника № 4 города Семей" управления здравоохранения области Абай</v>
      </c>
      <c r="D37" s="12" t="str">
        <f aca="false">'РПН 01.08 по МО'!E35</f>
        <v>1010</v>
      </c>
      <c r="E37" s="12" t="str">
        <f aca="false">'РПН 01.08 по МО'!F35</f>
        <v>Семей</v>
      </c>
      <c r="F37" s="13" t="n">
        <f aca="false">'РПН 01.08 по МО'!D35</f>
        <v>25254</v>
      </c>
      <c r="G37" s="14" t="n">
        <f aca="false">INDEX('Расчет Кплотн'!$K:$K,MATCH(D37,'Расчет Кплотн'!$A:$A,0))</f>
        <v>1</v>
      </c>
      <c r="H37" s="14" t="n">
        <f aca="false">INDEX('Расчет Кплотн'!$J:$J,MATCH(D37,'Расчет Кплотн'!$A:$A,0))</f>
        <v>1</v>
      </c>
      <c r="I37" s="3" t="n">
        <f aca="false">F37*Моделирование!$F$3*M37*G37/1000</f>
        <v>510990.44616</v>
      </c>
      <c r="J37" s="3" t="n">
        <f aca="false">F37*Моделирование!$F$3*M37*H37/1000</f>
        <v>510990.44616</v>
      </c>
      <c r="K37" s="3" t="n">
        <f aca="false">J37-I37</f>
        <v>0</v>
      </c>
      <c r="L37" s="4" t="n">
        <f aca="false">IFERROR(K37/I37,0)</f>
        <v>0</v>
      </c>
      <c r="M37" s="15" t="n">
        <f aca="false">IF(INDEX('Расчет Кплотн'!$D:$D,MATCH(D37,'Расчет Кплотн'!$A:$A,0))="район",IFERROR(VLOOKUP(INDEX('Расчет Кплотн'!$B:$B,MATCH(D37,'Расчет Кплотн'!$A:$A,0)),'БКПН (приказ 170)'!$A$4:$C$10,3,FALSE()),Моделирование!$F$2),Моделирование!$F$2)</f>
        <v>1686.17</v>
      </c>
    </row>
    <row r="38" customFormat="false" ht="15" hidden="false" customHeight="false" outlineLevel="0" collapsed="false">
      <c r="A38" s="12" t="n">
        <v>33</v>
      </c>
      <c r="B38" s="12" t="str">
        <f aca="false">'РПН 01.08 по МО'!B36</f>
        <v>АКМОЛИНСКАЯ</v>
      </c>
      <c r="C38" s="12" t="str">
        <f aca="false">'РПН 01.08 по МО'!C36</f>
        <v>Государственное коммунальное казенное предприятие "Степногорская многопрофильная городская больница" при управлении здравоохранения Акмолинской области</v>
      </c>
      <c r="D38" s="12" t="str">
        <f aca="false">'РПН 01.08 по МО'!E36</f>
        <v>1118</v>
      </c>
      <c r="E38" s="12" t="str">
        <f aca="false">'РПН 01.08 по МО'!F36</f>
        <v>Степногорск</v>
      </c>
      <c r="F38" s="13" t="n">
        <f aca="false">'РПН 01.08 по МО'!D36</f>
        <v>5043</v>
      </c>
      <c r="G38" s="14" t="n">
        <f aca="false">INDEX('Расчет Кплотн'!$K:$K,MATCH(D38,'Расчет Кплотн'!$A:$A,0))</f>
        <v>1.5</v>
      </c>
      <c r="H38" s="14" t="n">
        <f aca="false">INDEX('Расчет Кплотн'!$J:$J,MATCH(D38,'Расчет Кплотн'!$A:$A,0))</f>
        <v>1.5</v>
      </c>
      <c r="I38" s="3" t="n">
        <f aca="false">F38*Моделирование!$F$3*M38*G38/1000</f>
        <v>153060.39558</v>
      </c>
      <c r="J38" s="3" t="n">
        <f aca="false">F38*Моделирование!$F$3*M38*H38/1000</f>
        <v>153060.39558</v>
      </c>
      <c r="K38" s="3" t="n">
        <f aca="false">J38-I38</f>
        <v>0</v>
      </c>
      <c r="L38" s="4" t="n">
        <f aca="false">IFERROR(K38/I38,0)</f>
        <v>0</v>
      </c>
      <c r="M38" s="15" t="n">
        <f aca="false">IF(INDEX('Расчет Кплотн'!$D:$D,MATCH(D38,'Расчет Кплотн'!$A:$A,0))="район",IFERROR(VLOOKUP(INDEX('Расчет Кплотн'!$B:$B,MATCH(D38,'Расчет Кплотн'!$A:$A,0)),'БКПН (приказ 170)'!$A$4:$C$10,3,FALSE()),Моделирование!$F$2),Моделирование!$F$2)</f>
        <v>1686.17</v>
      </c>
    </row>
    <row r="39" customFormat="false" ht="15" hidden="false" customHeight="false" outlineLevel="0" collapsed="false">
      <c r="A39" s="12" t="n">
        <v>34</v>
      </c>
      <c r="B39" s="12" t="str">
        <f aca="false">'РПН 01.08 по МО'!B37</f>
        <v>АКМОЛИНСКАЯ</v>
      </c>
      <c r="C39" s="12" t="str">
        <f aca="false">'РПН 01.08 по МО'!C37</f>
        <v>Государственное коммунальное предприятие на праве хозяйственного ведения "Аршалынская районная больница" при управлении здравоохранения Акмолинской области</v>
      </c>
      <c r="D39" s="12" t="str">
        <f aca="false">'РПН 01.08 по МО'!E37</f>
        <v>1134</v>
      </c>
      <c r="E39" s="12" t="str">
        <f aca="false">'РПН 01.08 по МО'!F37</f>
        <v>Аршалынский район</v>
      </c>
      <c r="F39" s="13" t="n">
        <f aca="false">'РПН 01.08 по МО'!D37</f>
        <v>25201</v>
      </c>
      <c r="G39" s="14" t="n">
        <f aca="false">INDEX('Расчет Кплотн'!$K:$K,MATCH(D39,'Расчет Кплотн'!$A:$A,0))</f>
        <v>1.4783</v>
      </c>
      <c r="H39" s="14" t="n">
        <f aca="false">INDEX('Расчет Кплотн'!$J:$J,MATCH(D39,'Расчет Кплотн'!$A:$A,0))</f>
        <v>2</v>
      </c>
      <c r="I39" s="3" t="n">
        <f aca="false">F39*Моделирование!$F$3*M39*G39/1000</f>
        <v>753811.841547732</v>
      </c>
      <c r="J39" s="3" t="n">
        <f aca="false">F39*Моделирование!$F$3*M39*H39/1000</f>
        <v>1019836.08408</v>
      </c>
      <c r="K39" s="3" t="n">
        <f aca="false">J39-I39</f>
        <v>266024.242532268</v>
      </c>
      <c r="L39" s="4" t="n">
        <f aca="false">IFERROR(K39/I39,0)</f>
        <v>0.352905364269769</v>
      </c>
      <c r="M39" s="15" t="n">
        <f aca="false">IF(INDEX('Расчет Кплотн'!$D:$D,MATCH(D39,'Расчет Кплотн'!$A:$A,0))="район",IFERROR(VLOOKUP(INDEX('Расчет Кплотн'!$B:$B,MATCH(D39,'Расчет Кплотн'!$A:$A,0)),'БКПН (приказ 170)'!$A$4:$C$10,3,FALSE()),Моделирование!$F$2),Моделирование!$F$2)</f>
        <v>1686.17</v>
      </c>
    </row>
    <row r="40" customFormat="false" ht="15" hidden="false" customHeight="false" outlineLevel="0" collapsed="false">
      <c r="A40" s="12" t="n">
        <v>35</v>
      </c>
      <c r="B40" s="12" t="str">
        <f aca="false">'РПН 01.08 по МО'!B38</f>
        <v>АКМОЛИНСКАЯ</v>
      </c>
      <c r="C40" s="12" t="str">
        <f aca="false">'РПН 01.08 по МО'!C38</f>
        <v>Государственное коммунальное предприятие на праве хозяйственного ведения "Больница района Биржан сал" при управлении здравоохранения Акмолинской области</v>
      </c>
      <c r="D40" s="12" t="str">
        <f aca="false">'РПН 01.08 по МО'!E38</f>
        <v>1145</v>
      </c>
      <c r="E40" s="12" t="str">
        <f aca="false">'РПН 01.08 по МО'!F38</f>
        <v>район Биржан сал</v>
      </c>
      <c r="F40" s="13" t="n">
        <f aca="false">'РПН 01.08 по МО'!D38</f>
        <v>10526</v>
      </c>
      <c r="G40" s="14" t="n">
        <f aca="false">INDEX('Расчет Кплотн'!$K:$K,MATCH(D40,'Расчет Кплотн'!$A:$A,0))</f>
        <v>2</v>
      </c>
      <c r="H40" s="14" t="n">
        <f aca="false">INDEX('Расчет Кплотн'!$J:$J,MATCH(D40,'Расчет Кплотн'!$A:$A,0))</f>
        <v>2</v>
      </c>
      <c r="I40" s="3" t="n">
        <f aca="false">F40*Моделирование!$F$3*M40*G40/1000</f>
        <v>425967.01008</v>
      </c>
      <c r="J40" s="3" t="n">
        <f aca="false">F40*Моделирование!$F$3*M40*H40/1000</f>
        <v>425967.01008</v>
      </c>
      <c r="K40" s="3" t="n">
        <f aca="false">J40-I40</f>
        <v>0</v>
      </c>
      <c r="L40" s="4" t="n">
        <f aca="false">IFERROR(K40/I40,0)</f>
        <v>0</v>
      </c>
      <c r="M40" s="15" t="n">
        <f aca="false">IF(INDEX('Расчет Кплотн'!$D:$D,MATCH(D40,'Расчет Кплотн'!$A:$A,0))="район",IFERROR(VLOOKUP(INDEX('Расчет Кплотн'!$B:$B,MATCH(D40,'Расчет Кплотн'!$A:$A,0)),'БКПН (приказ 170)'!$A$4:$C$10,3,FALSE()),Моделирование!$F$2),Моделирование!$F$2)</f>
        <v>1686.17</v>
      </c>
    </row>
    <row r="41" customFormat="false" ht="15" hidden="false" customHeight="false" outlineLevel="0" collapsed="false">
      <c r="A41" s="12" t="n">
        <v>36</v>
      </c>
      <c r="B41" s="12" t="str">
        <f aca="false">'РПН 01.08 по МО'!B39</f>
        <v>АКМОЛИНСКАЯ</v>
      </c>
      <c r="C41" s="12" t="str">
        <f aca="false">'РПН 01.08 по МО'!C39</f>
        <v>Государственное коммунальное предприятие на праве хозяйственного ведения "Центр первичной медико - санитарной помощи" при управлении здравоохранения Акмолинской области</v>
      </c>
      <c r="D41" s="12" t="str">
        <f aca="false">'РПН 01.08 по МО'!E39</f>
        <v>1110</v>
      </c>
      <c r="E41" s="12" t="str">
        <f aca="false">'РПН 01.08 по МО'!F39</f>
        <v>Кокшетау</v>
      </c>
      <c r="F41" s="13" t="n">
        <f aca="false">'РПН 01.08 по МО'!D39</f>
        <v>15599</v>
      </c>
      <c r="G41" s="14" t="n">
        <f aca="false">INDEX('Расчет Кплотн'!$K:$K,MATCH(D41,'Расчет Кплотн'!$A:$A,0))</f>
        <v>1</v>
      </c>
      <c r="H41" s="14" t="n">
        <f aca="false">INDEX('Расчет Кплотн'!$J:$J,MATCH(D41,'Расчет Кплотн'!$A:$A,0))</f>
        <v>1</v>
      </c>
      <c r="I41" s="3" t="n">
        <f aca="false">F41*Моделирование!$F$3*M41*G41/1000</f>
        <v>315630.78996</v>
      </c>
      <c r="J41" s="3" t="n">
        <f aca="false">F41*Моделирование!$F$3*M41*H41/1000</f>
        <v>315630.78996</v>
      </c>
      <c r="K41" s="3" t="n">
        <f aca="false">J41-I41</f>
        <v>0</v>
      </c>
      <c r="L41" s="4" t="n">
        <f aca="false">IFERROR(K41/I41,0)</f>
        <v>0</v>
      </c>
      <c r="M41" s="15" t="n">
        <f aca="false">IF(INDEX('Расчет Кплотн'!$D:$D,MATCH(D41,'Расчет Кплотн'!$A:$A,0))="район",IFERROR(VLOOKUP(INDEX('Расчет Кплотн'!$B:$B,MATCH(D41,'Расчет Кплотн'!$A:$A,0)),'БКПН (приказ 170)'!$A$4:$C$10,3,FALSE()),Моделирование!$F$2),Моделирование!$F$2)</f>
        <v>1686.17</v>
      </c>
    </row>
    <row r="42" customFormat="false" ht="15" hidden="false" customHeight="false" outlineLevel="0" collapsed="false">
      <c r="A42" s="12" t="n">
        <v>37</v>
      </c>
      <c r="B42" s="12" t="str">
        <f aca="false">'РПН 01.08 по МО'!B40</f>
        <v>АКМОЛИНСКАЯ</v>
      </c>
      <c r="C42" s="12" t="str">
        <f aca="false">'РПН 01.08 по МО'!C40</f>
        <v>ТОО "Viamedis Kosshy"</v>
      </c>
      <c r="D42" s="12" t="str">
        <f aca="false">'РПН 01.08 по МО'!E40</f>
        <v>1116</v>
      </c>
      <c r="E42" s="12" t="str">
        <f aca="false">'РПН 01.08 по МО'!F40</f>
        <v>Косшы</v>
      </c>
      <c r="F42" s="13" t="n">
        <f aca="false">'РПН 01.08 по МО'!D40</f>
        <v>22825</v>
      </c>
      <c r="G42" s="14" t="n">
        <f aca="false">INDEX('Расчет Кплотн'!$K:$K,MATCH(D42,'Расчет Кплотн'!$A:$A,0))</f>
        <v>1.5</v>
      </c>
      <c r="H42" s="14" t="n">
        <f aca="false">INDEX('Расчет Кплотн'!$J:$J,MATCH(D42,'Расчет Кплотн'!$A:$A,0))</f>
        <v>1.5</v>
      </c>
      <c r="I42" s="3" t="n">
        <f aca="false">F42*Моделирование!$F$3*M42*G42/1000</f>
        <v>692762.9445</v>
      </c>
      <c r="J42" s="3" t="n">
        <f aca="false">F42*Моделирование!$F$3*M42*H42/1000</f>
        <v>692762.9445</v>
      </c>
      <c r="K42" s="3" t="n">
        <f aca="false">J42-I42</f>
        <v>0</v>
      </c>
      <c r="L42" s="4" t="n">
        <f aca="false">IFERROR(K42/I42,0)</f>
        <v>0</v>
      </c>
      <c r="M42" s="15" t="n">
        <f aca="false">IF(INDEX('Расчет Кплотн'!$D:$D,MATCH(D42,'Расчет Кплотн'!$A:$A,0))="район",IFERROR(VLOOKUP(INDEX('Расчет Кплотн'!$B:$B,MATCH(D42,'Расчет Кплотн'!$A:$A,0)),'БКПН (приказ 170)'!$A$4:$C$10,3,FALSE()),Моделирование!$F$2),Моделирование!$F$2)</f>
        <v>1686.17</v>
      </c>
    </row>
    <row r="43" customFormat="false" ht="15" hidden="false" customHeight="false" outlineLevel="0" collapsed="false">
      <c r="A43" s="12" t="n">
        <v>38</v>
      </c>
      <c r="B43" s="12" t="str">
        <f aca="false">'РПН 01.08 по МО'!B41</f>
        <v>АКМОЛИНСКАЯ</v>
      </c>
      <c r="C43" s="12" t="str">
        <f aca="false">'РПН 01.08 по МО'!C41</f>
        <v>ТОО "Клиника Эндохирургии"</v>
      </c>
      <c r="D43" s="12" t="str">
        <f aca="false">'РПН 01.08 по МО'!E41</f>
        <v>1166</v>
      </c>
      <c r="E43" s="12" t="str">
        <f aca="false">'РПН 01.08 по МО'!F41</f>
        <v>Целиноградский район</v>
      </c>
      <c r="F43" s="13" t="n">
        <f aca="false">'РПН 01.08 по МО'!D41</f>
        <v>13432</v>
      </c>
      <c r="G43" s="14" t="n">
        <f aca="false">INDEX('Расчет Кплотн'!$K:$K,MATCH(D43,'Расчет Кплотн'!$A:$A,0))</f>
        <v>1.1961</v>
      </c>
      <c r="H43" s="14" t="n">
        <f aca="false">INDEX('Расчет Кплотн'!$J:$J,MATCH(D43,'Расчет Кплотн'!$A:$A,0))</f>
        <v>1.5876</v>
      </c>
      <c r="I43" s="3" t="n">
        <f aca="false">F43*Моделирование!$F$3*M43*G43/1000</f>
        <v>325080.394197408</v>
      </c>
      <c r="J43" s="3" t="n">
        <f aca="false">F43*Моделирование!$F$3*M43*H43/1000</f>
        <v>431483.683494528</v>
      </c>
      <c r="K43" s="3" t="n">
        <f aca="false">J43-I43</f>
        <v>106403.28929712</v>
      </c>
      <c r="L43" s="4" t="n">
        <f aca="false">IFERROR(K43/I43,0)</f>
        <v>0.327313769751693</v>
      </c>
      <c r="M43" s="15" t="n">
        <f aca="false">IF(INDEX('Расчет Кплотн'!$D:$D,MATCH(D43,'Расчет Кплотн'!$A:$A,0))="район",IFERROR(VLOOKUP(INDEX('Расчет Кплотн'!$B:$B,MATCH(D43,'Расчет Кплотн'!$A:$A,0)),'БКПН (приказ 170)'!$A$4:$C$10,3,FALSE()),Моделирование!$F$2),Моделирование!$F$2)</f>
        <v>1686.17</v>
      </c>
    </row>
    <row r="44" customFormat="false" ht="15" hidden="false" customHeight="false" outlineLevel="0" collapsed="false">
      <c r="A44" s="12" t="n">
        <v>39</v>
      </c>
      <c r="B44" s="12" t="str">
        <f aca="false">'РПН 01.08 по МО'!B42</f>
        <v>АКМОЛИНСКАЯ</v>
      </c>
      <c r="C44" s="12" t="str">
        <f aca="false">'РПН 01.08 по МО'!C42</f>
        <v>ТОО "Клиника Панацея"</v>
      </c>
      <c r="D44" s="12" t="str">
        <f aca="false">'РПН 01.08 по МО'!E42</f>
        <v>1110</v>
      </c>
      <c r="E44" s="12" t="str">
        <f aca="false">'РПН 01.08 по МО'!F42</f>
        <v>Кокшетау</v>
      </c>
      <c r="F44" s="13" t="n">
        <f aca="false">'РПН 01.08 по МО'!D42</f>
        <v>23428</v>
      </c>
      <c r="G44" s="14" t="n">
        <f aca="false">INDEX('Расчет Кплотн'!$K:$K,MATCH(D44,'Расчет Кплотн'!$A:$A,0))</f>
        <v>1</v>
      </c>
      <c r="H44" s="14" t="n">
        <f aca="false">INDEX('Расчет Кплотн'!$J:$J,MATCH(D44,'Расчет Кплотн'!$A:$A,0))</f>
        <v>1</v>
      </c>
      <c r="I44" s="3" t="n">
        <f aca="false">F44*Моделирование!$F$3*M44*G44/1000</f>
        <v>474043.08912</v>
      </c>
      <c r="J44" s="3" t="n">
        <f aca="false">F44*Моделирование!$F$3*M44*H44/1000</f>
        <v>474043.08912</v>
      </c>
      <c r="K44" s="3" t="n">
        <f aca="false">J44-I44</f>
        <v>0</v>
      </c>
      <c r="L44" s="4" t="n">
        <f aca="false">IFERROR(K44/I44,0)</f>
        <v>0</v>
      </c>
      <c r="M44" s="15" t="n">
        <f aca="false">IF(INDEX('Расчет Кплотн'!$D:$D,MATCH(D44,'Расчет Кплотн'!$A:$A,0))="район",IFERROR(VLOOKUP(INDEX('Расчет Кплотн'!$B:$B,MATCH(D44,'Расчет Кплотн'!$A:$A,0)),'БКПН (приказ 170)'!$A$4:$C$10,3,FALSE()),Моделирование!$F$2),Моделирование!$F$2)</f>
        <v>1686.17</v>
      </c>
    </row>
    <row r="45" customFormat="false" ht="15" hidden="false" customHeight="false" outlineLevel="0" collapsed="false">
      <c r="A45" s="12" t="n">
        <v>40</v>
      </c>
      <c r="B45" s="12" t="str">
        <f aca="false">'РПН 01.08 по МО'!B43</f>
        <v>АКМОЛИНСКАЯ</v>
      </c>
      <c r="C45" s="12" t="str">
        <f aca="false">'РПН 01.08 по МО'!C43</f>
        <v>ТОО "Кокшетауская железнодорожная больница"</v>
      </c>
      <c r="D45" s="12" t="str">
        <f aca="false">'РПН 01.08 по МО'!E43</f>
        <v>1110</v>
      </c>
      <c r="E45" s="12" t="str">
        <f aca="false">'РПН 01.08 по МО'!F43</f>
        <v>Кокшетау</v>
      </c>
      <c r="F45" s="13" t="n">
        <f aca="false">'РПН 01.08 по МО'!D43</f>
        <v>13841</v>
      </c>
      <c r="G45" s="14" t="n">
        <f aca="false">INDEX('Расчет Кплотн'!$K:$K,MATCH(D45,'Расчет Кплотн'!$A:$A,0))</f>
        <v>1</v>
      </c>
      <c r="H45" s="14" t="n">
        <f aca="false">INDEX('Расчет Кплотн'!$J:$J,MATCH(D45,'Расчет Кплотн'!$A:$A,0))</f>
        <v>1</v>
      </c>
      <c r="I45" s="3" t="n">
        <f aca="false">F45*Моделирование!$F$3*M45*G45/1000</f>
        <v>280059.34764</v>
      </c>
      <c r="J45" s="3" t="n">
        <f aca="false">F45*Моделирование!$F$3*M45*H45/1000</f>
        <v>280059.34764</v>
      </c>
      <c r="K45" s="3" t="n">
        <f aca="false">J45-I45</f>
        <v>0</v>
      </c>
      <c r="L45" s="4" t="n">
        <f aca="false">IFERROR(K45/I45,0)</f>
        <v>0</v>
      </c>
      <c r="M45" s="15" t="n">
        <f aca="false">IF(INDEX('Расчет Кплотн'!$D:$D,MATCH(D45,'Расчет Кплотн'!$A:$A,0))="район",IFERROR(VLOOKUP(INDEX('Расчет Кплотн'!$B:$B,MATCH(D45,'Расчет Кплотн'!$A:$A,0)),'БКПН (приказ 170)'!$A$4:$C$10,3,FALSE()),Моделирование!$F$2),Моделирование!$F$2)</f>
        <v>1686.17</v>
      </c>
    </row>
    <row r="46" customFormat="false" ht="15" hidden="false" customHeight="false" outlineLevel="0" collapsed="false">
      <c r="A46" s="12" t="n">
        <v>41</v>
      </c>
      <c r="B46" s="12" t="str">
        <f aca="false">'РПН 01.08 по МО'!B44</f>
        <v>АКМОЛИНСКАЯ</v>
      </c>
      <c r="C46" s="12" t="str">
        <f aca="false">'РПН 01.08 по МО'!C44</f>
        <v>ТОО "ПОЛИКЛИНИКА "CITY" с.Кызылжар</v>
      </c>
      <c r="D46" s="12" t="str">
        <f aca="false">'РПН 01.08 по МО'!E44</f>
        <v>1166</v>
      </c>
      <c r="E46" s="12" t="str">
        <f aca="false">'РПН 01.08 по МО'!F44</f>
        <v>Целиноградский район</v>
      </c>
      <c r="F46" s="13" t="n">
        <f aca="false">'РПН 01.08 по МО'!D44</f>
        <v>2271</v>
      </c>
      <c r="G46" s="14" t="n">
        <f aca="false">INDEX('Расчет Кплотн'!$K:$K,MATCH(D46,'Расчет Кплотн'!$A:$A,0))</f>
        <v>1.1961</v>
      </c>
      <c r="H46" s="14" t="n">
        <f aca="false">INDEX('Расчет Кплотн'!$J:$J,MATCH(D46,'Расчет Кплотн'!$A:$A,0))</f>
        <v>1.5876</v>
      </c>
      <c r="I46" s="3" t="n">
        <f aca="false">F46*Моделирование!$F$3*M46*G46/1000</f>
        <v>54962.594939124</v>
      </c>
      <c r="J46" s="3" t="n">
        <f aca="false">F46*Моделирование!$F$3*M46*H46/1000</f>
        <v>72952.609083984</v>
      </c>
      <c r="K46" s="3" t="n">
        <f aca="false">J46-I46</f>
        <v>17990.01414486</v>
      </c>
      <c r="L46" s="4" t="n">
        <f aca="false">IFERROR(K46/I46,0)</f>
        <v>0.327313769751693</v>
      </c>
      <c r="M46" s="15" t="n">
        <f aca="false">IF(INDEX('Расчет Кплотн'!$D:$D,MATCH(D46,'Расчет Кплотн'!$A:$A,0))="район",IFERROR(VLOOKUP(INDEX('Расчет Кплотн'!$B:$B,MATCH(D46,'Расчет Кплотн'!$A:$A,0)),'БКПН (приказ 170)'!$A$4:$C$10,3,FALSE()),Моделирование!$F$2),Моделирование!$F$2)</f>
        <v>1686.17</v>
      </c>
    </row>
    <row r="47" customFormat="false" ht="15" hidden="false" customHeight="false" outlineLevel="0" collapsed="false">
      <c r="A47" s="12" t="n">
        <v>42</v>
      </c>
      <c r="B47" s="12" t="str">
        <f aca="false">'РПН 01.08 по МО'!B45</f>
        <v>АКМОЛИНСКАЯ</v>
      </c>
      <c r="C47" s="12" t="str">
        <f aca="false">'РПН 01.08 по МО'!C45</f>
        <v>Филиал товарищества с ограниченной ответственностью "VIAMEDIS" в городе Кокшетау</v>
      </c>
      <c r="D47" s="12" t="str">
        <f aca="false">'РПН 01.08 по МО'!E45</f>
        <v>1110</v>
      </c>
      <c r="E47" s="12" t="str">
        <f aca="false">'РПН 01.08 по МО'!F45</f>
        <v>Кокшетау</v>
      </c>
      <c r="F47" s="13" t="n">
        <f aca="false">'РПН 01.08 по МО'!D45</f>
        <v>152550</v>
      </c>
      <c r="G47" s="14" t="n">
        <f aca="false">INDEX('Расчет Кплотн'!$K:$K,MATCH(D47,'Расчет Кплотн'!$A:$A,0))</f>
        <v>1</v>
      </c>
      <c r="H47" s="14" t="n">
        <f aca="false">INDEX('Расчет Кплотн'!$J:$J,MATCH(D47,'Расчет Кплотн'!$A:$A,0))</f>
        <v>1</v>
      </c>
      <c r="I47" s="3" t="n">
        <f aca="false">F47*Моделирование!$F$3*M47*G47/1000</f>
        <v>3086702.802</v>
      </c>
      <c r="J47" s="3" t="n">
        <f aca="false">F47*Моделирование!$F$3*M47*H47/1000</f>
        <v>3086702.802</v>
      </c>
      <c r="K47" s="3" t="n">
        <f aca="false">J47-I47</f>
        <v>0</v>
      </c>
      <c r="L47" s="4" t="n">
        <f aca="false">IFERROR(K47/I47,0)</f>
        <v>0</v>
      </c>
      <c r="M47" s="15" t="n">
        <f aca="false">IF(INDEX('Расчет Кплотн'!$D:$D,MATCH(D47,'Расчет Кплотн'!$A:$A,0))="район",IFERROR(VLOOKUP(INDEX('Расчет Кплотн'!$B:$B,MATCH(D47,'Расчет Кплотн'!$A:$A,0)),'БКПН (приказ 170)'!$A$4:$C$10,3,FALSE()),Моделирование!$F$2),Моделирование!$F$2)</f>
        <v>1686.17</v>
      </c>
    </row>
    <row r="48" customFormat="false" ht="15" hidden="false" customHeight="false" outlineLevel="0" collapsed="false">
      <c r="A48" s="12" t="n">
        <v>43</v>
      </c>
      <c r="B48" s="12" t="str">
        <f aca="false">'РПН 01.08 по МО'!B46</f>
        <v>АКМОЛИНСКАЯ</v>
      </c>
      <c r="C48" s="12" t="str">
        <f aca="false">'РПН 01.08 по МО'!C46</f>
        <v>ГКПнаПХВ «Егиндыкольская районная больница» при управлении здравоохранения Акмолинской области</v>
      </c>
      <c r="D48" s="12" t="str">
        <f aca="false">'РПН 01.08 по МО'!E46</f>
        <v>1144</v>
      </c>
      <c r="E48" s="12" t="str">
        <f aca="false">'РПН 01.08 по МО'!F46</f>
        <v>Егиндыкольский район</v>
      </c>
      <c r="F48" s="13" t="n">
        <f aca="false">'РПН 01.08 по МО'!D46</f>
        <v>4887</v>
      </c>
      <c r="G48" s="14" t="n">
        <f aca="false">INDEX('Расчет Кплотн'!$K:$K,MATCH(D48,'Расчет Кплотн'!$A:$A,0))</f>
        <v>2</v>
      </c>
      <c r="H48" s="14" t="n">
        <f aca="false">INDEX('Расчет Кплотн'!$J:$J,MATCH(D48,'Расчет Кплотн'!$A:$A,0))</f>
        <v>2</v>
      </c>
      <c r="I48" s="3" t="n">
        <f aca="false">F48*Моделирование!$F$3*M48*G48/1000</f>
        <v>197767.50696</v>
      </c>
      <c r="J48" s="3" t="n">
        <f aca="false">F48*Моделирование!$F$3*M48*H48/1000</f>
        <v>197767.50696</v>
      </c>
      <c r="K48" s="3" t="n">
        <f aca="false">J48-I48</f>
        <v>0</v>
      </c>
      <c r="L48" s="4" t="n">
        <f aca="false">IFERROR(K48/I48,0)</f>
        <v>0</v>
      </c>
      <c r="M48" s="15" t="n">
        <f aca="false">IF(INDEX('Расчет Кплотн'!$D:$D,MATCH(D48,'Расчет Кплотн'!$A:$A,0))="район",IFERROR(VLOOKUP(INDEX('Расчет Кплотн'!$B:$B,MATCH(D48,'Расчет Кплотн'!$A:$A,0)),'БКПН (приказ 170)'!$A$4:$C$10,3,FALSE()),Моделирование!$F$2),Моделирование!$F$2)</f>
        <v>1686.17</v>
      </c>
    </row>
    <row r="49" customFormat="false" ht="15" hidden="false" customHeight="false" outlineLevel="0" collapsed="false">
      <c r="A49" s="12" t="n">
        <v>44</v>
      </c>
      <c r="B49" s="12" t="str">
        <f aca="false">'РПН 01.08 по МО'!B47</f>
        <v>АКМОЛИНСКАЯ</v>
      </c>
      <c r="C49" s="12" t="str">
        <f aca="false">'РПН 01.08 по МО'!C47</f>
        <v>ТОО "Казахстанская социально-медицинская компания "Жанұя" Акмолинская область (производственная база)</v>
      </c>
      <c r="D49" s="12" t="str">
        <f aca="false">'РПН 01.08 по МО'!E47</f>
        <v>1116</v>
      </c>
      <c r="E49" s="12" t="str">
        <f aca="false">'РПН 01.08 по МО'!F47</f>
        <v>Косшы</v>
      </c>
      <c r="F49" s="13" t="n">
        <f aca="false">'РПН 01.08 по МО'!D47</f>
        <v>28258</v>
      </c>
      <c r="G49" s="14" t="n">
        <f aca="false">INDEX('Расчет Кплотн'!$K:$K,MATCH(D49,'Расчет Кплотн'!$A:$A,0))</f>
        <v>1.5</v>
      </c>
      <c r="H49" s="14" t="n">
        <f aca="false">INDEX('Расчет Кплотн'!$J:$J,MATCH(D49,'Расчет Кплотн'!$A:$A,0))</f>
        <v>1.5</v>
      </c>
      <c r="I49" s="3" t="n">
        <f aca="false">F49*Моделирование!$F$3*M49*G49/1000</f>
        <v>857660.25348</v>
      </c>
      <c r="J49" s="3" t="n">
        <f aca="false">F49*Моделирование!$F$3*M49*H49/1000</f>
        <v>857660.25348</v>
      </c>
      <c r="K49" s="3" t="n">
        <f aca="false">J49-I49</f>
        <v>0</v>
      </c>
      <c r="L49" s="4" t="n">
        <f aca="false">IFERROR(K49/I49,0)</f>
        <v>0</v>
      </c>
      <c r="M49" s="15" t="n">
        <f aca="false">IF(INDEX('Расчет Кплотн'!$D:$D,MATCH(D49,'Расчет Кплотн'!$A:$A,0))="район",IFERROR(VLOOKUP(INDEX('Расчет Кплотн'!$B:$B,MATCH(D49,'Расчет Кплотн'!$A:$A,0)),'БКПН (приказ 170)'!$A$4:$C$10,3,FALSE()),Моделирование!$F$2),Моделирование!$F$2)</f>
        <v>1686.17</v>
      </c>
    </row>
    <row r="50" customFormat="false" ht="15" hidden="false" customHeight="false" outlineLevel="0" collapsed="false">
      <c r="A50" s="12" t="n">
        <v>45</v>
      </c>
      <c r="B50" s="12" t="str">
        <f aca="false">'РПН 01.08 по МО'!B48</f>
        <v>АКМОЛИНСКАЯ</v>
      </c>
      <c r="C50" s="12" t="str">
        <f aca="false">'РПН 01.08 по МО'!C48</f>
        <v>ГКП на ПХВ «Коргалжынская районная больница» при управлении здравоохранения Акмолинской области</v>
      </c>
      <c r="D50" s="12" t="str">
        <f aca="false">'РПН 01.08 по МО'!E48</f>
        <v>1160</v>
      </c>
      <c r="E50" s="12" t="str">
        <f aca="false">'РПН 01.08 по МО'!F48</f>
        <v>Коргалжынский район</v>
      </c>
      <c r="F50" s="13" t="n">
        <f aca="false">'РПН 01.08 по МО'!D48</f>
        <v>6862</v>
      </c>
      <c r="G50" s="14" t="n">
        <f aca="false">INDEX('Расчет Кплотн'!$K:$K,MATCH(D50,'Расчет Кплотн'!$A:$A,0))</f>
        <v>2</v>
      </c>
      <c r="H50" s="14" t="n">
        <f aca="false">INDEX('Расчет Кплотн'!$J:$J,MATCH(D50,'Расчет Кплотн'!$A:$A,0))</f>
        <v>2</v>
      </c>
      <c r="I50" s="3" t="n">
        <f aca="false">F50*Моделирование!$F$3*M50*G50/1000</f>
        <v>277691.96496</v>
      </c>
      <c r="J50" s="3" t="n">
        <f aca="false">F50*Моделирование!$F$3*M50*H50/1000</f>
        <v>277691.96496</v>
      </c>
      <c r="K50" s="3" t="n">
        <f aca="false">J50-I50</f>
        <v>0</v>
      </c>
      <c r="L50" s="4" t="n">
        <f aca="false">IFERROR(K50/I50,0)</f>
        <v>0</v>
      </c>
      <c r="M50" s="15" t="n">
        <f aca="false">IF(INDEX('Расчет Кплотн'!$D:$D,MATCH(D50,'Расчет Кплотн'!$A:$A,0))="район",IFERROR(VLOOKUP(INDEX('Расчет Кплотн'!$B:$B,MATCH(D50,'Расчет Кплотн'!$A:$A,0)),'БКПН (приказ 170)'!$A$4:$C$10,3,FALSE()),Моделирование!$F$2),Моделирование!$F$2)</f>
        <v>1686.17</v>
      </c>
    </row>
    <row r="51" customFormat="false" ht="15" hidden="false" customHeight="false" outlineLevel="0" collapsed="false">
      <c r="A51" s="12" t="n">
        <v>46</v>
      </c>
      <c r="B51" s="12" t="str">
        <f aca="false">'РПН 01.08 по МО'!B49</f>
        <v>АКМОЛИНСКАЯ</v>
      </c>
      <c r="C51" s="12" t="str">
        <f aca="false">'РПН 01.08 по МО'!C49</f>
        <v>ГКП на ПХВ "Есильская районная больница" при управлении здравоохранения Акмолинской области</v>
      </c>
      <c r="D51" s="12" t="str">
        <f aca="false">'РПН 01.08 по МО'!E49</f>
        <v>1148</v>
      </c>
      <c r="E51" s="12" t="str">
        <f aca="false">'РПН 01.08 по МО'!F49</f>
        <v>Есильский район</v>
      </c>
      <c r="F51" s="13" t="n">
        <f aca="false">'РПН 01.08 по МО'!D49</f>
        <v>19774</v>
      </c>
      <c r="G51" s="14" t="n">
        <f aca="false">INDEX('Расчет Кплотн'!$K:$K,MATCH(D51,'Расчет Кплотн'!$A:$A,0))</f>
        <v>1.7914</v>
      </c>
      <c r="H51" s="14" t="n">
        <f aca="false">INDEX('Расчет Кплотн'!$J:$J,MATCH(D51,'Расчет Кплотн'!$A:$A,0))</f>
        <v>2</v>
      </c>
      <c r="I51" s="3" t="n">
        <f aca="false">F51*Моделирование!$F$3*M51*G51/1000</f>
        <v>716753.304528144</v>
      </c>
      <c r="J51" s="3" t="n">
        <f aca="false">F51*Моделирование!$F$3*M51*H51/1000</f>
        <v>800215.81392</v>
      </c>
      <c r="K51" s="3" t="n">
        <f aca="false">J51-I51</f>
        <v>83462.509391856</v>
      </c>
      <c r="L51" s="4" t="n">
        <f aca="false">IFERROR(K51/I51,0)</f>
        <v>0.116445238361058</v>
      </c>
      <c r="M51" s="15" t="n">
        <f aca="false">IF(INDEX('Расчет Кплотн'!$D:$D,MATCH(D51,'Расчет Кплотн'!$A:$A,0))="район",IFERROR(VLOOKUP(INDEX('Расчет Кплотн'!$B:$B,MATCH(D51,'Расчет Кплотн'!$A:$A,0)),'БКПН (приказ 170)'!$A$4:$C$10,3,FALSE()),Моделирование!$F$2),Моделирование!$F$2)</f>
        <v>1686.17</v>
      </c>
    </row>
    <row r="52" customFormat="false" ht="15" hidden="false" customHeight="false" outlineLevel="0" collapsed="false">
      <c r="A52" s="12" t="n">
        <v>47</v>
      </c>
      <c r="B52" s="12" t="str">
        <f aca="false">'РПН 01.08 по МО'!B50</f>
        <v>АКМОЛИНСКАЯ</v>
      </c>
      <c r="C52" s="12" t="str">
        <f aca="false">'РПН 01.08 по МО'!C50</f>
        <v>ГКП на ПХВ "Шортандинская районная больница" при управлении здравоохранения Акмолинской области.</v>
      </c>
      <c r="D52" s="12" t="str">
        <f aca="false">'РПН 01.08 по МО'!E50</f>
        <v>1168</v>
      </c>
      <c r="E52" s="12" t="str">
        <f aca="false">'РПН 01.08 по МО'!F50</f>
        <v>Шортандинский район</v>
      </c>
      <c r="F52" s="13" t="n">
        <f aca="false">'РПН 01.08 по МО'!D50</f>
        <v>26115</v>
      </c>
      <c r="G52" s="14" t="n">
        <f aca="false">INDEX('Расчет Кплотн'!$K:$K,MATCH(D52,'Расчет Кплотн'!$A:$A,0))</f>
        <v>1.3518</v>
      </c>
      <c r="H52" s="14" t="n">
        <f aca="false">INDEX('Расчет Кплотн'!$J:$J,MATCH(D52,'Расчет Кплотн'!$A:$A,0))</f>
        <v>1.9078</v>
      </c>
      <c r="I52" s="3" t="n">
        <f aca="false">F52*Моделирование!$F$3*M52*G52/1000</f>
        <v>714307.28022828</v>
      </c>
      <c r="J52" s="3" t="n">
        <f aca="false">F52*Моделирование!$F$3*M52*H52/1000</f>
        <v>1008104.32698588</v>
      </c>
      <c r="K52" s="3" t="n">
        <f aca="false">J52-I52</f>
        <v>293797.0467576</v>
      </c>
      <c r="L52" s="4" t="n">
        <f aca="false">IFERROR(K52/I52,0)</f>
        <v>0.411303447255511</v>
      </c>
      <c r="M52" s="15" t="n">
        <f aca="false">IF(INDEX('Расчет Кплотн'!$D:$D,MATCH(D52,'Расчет Кплотн'!$A:$A,0))="район",IFERROR(VLOOKUP(INDEX('Расчет Кплотн'!$B:$B,MATCH(D52,'Расчет Кплотн'!$A:$A,0)),'БКПН (приказ 170)'!$A$4:$C$10,3,FALSE()),Моделирование!$F$2),Моделирование!$F$2)</f>
        <v>1686.17</v>
      </c>
    </row>
    <row r="53" customFormat="false" ht="15" hidden="false" customHeight="false" outlineLevel="0" collapsed="false">
      <c r="A53" s="12" t="n">
        <v>48</v>
      </c>
      <c r="B53" s="12" t="str">
        <f aca="false">'РПН 01.08 по МО'!B51</f>
        <v>АКМОЛИНСКАЯ</v>
      </c>
      <c r="C53" s="12" t="str">
        <f aca="false">'РПН 01.08 по МО'!C51</f>
        <v>ГКП на ПХВ «Ерейментауская районная больница» при управлении здравоохранения Акмолинской области</v>
      </c>
      <c r="D53" s="12" t="str">
        <f aca="false">'РПН 01.08 по МО'!E51</f>
        <v>1146</v>
      </c>
      <c r="E53" s="12" t="str">
        <f aca="false">'РПН 01.08 по МО'!F51</f>
        <v>Ерейментауский район</v>
      </c>
      <c r="F53" s="13" t="n">
        <f aca="false">'РПН 01.08 по МО'!D51</f>
        <v>21673</v>
      </c>
      <c r="G53" s="14" t="n">
        <f aca="false">INDEX('Расчет Кплотн'!$K:$K,MATCH(D53,'Расчет Кплотн'!$A:$A,0))</f>
        <v>2</v>
      </c>
      <c r="H53" s="14" t="n">
        <f aca="false">INDEX('Расчет Кплотн'!$J:$J,MATCH(D53,'Расчет Кплотн'!$A:$A,0))</f>
        <v>2</v>
      </c>
      <c r="I53" s="3" t="n">
        <f aca="false">F53*Моделирование!$F$3*M53*G53/1000</f>
        <v>877064.69784</v>
      </c>
      <c r="J53" s="3" t="n">
        <f aca="false">F53*Моделирование!$F$3*M53*H53/1000</f>
        <v>877064.69784</v>
      </c>
      <c r="K53" s="3" t="n">
        <f aca="false">J53-I53</f>
        <v>0</v>
      </c>
      <c r="L53" s="4" t="n">
        <f aca="false">IFERROR(K53/I53,0)</f>
        <v>0</v>
      </c>
      <c r="M53" s="15" t="n">
        <f aca="false">IF(INDEX('Расчет Кплотн'!$D:$D,MATCH(D53,'Расчет Кплотн'!$A:$A,0))="район",IFERROR(VLOOKUP(INDEX('Расчет Кплотн'!$B:$B,MATCH(D53,'Расчет Кплотн'!$A:$A,0)),'БКПН (приказ 170)'!$A$4:$C$10,3,FALSE()),Моделирование!$F$2),Моделирование!$F$2)</f>
        <v>1686.17</v>
      </c>
    </row>
    <row r="54" customFormat="false" ht="15" hidden="false" customHeight="false" outlineLevel="0" collapsed="false">
      <c r="A54" s="12" t="n">
        <v>49</v>
      </c>
      <c r="B54" s="12" t="str">
        <f aca="false">'РПН 01.08 по МО'!B52</f>
        <v>АКМОЛИНСКАЯ</v>
      </c>
      <c r="C54" s="12" t="str">
        <f aca="false">'РПН 01.08 по МО'!C52</f>
        <v>ГКП на ПХВ "Аккольская районная больница" при управлении здравоохранения Акмолинской области</v>
      </c>
      <c r="D54" s="12" t="str">
        <f aca="false">'РПН 01.08 по МО'!E52</f>
        <v>1132</v>
      </c>
      <c r="E54" s="12" t="str">
        <f aca="false">'РПН 01.08 по МО'!F52</f>
        <v>Аккольский район</v>
      </c>
      <c r="F54" s="13" t="n">
        <f aca="false">'РПН 01.08 по МО'!D52</f>
        <v>22231</v>
      </c>
      <c r="G54" s="14" t="n">
        <f aca="false">INDEX('Расчет Кплотн'!$K:$K,MATCH(D54,'Расчет Кплотн'!$A:$A,0))</f>
        <v>1.6873</v>
      </c>
      <c r="H54" s="14" t="n">
        <f aca="false">INDEX('Расчет Кплотн'!$J:$J,MATCH(D54,'Расчет Кплотн'!$A:$A,0))</f>
        <v>2</v>
      </c>
      <c r="I54" s="3" t="n">
        <f aca="false">F54*Моделирование!$F$3*M54*G54/1000</f>
        <v>758986.252128852</v>
      </c>
      <c r="J54" s="3" t="n">
        <f aca="false">F54*Моделирование!$F$3*M54*H54/1000</f>
        <v>899645.88648</v>
      </c>
      <c r="K54" s="3" t="n">
        <f aca="false">J54-I54</f>
        <v>140659.634351148</v>
      </c>
      <c r="L54" s="4" t="n">
        <f aca="false">IFERROR(K54/I54,0)</f>
        <v>0.185325668227345</v>
      </c>
      <c r="M54" s="15" t="n">
        <f aca="false">IF(INDEX('Расчет Кплотн'!$D:$D,MATCH(D54,'Расчет Кплотн'!$A:$A,0))="район",IFERROR(VLOOKUP(INDEX('Расчет Кплотн'!$B:$B,MATCH(D54,'Расчет Кплотн'!$A:$A,0)),'БКПН (приказ 170)'!$A$4:$C$10,3,FALSE()),Моделирование!$F$2),Моделирование!$F$2)</f>
        <v>1686.17</v>
      </c>
    </row>
    <row r="55" customFormat="false" ht="15" hidden="false" customHeight="false" outlineLevel="0" collapsed="false">
      <c r="A55" s="12" t="n">
        <v>50</v>
      </c>
      <c r="B55" s="12" t="str">
        <f aca="false">'РПН 01.08 по МО'!B53</f>
        <v>АКМОЛИНСКАЯ</v>
      </c>
      <c r="C55" s="12" t="str">
        <f aca="false">'РПН 01.08 по МО'!C53</f>
        <v>ГКП на ПХВ "Астраханская районная больница" при управлении здравоохранения Акмолинской области</v>
      </c>
      <c r="D55" s="12" t="str">
        <f aca="false">'РПН 01.08 по МО'!E53</f>
        <v>1136</v>
      </c>
      <c r="E55" s="12" t="str">
        <f aca="false">'РПН 01.08 по МО'!F53</f>
        <v>Астраханский район</v>
      </c>
      <c r="F55" s="13" t="n">
        <f aca="false">'РПН 01.08 по МО'!D53</f>
        <v>18163</v>
      </c>
      <c r="G55" s="14" t="n">
        <f aca="false">INDEX('Расчет Кплотн'!$K:$K,MATCH(D55,'Расчет Кплотн'!$A:$A,0))</f>
        <v>1.7655</v>
      </c>
      <c r="H55" s="14" t="n">
        <f aca="false">INDEX('Расчет Кплотн'!$J:$J,MATCH(D55,'Расчет Кплотн'!$A:$A,0))</f>
        <v>2</v>
      </c>
      <c r="I55" s="3" t="n">
        <f aca="false">F55*Моделирование!$F$3*M55*G55/1000</f>
        <v>648840.43837206</v>
      </c>
      <c r="J55" s="3" t="n">
        <f aca="false">F55*Моделирование!$F$3*M55*H55/1000</f>
        <v>735021.73704</v>
      </c>
      <c r="K55" s="3" t="n">
        <f aca="false">J55-I55</f>
        <v>86181.29866794</v>
      </c>
      <c r="L55" s="4" t="n">
        <f aca="false">IFERROR(K55/I55,0)</f>
        <v>0.132823562730105</v>
      </c>
      <c r="M55" s="15" t="n">
        <f aca="false">IF(INDEX('Расчет Кплотн'!$D:$D,MATCH(D55,'Расчет Кплотн'!$A:$A,0))="район",IFERROR(VLOOKUP(INDEX('Расчет Кплотн'!$B:$B,MATCH(D55,'Расчет Кплотн'!$A:$A,0)),'БКПН (приказ 170)'!$A$4:$C$10,3,FALSE()),Моделирование!$F$2),Моделирование!$F$2)</f>
        <v>1686.17</v>
      </c>
    </row>
    <row r="56" customFormat="false" ht="15" hidden="false" customHeight="false" outlineLevel="0" collapsed="false">
      <c r="A56" s="12" t="n">
        <v>51</v>
      </c>
      <c r="B56" s="12" t="str">
        <f aca="false">'РПН 01.08 по МО'!B54</f>
        <v>АКМОЛИНСКАЯ</v>
      </c>
      <c r="C56" s="12" t="str">
        <f aca="false">'РПН 01.08 по МО'!C54</f>
        <v>ГКП на ПХВ "Буландынская районная больница" при управлении здравоохранения Акмолинской области</v>
      </c>
      <c r="D56" s="12" t="str">
        <f aca="false">'РПН 01.08 по МО'!E54</f>
        <v>1140</v>
      </c>
      <c r="E56" s="12" t="str">
        <f aca="false">'РПН 01.08 по МО'!F54</f>
        <v>Буландынский район</v>
      </c>
      <c r="F56" s="13" t="n">
        <f aca="false">'РПН 01.08 по МО'!D54</f>
        <v>27274</v>
      </c>
      <c r="G56" s="14" t="n">
        <f aca="false">INDEX('Расчет Кплотн'!$K:$K,MATCH(D56,'Расчет Кплотн'!$A:$A,0))</f>
        <v>1.3585</v>
      </c>
      <c r="H56" s="14" t="n">
        <f aca="false">INDEX('Расчет Кплотн'!$J:$J,MATCH(D56,'Расчет Кплотн'!$A:$A,0))</f>
        <v>1.95</v>
      </c>
      <c r="I56" s="3" t="n">
        <f aca="false">F56*Моделирование!$F$3*M56*G56/1000</f>
        <v>749706.16665516</v>
      </c>
      <c r="J56" s="3" t="n">
        <f aca="false">F56*Моделирование!$F$3*M56*H56/1000</f>
        <v>1076133.253572</v>
      </c>
      <c r="K56" s="3" t="n">
        <f aca="false">J56-I56</f>
        <v>326427.08691684</v>
      </c>
      <c r="L56" s="4" t="n">
        <f aca="false">IFERROR(K56/I56,0)</f>
        <v>0.435406698564593</v>
      </c>
      <c r="M56" s="15" t="n">
        <f aca="false">IF(INDEX('Расчет Кплотн'!$D:$D,MATCH(D56,'Расчет Кплотн'!$A:$A,0))="район",IFERROR(VLOOKUP(INDEX('Расчет Кплотн'!$B:$B,MATCH(D56,'Расчет Кплотн'!$A:$A,0)),'БКПН (приказ 170)'!$A$4:$C$10,3,FALSE()),Моделирование!$F$2),Моделирование!$F$2)</f>
        <v>1686.17</v>
      </c>
    </row>
    <row r="57" customFormat="false" ht="15" hidden="false" customHeight="false" outlineLevel="0" collapsed="false">
      <c r="A57" s="12" t="n">
        <v>52</v>
      </c>
      <c r="B57" s="12" t="str">
        <f aca="false">'РПН 01.08 по МО'!B55</f>
        <v>АКМОЛИНСКАЯ</v>
      </c>
      <c r="C57" s="12" t="str">
        <f aca="false">'РПН 01.08 по МО'!C55</f>
        <v>ГКП на ПХВ "Бурабайская районная поликлиника" при управлении здравоохранения Акмолинской области</v>
      </c>
      <c r="D57" s="12" t="str">
        <f aca="false">'РПН 01.08 по МО'!E55</f>
        <v>1170</v>
      </c>
      <c r="E57" s="12" t="str">
        <f aca="false">'РПН 01.08 по МО'!F55</f>
        <v>Бурабайский район</v>
      </c>
      <c r="F57" s="13" t="n">
        <f aca="false">'РПН 01.08 по МО'!D55</f>
        <v>68779</v>
      </c>
      <c r="G57" s="14" t="n">
        <f aca="false">INDEX('Расчет Кплотн'!$K:$K,MATCH(D57,'Расчет Кплотн'!$A:$A,0))</f>
        <v>1.1703</v>
      </c>
      <c r="H57" s="14" t="n">
        <f aca="false">INDEX('Расчет Кплотн'!$J:$J,MATCH(D57,'Расчет Кплотн'!$A:$A,0))</f>
        <v>1.4336</v>
      </c>
      <c r="I57" s="3" t="n">
        <f aca="false">F57*Моделирование!$F$3*M57*G57/1000</f>
        <v>1628679.63658835</v>
      </c>
      <c r="J57" s="3" t="n">
        <f aca="false">F57*Моделирование!$F$3*M57*H57/1000</f>
        <v>1995108.20047258</v>
      </c>
      <c r="K57" s="3" t="n">
        <f aca="false">J57-I57</f>
        <v>366428.563884228</v>
      </c>
      <c r="L57" s="4" t="n">
        <f aca="false">IFERROR(K57/I57,0)</f>
        <v>0.224985046569256</v>
      </c>
      <c r="M57" s="15" t="n">
        <f aca="false">IF(INDEX('Расчет Кплотн'!$D:$D,MATCH(D57,'Расчет Кплотн'!$A:$A,0))="район",IFERROR(VLOOKUP(INDEX('Расчет Кплотн'!$B:$B,MATCH(D57,'Расчет Кплотн'!$A:$A,0)),'БКПН (приказ 170)'!$A$4:$C$10,3,FALSE()),Моделирование!$F$2),Моделирование!$F$2)</f>
        <v>1686.17</v>
      </c>
    </row>
    <row r="58" customFormat="false" ht="15" hidden="false" customHeight="false" outlineLevel="0" collapsed="false">
      <c r="A58" s="12" t="n">
        <v>53</v>
      </c>
      <c r="B58" s="12" t="str">
        <f aca="false">'РПН 01.08 по МО'!B56</f>
        <v>АКМОЛИНСКАЯ</v>
      </c>
      <c r="C58" s="12" t="str">
        <f aca="false">'РПН 01.08 по МО'!C56</f>
        <v>ГКП на ПХВ "Городская поликлиника" при управлении здравоохранения Акмолинской области</v>
      </c>
      <c r="D58" s="12" t="str">
        <f aca="false">'РПН 01.08 по МО'!E56</f>
        <v>1110</v>
      </c>
      <c r="E58" s="12" t="str">
        <f aca="false">'РПН 01.08 по МО'!F56</f>
        <v>Кокшетау</v>
      </c>
      <c r="F58" s="13" t="n">
        <f aca="false">'РПН 01.08 по МО'!D56</f>
        <v>86719</v>
      </c>
      <c r="G58" s="14" t="n">
        <f aca="false">INDEX('Расчет Кплотн'!$K:$K,MATCH(D58,'Расчет Кплотн'!$A:$A,0))</f>
        <v>1</v>
      </c>
      <c r="H58" s="14" t="n">
        <f aca="false">INDEX('Расчет Кплотн'!$J:$J,MATCH(D58,'Расчет Кплотн'!$A:$A,0))</f>
        <v>1</v>
      </c>
      <c r="I58" s="3" t="n">
        <f aca="false">F58*Моделирование!$F$3*M58*G58/1000</f>
        <v>1754675.71476</v>
      </c>
      <c r="J58" s="3" t="n">
        <f aca="false">F58*Моделирование!$F$3*M58*H58/1000</f>
        <v>1754675.71476</v>
      </c>
      <c r="K58" s="3" t="n">
        <f aca="false">J58-I58</f>
        <v>0</v>
      </c>
      <c r="L58" s="4" t="n">
        <f aca="false">IFERROR(K58/I58,0)</f>
        <v>0</v>
      </c>
      <c r="M58" s="15" t="n">
        <f aca="false">IF(INDEX('Расчет Кплотн'!$D:$D,MATCH(D58,'Расчет Кплотн'!$A:$A,0))="район",IFERROR(VLOOKUP(INDEX('Расчет Кплотн'!$B:$B,MATCH(D58,'Расчет Кплотн'!$A:$A,0)),'БКПН (приказ 170)'!$A$4:$C$10,3,FALSE()),Моделирование!$F$2),Моделирование!$F$2)</f>
        <v>1686.17</v>
      </c>
    </row>
    <row r="59" customFormat="false" ht="15" hidden="false" customHeight="false" outlineLevel="0" collapsed="false">
      <c r="A59" s="12" t="n">
        <v>54</v>
      </c>
      <c r="B59" s="12" t="str">
        <f aca="false">'РПН 01.08 по МО'!B57</f>
        <v>АКМОЛИНСКАЯ</v>
      </c>
      <c r="C59" s="12" t="str">
        <f aca="false">'РПН 01.08 по МО'!C57</f>
        <v>ГКП на ПХВ "Атбасарская многопрофильная межрайонная больница" при управлении здравоохранения Акмолинской области</v>
      </c>
      <c r="D59" s="12" t="str">
        <f aca="false">'РПН 01.08 по МО'!E57</f>
        <v>1138</v>
      </c>
      <c r="E59" s="12" t="str">
        <f aca="false">'РПН 01.08 по МО'!F57</f>
        <v>Атбасарский район</v>
      </c>
      <c r="F59" s="13" t="n">
        <f aca="false">'РПН 01.08 по МО'!D57</f>
        <v>42746</v>
      </c>
      <c r="G59" s="14" t="n">
        <f aca="false">INDEX('Расчет Кплотн'!$K:$K,MATCH(D59,'Расчет Кплотн'!$A:$A,0))</f>
        <v>1.5024</v>
      </c>
      <c r="H59" s="14" t="n">
        <f aca="false">INDEX('Расчет Кплотн'!$J:$J,MATCH(D59,'Расчет Кплотн'!$A:$A,0))</f>
        <v>2</v>
      </c>
      <c r="I59" s="3" t="n">
        <f aca="false">F59*Моделирование!$F$3*M59*G59/1000</f>
        <v>1299462.22901722</v>
      </c>
      <c r="J59" s="3" t="n">
        <f aca="false">F59*Моделирование!$F$3*M59*H59/1000</f>
        <v>1729848.54768</v>
      </c>
      <c r="K59" s="3" t="n">
        <f aca="false">J59-I59</f>
        <v>430386.318662784</v>
      </c>
      <c r="L59" s="4" t="n">
        <f aca="false">IFERROR(K59/I59,0)</f>
        <v>0.331203407880724</v>
      </c>
      <c r="M59" s="15" t="n">
        <f aca="false">IF(INDEX('Расчет Кплотн'!$D:$D,MATCH(D59,'Расчет Кплотн'!$A:$A,0))="район",IFERROR(VLOOKUP(INDEX('Расчет Кплотн'!$B:$B,MATCH(D59,'Расчет Кплотн'!$A:$A,0)),'БКПН (приказ 170)'!$A$4:$C$10,3,FALSE()),Моделирование!$F$2),Моделирование!$F$2)</f>
        <v>1686.17</v>
      </c>
    </row>
    <row r="60" customFormat="false" ht="15" hidden="false" customHeight="false" outlineLevel="0" collapsed="false">
      <c r="A60" s="12" t="n">
        <v>55</v>
      </c>
      <c r="B60" s="12" t="str">
        <f aca="false">'РПН 01.08 по МО'!B58</f>
        <v>АКМОЛИНСКАЯ</v>
      </c>
      <c r="C60" s="12" t="str">
        <f aca="false">'РПН 01.08 по МО'!C58</f>
        <v>ГКП на ПХВ "Жаксынская районная больница" при управлении здравоохранения Акмолинской области</v>
      </c>
      <c r="D60" s="12" t="str">
        <f aca="false">'РПН 01.08 по МО'!E58</f>
        <v>1152</v>
      </c>
      <c r="E60" s="12" t="str">
        <f aca="false">'РПН 01.08 по МО'!F58</f>
        <v>Жаксынский район</v>
      </c>
      <c r="F60" s="13" t="n">
        <f aca="false">'РПН 01.08 по МО'!D58</f>
        <v>14211</v>
      </c>
      <c r="G60" s="14" t="n">
        <f aca="false">INDEX('Расчет Кплотн'!$K:$K,MATCH(D60,'Расчет Кплотн'!$A:$A,0))</f>
        <v>2</v>
      </c>
      <c r="H60" s="14" t="n">
        <f aca="false">INDEX('Расчет Кплотн'!$J:$J,MATCH(D60,'Расчет Кплотн'!$A:$A,0))</f>
        <v>2</v>
      </c>
      <c r="I60" s="3" t="n">
        <f aca="false">F60*Моделирование!$F$3*M60*G60/1000</f>
        <v>575091.88488</v>
      </c>
      <c r="J60" s="3" t="n">
        <f aca="false">F60*Моделирование!$F$3*M60*H60/1000</f>
        <v>575091.88488</v>
      </c>
      <c r="K60" s="3" t="n">
        <f aca="false">J60-I60</f>
        <v>0</v>
      </c>
      <c r="L60" s="4" t="n">
        <f aca="false">IFERROR(K60/I60,0)</f>
        <v>0</v>
      </c>
      <c r="M60" s="15" t="n">
        <f aca="false">IF(INDEX('Расчет Кплотн'!$D:$D,MATCH(D60,'Расчет Кплотн'!$A:$A,0))="район",IFERROR(VLOOKUP(INDEX('Расчет Кплотн'!$B:$B,MATCH(D60,'Расчет Кплотн'!$A:$A,0)),'БКПН (приказ 170)'!$A$4:$C$10,3,FALSE()),Моделирование!$F$2),Моделирование!$F$2)</f>
        <v>1686.17</v>
      </c>
    </row>
    <row r="61" customFormat="false" ht="15" hidden="false" customHeight="false" outlineLevel="0" collapsed="false">
      <c r="A61" s="12" t="n">
        <v>56</v>
      </c>
      <c r="B61" s="12" t="str">
        <f aca="false">'РПН 01.08 по МО'!B59</f>
        <v>АКМОЛИНСКАЯ</v>
      </c>
      <c r="C61" s="12" t="str">
        <f aca="false">'РПН 01.08 по МО'!C59</f>
        <v>ГКП на ПХВ "Жаркаинская районная больница" при управлении здравоохранения Акмолинской области</v>
      </c>
      <c r="D61" s="12" t="str">
        <f aca="false">'РПН 01.08 по МО'!E59</f>
        <v>1154</v>
      </c>
      <c r="E61" s="12" t="str">
        <f aca="false">'РПН 01.08 по МО'!F59</f>
        <v>Жаркаинский район</v>
      </c>
      <c r="F61" s="13" t="n">
        <f aca="false">'РПН 01.08 по МО'!D59</f>
        <v>11762</v>
      </c>
      <c r="G61" s="14" t="n">
        <f aca="false">INDEX('Расчет Кплотн'!$K:$K,MATCH(D61,'Расчет Кплотн'!$A:$A,0))</f>
        <v>2</v>
      </c>
      <c r="H61" s="14" t="n">
        <f aca="false">INDEX('Расчет Кплотн'!$J:$J,MATCH(D61,'Расчет Кплотн'!$A:$A,0))</f>
        <v>2</v>
      </c>
      <c r="I61" s="3" t="n">
        <f aca="false">F61*Моделирование!$F$3*M61*G61/1000</f>
        <v>475985.55696</v>
      </c>
      <c r="J61" s="3" t="n">
        <f aca="false">F61*Моделирование!$F$3*M61*H61/1000</f>
        <v>475985.55696</v>
      </c>
      <c r="K61" s="3" t="n">
        <f aca="false">J61-I61</f>
        <v>0</v>
      </c>
      <c r="L61" s="4" t="n">
        <f aca="false">IFERROR(K61/I61,0)</f>
        <v>0</v>
      </c>
      <c r="M61" s="15" t="n">
        <f aca="false">IF(INDEX('Расчет Кплотн'!$D:$D,MATCH(D61,'Расчет Кплотн'!$A:$A,0))="район",IFERROR(VLOOKUP(INDEX('Расчет Кплотн'!$B:$B,MATCH(D61,'Расчет Кплотн'!$A:$A,0)),'БКПН (приказ 170)'!$A$4:$C$10,3,FALSE()),Моделирование!$F$2),Моделирование!$F$2)</f>
        <v>1686.17</v>
      </c>
    </row>
    <row r="62" customFormat="false" ht="15" hidden="false" customHeight="false" outlineLevel="0" collapsed="false">
      <c r="A62" s="12" t="n">
        <v>57</v>
      </c>
      <c r="B62" s="12" t="str">
        <f aca="false">'РПН 01.08 по МО'!B60</f>
        <v>АКМОЛИНСКАЯ</v>
      </c>
      <c r="C62" s="12" t="str">
        <f aca="false">'РПН 01.08 по МО'!C60</f>
        <v>ГКП на ПХВ "Зерендинская районная больница" при управлении здравоохранения Акмолинской области</v>
      </c>
      <c r="D62" s="12" t="str">
        <f aca="false">'РПН 01.08 по МО'!E60</f>
        <v>1156</v>
      </c>
      <c r="E62" s="12" t="str">
        <f aca="false">'РПН 01.08 по МО'!F60</f>
        <v>Зерендинский район</v>
      </c>
      <c r="F62" s="13" t="n">
        <f aca="false">'РПН 01.08 по МО'!D60</f>
        <v>19891</v>
      </c>
      <c r="G62" s="14" t="n">
        <f aca="false">INDEX('Расчет Кплотн'!$K:$K,MATCH(D62,'Расчет Кплотн'!$A:$A,0))</f>
        <v>1.4584</v>
      </c>
      <c r="H62" s="14" t="n">
        <f aca="false">INDEX('Расчет Кплотн'!$J:$J,MATCH(D62,'Расчет Кплотн'!$A:$A,0))</f>
        <v>2</v>
      </c>
      <c r="I62" s="3" t="n">
        <f aca="false">F62*Моделирование!$F$3*M62*G62/1000</f>
        <v>586969.962410976</v>
      </c>
      <c r="J62" s="3" t="n">
        <f aca="false">F62*Моделирование!$F$3*M62*H62/1000</f>
        <v>804950.57928</v>
      </c>
      <c r="K62" s="3" t="n">
        <f aca="false">J62-I62</f>
        <v>217980.616869024</v>
      </c>
      <c r="L62" s="4" t="n">
        <f aca="false">IFERROR(K62/I62,0)</f>
        <v>0.371365880416895</v>
      </c>
      <c r="M62" s="15" t="n">
        <f aca="false">IF(INDEX('Расчет Кплотн'!$D:$D,MATCH(D62,'Расчет Кплотн'!$A:$A,0))="район",IFERROR(VLOOKUP(INDEX('Расчет Кплотн'!$B:$B,MATCH(D62,'Расчет Кплотн'!$A:$A,0)),'БКПН (приказ 170)'!$A$4:$C$10,3,FALSE()),Моделирование!$F$2),Моделирование!$F$2)</f>
        <v>1686.17</v>
      </c>
    </row>
    <row r="63" customFormat="false" ht="15" hidden="false" customHeight="false" outlineLevel="0" collapsed="false">
      <c r="A63" s="12" t="n">
        <v>58</v>
      </c>
      <c r="B63" s="12" t="str">
        <f aca="false">'РПН 01.08 по МО'!B61</f>
        <v>АКМОЛИНСКАЯ</v>
      </c>
      <c r="C63" s="12" t="str">
        <f aca="false">'РПН 01.08 по МО'!C61</f>
        <v>ГКП на ПХВ "Сандыктауская районная больница"</v>
      </c>
      <c r="D63" s="12" t="str">
        <f aca="false">'РПН 01.08 по МО'!E61</f>
        <v>1164</v>
      </c>
      <c r="E63" s="12" t="str">
        <f aca="false">'РПН 01.08 по МО'!F61</f>
        <v>Сандыктауский район</v>
      </c>
      <c r="F63" s="13" t="n">
        <f aca="false">'РПН 01.08 по МО'!D61</f>
        <v>17929</v>
      </c>
      <c r="G63" s="14" t="n">
        <f aca="false">INDEX('Расчет Кплотн'!$K:$K,MATCH(D63,'Расчет Кплотн'!$A:$A,0))</f>
        <v>1.7761</v>
      </c>
      <c r="H63" s="14" t="n">
        <f aca="false">INDEX('Расчет Кплотн'!$J:$J,MATCH(D63,'Расчет Кплотн'!$A:$A,0))</f>
        <v>2</v>
      </c>
      <c r="I63" s="3" t="n">
        <f aca="false">F63*Моделирование!$F$3*M63*G63/1000</f>
        <v>644326.636822476</v>
      </c>
      <c r="J63" s="3" t="n">
        <f aca="false">F63*Моделирование!$F$3*M63*H63/1000</f>
        <v>725552.20632</v>
      </c>
      <c r="K63" s="3" t="n">
        <f aca="false">J63-I63</f>
        <v>81225.569497524</v>
      </c>
      <c r="L63" s="4" t="n">
        <f aca="false">IFERROR(K63/I63,0)</f>
        <v>0.126062721693598</v>
      </c>
      <c r="M63" s="15" t="n">
        <f aca="false">IF(INDEX('Расчет Кплотн'!$D:$D,MATCH(D63,'Расчет Кплотн'!$A:$A,0))="район",IFERROR(VLOOKUP(INDEX('Расчет Кплотн'!$B:$B,MATCH(D63,'Расчет Кплотн'!$A:$A,0)),'БКПН (приказ 170)'!$A$4:$C$10,3,FALSE()),Моделирование!$F$2),Моделирование!$F$2)</f>
        <v>1686.17</v>
      </c>
    </row>
    <row r="64" customFormat="false" ht="15" hidden="false" customHeight="false" outlineLevel="0" collapsed="false">
      <c r="A64" s="12" t="n">
        <v>59</v>
      </c>
      <c r="B64" s="12" t="str">
        <f aca="false">'РПН 01.08 по МО'!B62</f>
        <v>АКМОЛИНСКАЯ</v>
      </c>
      <c r="C64" s="12" t="str">
        <f aca="false">'РПН 01.08 по МО'!C62</f>
        <v>ГКП на ПХВ "Целиноградская районная поликлиника" при управлении здравоохранения Акмолинской области .</v>
      </c>
      <c r="D64" s="12" t="str">
        <f aca="false">'РПН 01.08 по МО'!E62</f>
        <v>1166</v>
      </c>
      <c r="E64" s="12" t="str">
        <f aca="false">'РПН 01.08 по МО'!F62</f>
        <v>Целиноградский район</v>
      </c>
      <c r="F64" s="13" t="n">
        <f aca="false">'РПН 01.08 по МО'!D62</f>
        <v>51521</v>
      </c>
      <c r="G64" s="14" t="n">
        <f aca="false">INDEX('Расчет Кплотн'!$K:$K,MATCH(D64,'Расчет Кплотн'!$A:$A,0))</f>
        <v>1.1961</v>
      </c>
      <c r="H64" s="14" t="n">
        <f aca="false">INDEX('Расчет Кплотн'!$J:$J,MATCH(D64,'Расчет Кплотн'!$A:$A,0))</f>
        <v>1.5876</v>
      </c>
      <c r="I64" s="3" t="n">
        <f aca="false">F64*Моделирование!$F$3*M64*G64/1000</f>
        <v>1246907.90570612</v>
      </c>
      <c r="J64" s="3" t="n">
        <f aca="false">F64*Моделирование!$F$3*M64*H64/1000</f>
        <v>1655038.03285598</v>
      </c>
      <c r="K64" s="3" t="n">
        <f aca="false">J64-I64</f>
        <v>408130.12714986</v>
      </c>
      <c r="L64" s="4" t="n">
        <f aca="false">IFERROR(K64/I64,0)</f>
        <v>0.327313769751693</v>
      </c>
      <c r="M64" s="15" t="n">
        <f aca="false">IF(INDEX('Расчет Кплотн'!$D:$D,MATCH(D64,'Расчет Кплотн'!$A:$A,0))="район",IFERROR(VLOOKUP(INDEX('Расчет Кплотн'!$B:$B,MATCH(D64,'Расчет Кплотн'!$A:$A,0)),'БКПН (приказ 170)'!$A$4:$C$10,3,FALSE()),Моделирование!$F$2),Моделирование!$F$2)</f>
        <v>1686.17</v>
      </c>
    </row>
    <row r="65" customFormat="false" ht="15" hidden="false" customHeight="false" outlineLevel="0" collapsed="false">
      <c r="A65" s="12" t="n">
        <v>60</v>
      </c>
      <c r="B65" s="12" t="str">
        <f aca="false">'РПН 01.08 по МО'!B63</f>
        <v>АКТЮБИНСКАЯ</v>
      </c>
      <c r="C65" s="12" t="str">
        <f aca="false">'РПН 01.08 по МО'!C63</f>
        <v>ТОО "АксиМед"</v>
      </c>
      <c r="D65" s="12" t="str">
        <f aca="false">'РПН 01.08 по МО'!E63</f>
        <v>1510</v>
      </c>
      <c r="E65" s="12" t="str">
        <f aca="false">'РПН 01.08 по МО'!F63</f>
        <v>Актобе</v>
      </c>
      <c r="F65" s="13" t="n">
        <f aca="false">'РПН 01.08 по МО'!D63</f>
        <v>9077</v>
      </c>
      <c r="G65" s="14" t="n">
        <f aca="false">INDEX('Расчет Кплотн'!$K:$K,MATCH(D65,'Расчет Кплотн'!$A:$A,0))</f>
        <v>1</v>
      </c>
      <c r="H65" s="14" t="n">
        <f aca="false">INDEX('Расчет Кплотн'!$J:$J,MATCH(D65,'Расчет Кплотн'!$A:$A,0))</f>
        <v>1</v>
      </c>
      <c r="I65" s="3" t="n">
        <f aca="false">F65*Моделирование!$F$3*M65*G65/1000</f>
        <v>183664.38108</v>
      </c>
      <c r="J65" s="3" t="n">
        <f aca="false">F65*Моделирование!$F$3*M65*H65/1000</f>
        <v>183664.38108</v>
      </c>
      <c r="K65" s="3" t="n">
        <f aca="false">J65-I65</f>
        <v>0</v>
      </c>
      <c r="L65" s="4" t="n">
        <f aca="false">IFERROR(K65/I65,0)</f>
        <v>0</v>
      </c>
      <c r="M65" s="15" t="n">
        <f aca="false">IF(INDEX('Расчет Кплотн'!$D:$D,MATCH(D65,'Расчет Кплотн'!$A:$A,0))="район",IFERROR(VLOOKUP(INDEX('Расчет Кплотн'!$B:$B,MATCH(D65,'Расчет Кплотн'!$A:$A,0)),'БКПН (приказ 170)'!$A$4:$C$10,3,FALSE()),Моделирование!$F$2),Моделирование!$F$2)</f>
        <v>1686.17</v>
      </c>
    </row>
    <row r="66" customFormat="false" ht="15" hidden="false" customHeight="false" outlineLevel="0" collapsed="false">
      <c r="A66" s="12" t="n">
        <v>61</v>
      </c>
      <c r="B66" s="12" t="str">
        <f aca="false">'РПН 01.08 по МО'!B64</f>
        <v>АКТЮБИНСКАЯ</v>
      </c>
      <c r="C66" s="12" t="str">
        <f aca="false">'РПН 01.08 по МО'!C64</f>
        <v>НАО "АРУ им. К.Жубанова"</v>
      </c>
      <c r="D66" s="12" t="str">
        <f aca="false">'РПН 01.08 по МО'!E64</f>
        <v>1510</v>
      </c>
      <c r="E66" s="12" t="str">
        <f aca="false">'РПН 01.08 по МО'!F64</f>
        <v>Актобе</v>
      </c>
      <c r="F66" s="13" t="n">
        <f aca="false">'РПН 01.08 по МО'!D64</f>
        <v>7441</v>
      </c>
      <c r="G66" s="14" t="n">
        <f aca="false">INDEX('Расчет Кплотн'!$K:$K,MATCH(D66,'Расчет Кплотн'!$A:$A,0))</f>
        <v>1</v>
      </c>
      <c r="H66" s="14" t="n">
        <f aca="false">INDEX('Расчет Кплотн'!$J:$J,MATCH(D66,'Расчет Кплотн'!$A:$A,0))</f>
        <v>1</v>
      </c>
      <c r="I66" s="3" t="n">
        <f aca="false">F66*Моделирование!$F$3*M66*G66/1000</f>
        <v>150561.49164</v>
      </c>
      <c r="J66" s="3" t="n">
        <f aca="false">F66*Моделирование!$F$3*M66*H66/1000</f>
        <v>150561.49164</v>
      </c>
      <c r="K66" s="3" t="n">
        <f aca="false">J66-I66</f>
        <v>0</v>
      </c>
      <c r="L66" s="4" t="n">
        <f aca="false">IFERROR(K66/I66,0)</f>
        <v>0</v>
      </c>
      <c r="M66" s="15" t="n">
        <f aca="false">IF(INDEX('Расчет Кплотн'!$D:$D,MATCH(D66,'Расчет Кплотн'!$A:$A,0))="район",IFERROR(VLOOKUP(INDEX('Расчет Кплотн'!$B:$B,MATCH(D66,'Расчет Кплотн'!$A:$A,0)),'БКПН (приказ 170)'!$A$4:$C$10,3,FALSE()),Моделирование!$F$2),Моделирование!$F$2)</f>
        <v>1686.17</v>
      </c>
    </row>
    <row r="67" customFormat="false" ht="15" hidden="false" customHeight="false" outlineLevel="0" collapsed="false">
      <c r="A67" s="12" t="n">
        <v>62</v>
      </c>
      <c r="B67" s="12" t="str">
        <f aca="false">'РПН 01.08 по МО'!B65</f>
        <v>АКТЮБИНСКАЯ</v>
      </c>
      <c r="C67" s="12" t="str">
        <f aca="false">'РПН 01.08 по МО'!C65</f>
        <v>НАО "ЗКМУ"</v>
      </c>
      <c r="D67" s="12" t="str">
        <f aca="false">'РПН 01.08 по МО'!E65</f>
        <v>1510</v>
      </c>
      <c r="E67" s="12" t="str">
        <f aca="false">'РПН 01.08 по МО'!F65</f>
        <v>Актобе</v>
      </c>
      <c r="F67" s="13" t="n">
        <f aca="false">'РПН 01.08 по МО'!D65</f>
        <v>17339</v>
      </c>
      <c r="G67" s="14" t="n">
        <f aca="false">INDEX('Расчет Кплотн'!$K:$K,MATCH(D67,'Расчет Кплотн'!$A:$A,0))</f>
        <v>1</v>
      </c>
      <c r="H67" s="14" t="n">
        <f aca="false">INDEX('Расчет Кплотн'!$J:$J,MATCH(D67,'Расчет Кплотн'!$A:$A,0))</f>
        <v>1</v>
      </c>
      <c r="I67" s="3" t="n">
        <f aca="false">F67*Моделирование!$F$3*M67*G67/1000</f>
        <v>350838.01956</v>
      </c>
      <c r="J67" s="3" t="n">
        <f aca="false">F67*Моделирование!$F$3*M67*H67/1000</f>
        <v>350838.01956</v>
      </c>
      <c r="K67" s="3" t="n">
        <f aca="false">J67-I67</f>
        <v>0</v>
      </c>
      <c r="L67" s="4" t="n">
        <f aca="false">IFERROR(K67/I67,0)</f>
        <v>0</v>
      </c>
      <c r="M67" s="15" t="n">
        <f aca="false">IF(INDEX('Расчет Кплотн'!$D:$D,MATCH(D67,'Расчет Кплотн'!$A:$A,0))="район",IFERROR(VLOOKUP(INDEX('Расчет Кплотн'!$B:$B,MATCH(D67,'Расчет Кплотн'!$A:$A,0)),'БКПН (приказ 170)'!$A$4:$C$10,3,FALSE()),Моделирование!$F$2),Моделирование!$F$2)</f>
        <v>1686.17</v>
      </c>
    </row>
    <row r="68" customFormat="false" ht="15" hidden="false" customHeight="false" outlineLevel="0" collapsed="false">
      <c r="A68" s="12" t="n">
        <v>63</v>
      </c>
      <c r="B68" s="12" t="str">
        <f aca="false">'РПН 01.08 по МО'!B66</f>
        <v>АКТЮБИНСКАЯ</v>
      </c>
      <c r="C68" s="12" t="str">
        <f aca="false">'РПН 01.08 по МО'!C66</f>
        <v>ТОО "Absolute technology (Абсолют Технолоджи)"</v>
      </c>
      <c r="D68" s="12" t="str">
        <f aca="false">'РПН 01.08 по МО'!E66</f>
        <v>1510</v>
      </c>
      <c r="E68" s="12" t="str">
        <f aca="false">'РПН 01.08 по МО'!F66</f>
        <v>Актобе</v>
      </c>
      <c r="F68" s="13" t="n">
        <f aca="false">'РПН 01.08 по МО'!D66</f>
        <v>7926</v>
      </c>
      <c r="G68" s="14" t="n">
        <f aca="false">INDEX('Расчет Кплотн'!$K:$K,MATCH(D68,'Расчет Кплотн'!$A:$A,0))</f>
        <v>1</v>
      </c>
      <c r="H68" s="14" t="n">
        <f aca="false">INDEX('Расчет Кплотн'!$J:$J,MATCH(D68,'Расчет Кплотн'!$A:$A,0))</f>
        <v>1</v>
      </c>
      <c r="I68" s="3" t="n">
        <f aca="false">F68*Моделирование!$F$3*M68*G68/1000</f>
        <v>160375.00104</v>
      </c>
      <c r="J68" s="3" t="n">
        <f aca="false">F68*Моделирование!$F$3*M68*H68/1000</f>
        <v>160375.00104</v>
      </c>
      <c r="K68" s="3" t="n">
        <f aca="false">J68-I68</f>
        <v>0</v>
      </c>
      <c r="L68" s="4" t="n">
        <f aca="false">IFERROR(K68/I68,0)</f>
        <v>0</v>
      </c>
      <c r="M68" s="15" t="n">
        <f aca="false">IF(INDEX('Расчет Кплотн'!$D:$D,MATCH(D68,'Расчет Кплотн'!$A:$A,0))="район",IFERROR(VLOOKUP(INDEX('Расчет Кплотн'!$B:$B,MATCH(D68,'Расчет Кплотн'!$A:$A,0)),'БКПН (приказ 170)'!$A$4:$C$10,3,FALSE()),Моделирование!$F$2),Моделирование!$F$2)</f>
        <v>1686.17</v>
      </c>
    </row>
    <row r="69" customFormat="false" ht="15" hidden="false" customHeight="false" outlineLevel="0" collapsed="false">
      <c r="A69" s="12" t="n">
        <v>64</v>
      </c>
      <c r="B69" s="12" t="str">
        <f aca="false">'РПН 01.08 по МО'!B67</f>
        <v>АКТЮБИНСКАЯ</v>
      </c>
      <c r="C69" s="12" t="str">
        <f aca="false">'РПН 01.08 по МО'!C67</f>
        <v>ТОО "BZ Холдинг"</v>
      </c>
      <c r="D69" s="12" t="str">
        <f aca="false">'РПН 01.08 по МО'!E67</f>
        <v>1510</v>
      </c>
      <c r="E69" s="12" t="str">
        <f aca="false">'РПН 01.08 по МО'!F67</f>
        <v>Актобе</v>
      </c>
      <c r="F69" s="13" t="n">
        <f aca="false">'РПН 01.08 по МО'!D67</f>
        <v>15756</v>
      </c>
      <c r="G69" s="14" t="n">
        <f aca="false">INDEX('Расчет Кплотн'!$K:$K,MATCH(D69,'Расчет Кплотн'!$A:$A,0))</f>
        <v>1</v>
      </c>
      <c r="H69" s="14" t="n">
        <f aca="false">INDEX('Расчет Кплотн'!$J:$J,MATCH(D69,'Расчет Кплотн'!$A:$A,0))</f>
        <v>1</v>
      </c>
      <c r="I69" s="3" t="n">
        <f aca="false">F69*Моделирование!$F$3*M69*G69/1000</f>
        <v>318807.53424</v>
      </c>
      <c r="J69" s="3" t="n">
        <f aca="false">F69*Моделирование!$F$3*M69*H69/1000</f>
        <v>318807.53424</v>
      </c>
      <c r="K69" s="3" t="n">
        <f aca="false">J69-I69</f>
        <v>0</v>
      </c>
      <c r="L69" s="4" t="n">
        <f aca="false">IFERROR(K69/I69,0)</f>
        <v>0</v>
      </c>
      <c r="M69" s="15" t="n">
        <f aca="false">IF(INDEX('Расчет Кплотн'!$D:$D,MATCH(D69,'Расчет Кплотн'!$A:$A,0))="район",IFERROR(VLOOKUP(INDEX('Расчет Кплотн'!$B:$B,MATCH(D69,'Расчет Кплотн'!$A:$A,0)),'БКПН (приказ 170)'!$A$4:$C$10,3,FALSE()),Моделирование!$F$2),Моделирование!$F$2)</f>
        <v>1686.17</v>
      </c>
    </row>
    <row r="70" customFormat="false" ht="15" hidden="false" customHeight="false" outlineLevel="0" collapsed="false">
      <c r="A70" s="12" t="n">
        <v>65</v>
      </c>
      <c r="B70" s="12" t="str">
        <f aca="false">'РПН 01.08 по МО'!B68</f>
        <v>АКТЮБИНСКАЯ</v>
      </c>
      <c r="C70" s="12" t="str">
        <f aca="false">'РПН 01.08 по МО'!C68</f>
        <v>ТОО "Medet Ker"</v>
      </c>
      <c r="D70" s="12" t="str">
        <f aca="false">'РПН 01.08 по МО'!E68</f>
        <v>1510</v>
      </c>
      <c r="E70" s="12" t="str">
        <f aca="false">'РПН 01.08 по МО'!F68</f>
        <v>Актобе</v>
      </c>
      <c r="F70" s="13" t="n">
        <f aca="false">'РПН 01.08 по МО'!D68</f>
        <v>8391</v>
      </c>
      <c r="G70" s="14" t="n">
        <f aca="false">INDEX('Расчет Кплотн'!$K:$K,MATCH(D70,'Расчет Кплотн'!$A:$A,0))</f>
        <v>1</v>
      </c>
      <c r="H70" s="14" t="n">
        <f aca="false">INDEX('Расчет Кплотн'!$J:$J,MATCH(D70,'Расчет Кплотн'!$A:$A,0))</f>
        <v>1</v>
      </c>
      <c r="I70" s="3" t="n">
        <f aca="false">F70*Моделирование!$F$3*M70*G70/1000</f>
        <v>169783.82964</v>
      </c>
      <c r="J70" s="3" t="n">
        <f aca="false">F70*Моделирование!$F$3*M70*H70/1000</f>
        <v>169783.82964</v>
      </c>
      <c r="K70" s="3" t="n">
        <f aca="false">J70-I70</f>
        <v>0</v>
      </c>
      <c r="L70" s="4" t="n">
        <f aca="false">IFERROR(K70/I70,0)</f>
        <v>0</v>
      </c>
      <c r="M70" s="15" t="n">
        <f aca="false">IF(INDEX('Расчет Кплотн'!$D:$D,MATCH(D70,'Расчет Кплотн'!$A:$A,0))="район",IFERROR(VLOOKUP(INDEX('Расчет Кплотн'!$B:$B,MATCH(D70,'Расчет Кплотн'!$A:$A,0)),'БКПН (приказ 170)'!$A$4:$C$10,3,FALSE()),Моделирование!$F$2),Моделирование!$F$2)</f>
        <v>1686.17</v>
      </c>
    </row>
    <row r="71" customFormat="false" ht="15" hidden="false" customHeight="false" outlineLevel="0" collapsed="false">
      <c r="A71" s="12" t="n">
        <v>66</v>
      </c>
      <c r="B71" s="12" t="str">
        <f aca="false">'РПН 01.08 по МО'!B69</f>
        <v>АКТЮБИНСКАЯ</v>
      </c>
      <c r="C71" s="12" t="str">
        <f aca="false">'РПН 01.08 по МО'!C69</f>
        <v>Государственное коммунальное предприятие «Темирская районная больница» на праве хозяйственного ведения государственного учреждения «Управление здравоохранения Актюбинской области»</v>
      </c>
      <c r="D71" s="12" t="str">
        <f aca="false">'РПН 01.08 по МО'!E69</f>
        <v>1556</v>
      </c>
      <c r="E71" s="12" t="str">
        <f aca="false">'РПН 01.08 по МО'!F69</f>
        <v>Темирский район</v>
      </c>
      <c r="F71" s="13" t="n">
        <f aca="false">'РПН 01.08 по МО'!D69</f>
        <v>31131</v>
      </c>
      <c r="G71" s="14" t="n">
        <f aca="false">INDEX('Расчет Кплотн'!$K:$K,MATCH(D71,'Расчет Кплотн'!$A:$A,0))</f>
        <v>1.7225</v>
      </c>
      <c r="H71" s="14" t="n">
        <f aca="false">INDEX('Расчет Кплотн'!$J:$J,MATCH(D71,'Расчет Кплотн'!$A:$A,0))</f>
        <v>2</v>
      </c>
      <c r="I71" s="3" t="n">
        <f aca="false">F71*Моделирование!$F$3*M71*G71/1000</f>
        <v>1085012.9114409</v>
      </c>
      <c r="J71" s="3" t="n">
        <f aca="false">F71*Моделирование!$F$3*M71*H71/1000</f>
        <v>1259811.79848</v>
      </c>
      <c r="K71" s="3" t="n">
        <f aca="false">J71-I71</f>
        <v>174798.8870391</v>
      </c>
      <c r="L71" s="4" t="n">
        <f aca="false">IFERROR(K71/I71,0)</f>
        <v>0.161103047895501</v>
      </c>
      <c r="M71" s="15" t="n">
        <f aca="false">IF(INDEX('Расчет Кплотн'!$D:$D,MATCH(D71,'Расчет Кплотн'!$A:$A,0))="район",IFERROR(VLOOKUP(INDEX('Расчет Кплотн'!$B:$B,MATCH(D71,'Расчет Кплотн'!$A:$A,0)),'БКПН (приказ 170)'!$A$4:$C$10,3,FALSE()),Моделирование!$F$2),Моделирование!$F$2)</f>
        <v>1686.17</v>
      </c>
    </row>
    <row r="72" customFormat="false" ht="15" hidden="false" customHeight="false" outlineLevel="0" collapsed="false">
      <c r="A72" s="12" t="n">
        <v>67</v>
      </c>
      <c r="B72" s="12" t="str">
        <f aca="false">'РПН 01.08 по МО'!B70</f>
        <v>АКТЮБИНСКАЯ</v>
      </c>
      <c r="C72" s="12" t="str">
        <f aca="false">'РПН 01.08 по МО'!C70</f>
        <v>ТОО "Асыл-Мед"</v>
      </c>
      <c r="D72" s="12" t="str">
        <f aca="false">'РПН 01.08 по МО'!E70</f>
        <v>1510</v>
      </c>
      <c r="E72" s="12" t="str">
        <f aca="false">'РПН 01.08 по МО'!F70</f>
        <v>Актобе</v>
      </c>
      <c r="F72" s="13" t="n">
        <f aca="false">'РПН 01.08 по МО'!D70</f>
        <v>4416</v>
      </c>
      <c r="G72" s="14" t="n">
        <f aca="false">INDEX('Расчет Кплотн'!$K:$K,MATCH(D72,'Расчет Кплотн'!$A:$A,0))</f>
        <v>1</v>
      </c>
      <c r="H72" s="14" t="n">
        <f aca="false">INDEX('Расчет Кплотн'!$J:$J,MATCH(D72,'Расчет Кплотн'!$A:$A,0))</f>
        <v>1</v>
      </c>
      <c r="I72" s="3" t="n">
        <f aca="false">F72*Моделирование!$F$3*M72*G72/1000</f>
        <v>89353.52064</v>
      </c>
      <c r="J72" s="3" t="n">
        <f aca="false">F72*Моделирование!$F$3*M72*H72/1000</f>
        <v>89353.52064</v>
      </c>
      <c r="K72" s="3" t="n">
        <f aca="false">J72-I72</f>
        <v>0</v>
      </c>
      <c r="L72" s="4" t="n">
        <f aca="false">IFERROR(K72/I72,0)</f>
        <v>0</v>
      </c>
      <c r="M72" s="15" t="n">
        <f aca="false">IF(INDEX('Расчет Кплотн'!$D:$D,MATCH(D72,'Расчет Кплотн'!$A:$A,0))="район",IFERROR(VLOOKUP(INDEX('Расчет Кплотн'!$B:$B,MATCH(D72,'Расчет Кплотн'!$A:$A,0)),'БКПН (приказ 170)'!$A$4:$C$10,3,FALSE()),Моделирование!$F$2),Моделирование!$F$2)</f>
        <v>1686.17</v>
      </c>
    </row>
    <row r="73" customFormat="false" ht="15" hidden="false" customHeight="false" outlineLevel="0" collapsed="false">
      <c r="A73" s="12" t="n">
        <v>68</v>
      </c>
      <c r="B73" s="12" t="str">
        <f aca="false">'РПН 01.08 по МО'!B71</f>
        <v>АКТЮБИНСКАЯ</v>
      </c>
      <c r="C73" s="12" t="str">
        <f aca="false">'РПН 01.08 по МО'!C71</f>
        <v>У-е "Больница "Шапағат"</v>
      </c>
      <c r="D73" s="12" t="str">
        <f aca="false">'РПН 01.08 по МО'!E71</f>
        <v>1548</v>
      </c>
      <c r="E73" s="12" t="str">
        <f aca="false">'РПН 01.08 по МО'!F71</f>
        <v>Мугалжарский район</v>
      </c>
      <c r="F73" s="13" t="n">
        <f aca="false">'РПН 01.08 по МО'!D71</f>
        <v>5466</v>
      </c>
      <c r="G73" s="14" t="n">
        <f aca="false">INDEX('Расчет Кплотн'!$K:$K,MATCH(D73,'Расчет Кплотн'!$A:$A,0))</f>
        <v>1.8747</v>
      </c>
      <c r="H73" s="14" t="n">
        <f aca="false">INDEX('Расчет Кплотн'!$J:$J,MATCH(D73,'Расчет Кплотн'!$A:$A,0))</f>
        <v>2</v>
      </c>
      <c r="I73" s="3" t="n">
        <f aca="false">F73*Моделирование!$F$3*M73*G73/1000</f>
        <v>207340.437671208</v>
      </c>
      <c r="J73" s="3" t="n">
        <f aca="false">F73*Моделирование!$F$3*M73*H73/1000</f>
        <v>221198.52528</v>
      </c>
      <c r="K73" s="3" t="n">
        <f aca="false">J73-I73</f>
        <v>13858.087608792</v>
      </c>
      <c r="L73" s="4" t="n">
        <f aca="false">IFERROR(K73/I73,0)</f>
        <v>0.0668373606443698</v>
      </c>
      <c r="M73" s="15" t="n">
        <f aca="false">IF(INDEX('Расчет Кплотн'!$D:$D,MATCH(D73,'Расчет Кплотн'!$A:$A,0))="район",IFERROR(VLOOKUP(INDEX('Расчет Кплотн'!$B:$B,MATCH(D73,'Расчет Кплотн'!$A:$A,0)),'БКПН (приказ 170)'!$A$4:$C$10,3,FALSE()),Моделирование!$F$2),Моделирование!$F$2)</f>
        <v>1686.17</v>
      </c>
    </row>
    <row r="74" customFormat="false" ht="15" hidden="false" customHeight="false" outlineLevel="0" collapsed="false">
      <c r="A74" s="12" t="n">
        <v>69</v>
      </c>
      <c r="B74" s="12" t="str">
        <f aca="false">'РПН 01.08 по МО'!B72</f>
        <v>АКТЮБИНСКАЯ</v>
      </c>
      <c r="C74" s="12" t="str">
        <f aca="false">'РПН 01.08 по МО'!C72</f>
        <v>ТОО "Медикер Илек"</v>
      </c>
      <c r="D74" s="12" t="str">
        <f aca="false">'РПН 01.08 по МО'!E72</f>
        <v>1510</v>
      </c>
      <c r="E74" s="12" t="str">
        <f aca="false">'РПН 01.08 по МО'!F72</f>
        <v>Актобе</v>
      </c>
      <c r="F74" s="13" t="n">
        <f aca="false">'РПН 01.08 по МО'!D72</f>
        <v>14013</v>
      </c>
      <c r="G74" s="14" t="n">
        <f aca="false">INDEX('Расчет Кплотн'!$K:$K,MATCH(D74,'Расчет Кплотн'!$A:$A,0))</f>
        <v>1</v>
      </c>
      <c r="H74" s="14" t="n">
        <f aca="false">INDEX('Расчет Кплотн'!$J:$J,MATCH(D74,'Расчет Кплотн'!$A:$A,0))</f>
        <v>1</v>
      </c>
      <c r="I74" s="3" t="n">
        <f aca="false">F74*Моделирование!$F$3*M74*G74/1000</f>
        <v>283539.60252</v>
      </c>
      <c r="J74" s="3" t="n">
        <f aca="false">F74*Моделирование!$F$3*M74*H74/1000</f>
        <v>283539.60252</v>
      </c>
      <c r="K74" s="3" t="n">
        <f aca="false">J74-I74</f>
        <v>0</v>
      </c>
      <c r="L74" s="4" t="n">
        <f aca="false">IFERROR(K74/I74,0)</f>
        <v>0</v>
      </c>
      <c r="M74" s="15" t="n">
        <f aca="false">IF(INDEX('Расчет Кплотн'!$D:$D,MATCH(D74,'Расчет Кплотн'!$A:$A,0))="район",IFERROR(VLOOKUP(INDEX('Расчет Кплотн'!$B:$B,MATCH(D74,'Расчет Кплотн'!$A:$A,0)),'БКПН (приказ 170)'!$A$4:$C$10,3,FALSE()),Моделирование!$F$2),Моделирование!$F$2)</f>
        <v>1686.17</v>
      </c>
    </row>
    <row r="75" customFormat="false" ht="15" hidden="false" customHeight="false" outlineLevel="0" collapsed="false">
      <c r="A75" s="12" t="n">
        <v>70</v>
      </c>
      <c r="B75" s="12" t="str">
        <f aca="false">'РПН 01.08 по МО'!B73</f>
        <v>АКТЮБИНСКАЯ</v>
      </c>
      <c r="C75" s="12" t="str">
        <f aca="false">'РПН 01.08 по МО'!C73</f>
        <v>ТОО "Медина Клиник"</v>
      </c>
      <c r="D75" s="12" t="str">
        <f aca="false">'РПН 01.08 по МО'!E73</f>
        <v>1510</v>
      </c>
      <c r="E75" s="12" t="str">
        <f aca="false">'РПН 01.08 по МО'!F73</f>
        <v>Актобе</v>
      </c>
      <c r="F75" s="13" t="n">
        <f aca="false">'РПН 01.08 по МО'!D73</f>
        <v>9575</v>
      </c>
      <c r="G75" s="14" t="n">
        <f aca="false">INDEX('Расчет Кплотн'!$K:$K,MATCH(D75,'Расчет Кплотн'!$A:$A,0))</f>
        <v>1</v>
      </c>
      <c r="H75" s="14" t="n">
        <f aca="false">INDEX('Расчет Кплотн'!$J:$J,MATCH(D75,'Расчет Кплотн'!$A:$A,0))</f>
        <v>1</v>
      </c>
      <c r="I75" s="3" t="n">
        <f aca="false">F75*Моделирование!$F$3*M75*G75/1000</f>
        <v>193740.933</v>
      </c>
      <c r="J75" s="3" t="n">
        <f aca="false">F75*Моделирование!$F$3*M75*H75/1000</f>
        <v>193740.933</v>
      </c>
      <c r="K75" s="3" t="n">
        <f aca="false">J75-I75</f>
        <v>0</v>
      </c>
      <c r="L75" s="4" t="n">
        <f aca="false">IFERROR(K75/I75,0)</f>
        <v>0</v>
      </c>
      <c r="M75" s="15" t="n">
        <f aca="false">IF(INDEX('Расчет Кплотн'!$D:$D,MATCH(D75,'Расчет Кплотн'!$A:$A,0))="район",IFERROR(VLOOKUP(INDEX('Расчет Кплотн'!$B:$B,MATCH(D75,'Расчет Кплотн'!$A:$A,0)),'БКПН (приказ 170)'!$A$4:$C$10,3,FALSE()),Моделирование!$F$2),Моделирование!$F$2)</f>
        <v>1686.17</v>
      </c>
    </row>
    <row r="76" customFormat="false" ht="15" hidden="false" customHeight="false" outlineLevel="0" collapsed="false">
      <c r="A76" s="12" t="n">
        <v>71</v>
      </c>
      <c r="B76" s="12" t="str">
        <f aca="false">'РПН 01.08 по МО'!B74</f>
        <v>АКТЮБИНСКАЯ</v>
      </c>
      <c r="C76" s="12" t="str">
        <f aca="false">'РПН 01.08 по МО'!C74</f>
        <v>ТОО "Мир Женщины"</v>
      </c>
      <c r="D76" s="12" t="str">
        <f aca="false">'РПН 01.08 по МО'!E74</f>
        <v>1510</v>
      </c>
      <c r="E76" s="12" t="str">
        <f aca="false">'РПН 01.08 по МО'!F74</f>
        <v>Актобе</v>
      </c>
      <c r="F76" s="13" t="n">
        <f aca="false">'РПН 01.08 по МО'!D74</f>
        <v>11943</v>
      </c>
      <c r="G76" s="14" t="n">
        <f aca="false">INDEX('Расчет Кплотн'!$K:$K,MATCH(D76,'Расчет Кплотн'!$A:$A,0))</f>
        <v>1</v>
      </c>
      <c r="H76" s="14" t="n">
        <f aca="false">INDEX('Расчет Кплотн'!$J:$J,MATCH(D76,'Расчет Кплотн'!$A:$A,0))</f>
        <v>1</v>
      </c>
      <c r="I76" s="3" t="n">
        <f aca="false">F76*Моделирование!$F$3*M76*G76/1000</f>
        <v>241655.13972</v>
      </c>
      <c r="J76" s="3" t="n">
        <f aca="false">F76*Моделирование!$F$3*M76*H76/1000</f>
        <v>241655.13972</v>
      </c>
      <c r="K76" s="3" t="n">
        <f aca="false">J76-I76</f>
        <v>0</v>
      </c>
      <c r="L76" s="4" t="n">
        <f aca="false">IFERROR(K76/I76,0)</f>
        <v>0</v>
      </c>
      <c r="M76" s="15" t="n">
        <f aca="false">IF(INDEX('Расчет Кплотн'!$D:$D,MATCH(D76,'Расчет Кплотн'!$A:$A,0))="район",IFERROR(VLOOKUP(INDEX('Расчет Кплотн'!$B:$B,MATCH(D76,'Расчет Кплотн'!$A:$A,0)),'БКПН (приказ 170)'!$A$4:$C$10,3,FALSE()),Моделирование!$F$2),Моделирование!$F$2)</f>
        <v>1686.17</v>
      </c>
    </row>
    <row r="77" customFormat="false" ht="15" hidden="false" customHeight="false" outlineLevel="0" collapsed="false">
      <c r="A77" s="12" t="n">
        <v>72</v>
      </c>
      <c r="B77" s="12" t="str">
        <f aca="false">'РПН 01.08 по МО'!B75</f>
        <v>АКТЮБИНСКАЯ</v>
      </c>
      <c r="C77" s="12" t="str">
        <f aca="false">'РПН 01.08 по МО'!C75</f>
        <v>ТОО "ТТ и К"</v>
      </c>
      <c r="D77" s="12" t="str">
        <f aca="false">'РПН 01.08 по МО'!E75</f>
        <v>1510</v>
      </c>
      <c r="E77" s="12" t="str">
        <f aca="false">'РПН 01.08 по МО'!F75</f>
        <v>Актобе</v>
      </c>
      <c r="F77" s="13" t="n">
        <f aca="false">'РПН 01.08 по МО'!D75</f>
        <v>20353</v>
      </c>
      <c r="G77" s="14" t="n">
        <f aca="false">INDEX('Расчет Кплотн'!$K:$K,MATCH(D77,'Расчет Кплотн'!$A:$A,0))</f>
        <v>1</v>
      </c>
      <c r="H77" s="14" t="n">
        <f aca="false">INDEX('Расчет Кплотн'!$J:$J,MATCH(D77,'Расчет Кплотн'!$A:$A,0))</f>
        <v>1</v>
      </c>
      <c r="I77" s="3" t="n">
        <f aca="false">F77*Моделирование!$F$3*M77*G77/1000</f>
        <v>411823.41612</v>
      </c>
      <c r="J77" s="3" t="n">
        <f aca="false">F77*Моделирование!$F$3*M77*H77/1000</f>
        <v>411823.41612</v>
      </c>
      <c r="K77" s="3" t="n">
        <f aca="false">J77-I77</f>
        <v>0</v>
      </c>
      <c r="L77" s="4" t="n">
        <f aca="false">IFERROR(K77/I77,0)</f>
        <v>0</v>
      </c>
      <c r="M77" s="15" t="n">
        <f aca="false">IF(INDEX('Расчет Кплотн'!$D:$D,MATCH(D77,'Расчет Кплотн'!$A:$A,0))="район",IFERROR(VLOOKUP(INDEX('Расчет Кплотн'!$B:$B,MATCH(D77,'Расчет Кплотн'!$A:$A,0)),'БКПН (приказ 170)'!$A$4:$C$10,3,FALSE()),Моделирование!$F$2),Моделирование!$F$2)</f>
        <v>1686.17</v>
      </c>
    </row>
    <row r="78" customFormat="false" ht="15" hidden="false" customHeight="false" outlineLevel="0" collapsed="false">
      <c r="A78" s="12" t="n">
        <v>73</v>
      </c>
      <c r="B78" s="12" t="str">
        <f aca="false">'РПН 01.08 по МО'!B76</f>
        <v>АКТЮБИНСКАЯ</v>
      </c>
      <c r="C78" s="12" t="str">
        <f aca="false">'РПН 01.08 по МО'!C76</f>
        <v>ТОО Частный медицинский центр "Шипагер-С"</v>
      </c>
      <c r="D78" s="12" t="str">
        <f aca="false">'РПН 01.08 по МО'!E76</f>
        <v>1510</v>
      </c>
      <c r="E78" s="12" t="str">
        <f aca="false">'РПН 01.08 по МО'!F76</f>
        <v>Актобе</v>
      </c>
      <c r="F78" s="13" t="n">
        <f aca="false">'РПН 01.08 по МО'!D76</f>
        <v>7813</v>
      </c>
      <c r="G78" s="14" t="n">
        <f aca="false">INDEX('Расчет Кплотн'!$K:$K,MATCH(D78,'Расчет Кплотн'!$A:$A,0))</f>
        <v>1</v>
      </c>
      <c r="H78" s="14" t="n">
        <f aca="false">INDEX('Расчет Кплотн'!$J:$J,MATCH(D78,'Расчет Кплотн'!$A:$A,0))</f>
        <v>1</v>
      </c>
      <c r="I78" s="3" t="n">
        <f aca="false">F78*Моделирование!$F$3*M78*G78/1000</f>
        <v>158088.55452</v>
      </c>
      <c r="J78" s="3" t="n">
        <f aca="false">F78*Моделирование!$F$3*M78*H78/1000</f>
        <v>158088.55452</v>
      </c>
      <c r="K78" s="3" t="n">
        <f aca="false">J78-I78</f>
        <v>0</v>
      </c>
      <c r="L78" s="4" t="n">
        <f aca="false">IFERROR(K78/I78,0)</f>
        <v>0</v>
      </c>
      <c r="M78" s="15" t="n">
        <f aca="false">IF(INDEX('Расчет Кплотн'!$D:$D,MATCH(D78,'Расчет Кплотн'!$A:$A,0))="район",IFERROR(VLOOKUP(INDEX('Расчет Кплотн'!$B:$B,MATCH(D78,'Расчет Кплотн'!$A:$A,0)),'БКПН (приказ 170)'!$A$4:$C$10,3,FALSE()),Моделирование!$F$2),Моделирование!$F$2)</f>
        <v>1686.17</v>
      </c>
    </row>
    <row r="79" customFormat="false" ht="15" hidden="false" customHeight="false" outlineLevel="0" collapsed="false">
      <c r="A79" s="12" t="n">
        <v>74</v>
      </c>
      <c r="B79" s="12" t="str">
        <f aca="false">'РПН 01.08 по МО'!B77</f>
        <v>АКТЮБИНСКАЯ</v>
      </c>
      <c r="C79" s="12" t="str">
        <f aca="false">'РПН 01.08 по МО'!C77</f>
        <v>У-е "Медикус Центр"</v>
      </c>
      <c r="D79" s="12" t="str">
        <f aca="false">'РПН 01.08 по МО'!E77</f>
        <v>1510</v>
      </c>
      <c r="E79" s="12" t="str">
        <f aca="false">'РПН 01.08 по МО'!F77</f>
        <v>Актобе</v>
      </c>
      <c r="F79" s="13" t="n">
        <f aca="false">'РПН 01.08 по МО'!D77</f>
        <v>36217</v>
      </c>
      <c r="G79" s="14" t="n">
        <f aca="false">INDEX('Расчет Кплотн'!$K:$K,MATCH(D79,'Расчет Кплотн'!$A:$A,0))</f>
        <v>1</v>
      </c>
      <c r="H79" s="14" t="n">
        <f aca="false">INDEX('Расчет Кплотн'!$J:$J,MATCH(D79,'Расчет Кплотн'!$A:$A,0))</f>
        <v>1</v>
      </c>
      <c r="I79" s="3" t="n">
        <f aca="false">F79*Моделирование!$F$3*M79*G79/1000</f>
        <v>732816.22668</v>
      </c>
      <c r="J79" s="3" t="n">
        <f aca="false">F79*Моделирование!$F$3*M79*H79/1000</f>
        <v>732816.22668</v>
      </c>
      <c r="K79" s="3" t="n">
        <f aca="false">J79-I79</f>
        <v>0</v>
      </c>
      <c r="L79" s="4" t="n">
        <f aca="false">IFERROR(K79/I79,0)</f>
        <v>0</v>
      </c>
      <c r="M79" s="15" t="n">
        <f aca="false">IF(INDEX('Расчет Кплотн'!$D:$D,MATCH(D79,'Расчет Кплотн'!$A:$A,0))="район",IFERROR(VLOOKUP(INDEX('Расчет Кплотн'!$B:$B,MATCH(D79,'Расчет Кплотн'!$A:$A,0)),'БКПН (приказ 170)'!$A$4:$C$10,3,FALSE()),Моделирование!$F$2),Моделирование!$F$2)</f>
        <v>1686.17</v>
      </c>
    </row>
    <row r="80" customFormat="false" ht="15" hidden="false" customHeight="false" outlineLevel="0" collapsed="false">
      <c r="A80" s="12" t="n">
        <v>75</v>
      </c>
      <c r="B80" s="12" t="str">
        <f aca="false">'РПН 01.08 по МО'!B78</f>
        <v>АКТЮБИНСКАЯ</v>
      </c>
      <c r="C80" s="12" t="str">
        <f aca="false">'РПН 01.08 по МО'!C78</f>
        <v>Учреждение "Баишев мед"</v>
      </c>
      <c r="D80" s="12" t="str">
        <f aca="false">'РПН 01.08 по МО'!E78</f>
        <v>1510</v>
      </c>
      <c r="E80" s="12" t="str">
        <f aca="false">'РПН 01.08 по МО'!F78</f>
        <v>Актобе</v>
      </c>
      <c r="F80" s="13" t="n">
        <f aca="false">'РПН 01.08 по МО'!D78</f>
        <v>6103</v>
      </c>
      <c r="G80" s="14" t="n">
        <f aca="false">INDEX('Расчет Кплотн'!$K:$K,MATCH(D80,'Расчет Кплотн'!$A:$A,0))</f>
        <v>1</v>
      </c>
      <c r="H80" s="14" t="n">
        <f aca="false">INDEX('Расчет Кплотн'!$J:$J,MATCH(D80,'Расчет Кплотн'!$A:$A,0))</f>
        <v>1</v>
      </c>
      <c r="I80" s="3" t="n">
        <f aca="false">F80*Моделирование!$F$3*M80*G80/1000</f>
        <v>123488.34612</v>
      </c>
      <c r="J80" s="3" t="n">
        <f aca="false">F80*Моделирование!$F$3*M80*H80/1000</f>
        <v>123488.34612</v>
      </c>
      <c r="K80" s="3" t="n">
        <f aca="false">J80-I80</f>
        <v>0</v>
      </c>
      <c r="L80" s="4" t="n">
        <f aca="false">IFERROR(K80/I80,0)</f>
        <v>0</v>
      </c>
      <c r="M80" s="15" t="n">
        <f aca="false">IF(INDEX('Расчет Кплотн'!$D:$D,MATCH(D80,'Расчет Кплотн'!$A:$A,0))="район",IFERROR(VLOOKUP(INDEX('Расчет Кплотн'!$B:$B,MATCH(D80,'Расчет Кплотн'!$A:$A,0)),'БКПН (приказ 170)'!$A$4:$C$10,3,FALSE()),Моделирование!$F$2),Моделирование!$F$2)</f>
        <v>1686.17</v>
      </c>
    </row>
    <row r="81" customFormat="false" ht="15" hidden="false" customHeight="false" outlineLevel="0" collapsed="false">
      <c r="A81" s="12" t="n">
        <v>76</v>
      </c>
      <c r="B81" s="12" t="str">
        <f aca="false">'РПН 01.08 по МО'!B79</f>
        <v>АКТЮБИНСКАЯ</v>
      </c>
      <c r="C81" s="12" t="str">
        <f aca="false">'РПН 01.08 по МО'!C79</f>
        <v>Государственное коммунальное предприятие «Городская поликлиника №6» на праве хозяйственного ведения государственного учреждения «Управление здравоохранения Актюбинской области»</v>
      </c>
      <c r="D81" s="12" t="str">
        <f aca="false">'РПН 01.08 по МО'!E79</f>
        <v>1510</v>
      </c>
      <c r="E81" s="12" t="str">
        <f aca="false">'РПН 01.08 по МО'!F79</f>
        <v>Актобе</v>
      </c>
      <c r="F81" s="13" t="n">
        <f aca="false">'РПН 01.08 по МО'!D79</f>
        <v>34301</v>
      </c>
      <c r="G81" s="14" t="n">
        <f aca="false">INDEX('Расчет Кплотн'!$K:$K,MATCH(D81,'Расчет Кплотн'!$A:$A,0))</f>
        <v>1</v>
      </c>
      <c r="H81" s="14" t="n">
        <f aca="false">INDEX('Расчет Кплотн'!$J:$J,MATCH(D81,'Расчет Кплотн'!$A:$A,0))</f>
        <v>1</v>
      </c>
      <c r="I81" s="3" t="n">
        <f aca="false">F81*Моделирование!$F$3*M81*G81/1000</f>
        <v>694047.80604</v>
      </c>
      <c r="J81" s="3" t="n">
        <f aca="false">F81*Моделирование!$F$3*M81*H81/1000</f>
        <v>694047.80604</v>
      </c>
      <c r="K81" s="3" t="n">
        <f aca="false">J81-I81</f>
        <v>0</v>
      </c>
      <c r="L81" s="4" t="n">
        <f aca="false">IFERROR(K81/I81,0)</f>
        <v>0</v>
      </c>
      <c r="M81" s="15" t="n">
        <f aca="false">IF(INDEX('Расчет Кплотн'!$D:$D,MATCH(D81,'Расчет Кплотн'!$A:$A,0))="район",IFERROR(VLOOKUP(INDEX('Расчет Кплотн'!$B:$B,MATCH(D81,'Расчет Кплотн'!$A:$A,0)),'БКПН (приказ 170)'!$A$4:$C$10,3,FALSE()),Моделирование!$F$2),Моделирование!$F$2)</f>
        <v>1686.17</v>
      </c>
    </row>
    <row r="82" customFormat="false" ht="15" hidden="false" customHeight="false" outlineLevel="0" collapsed="false">
      <c r="A82" s="12" t="n">
        <v>77</v>
      </c>
      <c r="B82" s="12" t="str">
        <f aca="false">'РПН 01.08 по МО'!B80</f>
        <v>АКТЮБИНСКАЯ</v>
      </c>
      <c r="C82" s="12" t="str">
        <f aca="false">'РПН 01.08 по МО'!C80</f>
        <v>ТОО "Куаныш"</v>
      </c>
      <c r="D82" s="12" t="str">
        <f aca="false">'РПН 01.08 по МО'!E80</f>
        <v>1510</v>
      </c>
      <c r="E82" s="12" t="str">
        <f aca="false">'РПН 01.08 по МО'!F80</f>
        <v>Актобе</v>
      </c>
      <c r="F82" s="13" t="n">
        <f aca="false">'РПН 01.08 по МО'!D80</f>
        <v>23532</v>
      </c>
      <c r="G82" s="14" t="n">
        <f aca="false">INDEX('Расчет Кплотн'!$K:$K,MATCH(D82,'Расчет Кплотн'!$A:$A,0))</f>
        <v>1</v>
      </c>
      <c r="H82" s="14" t="n">
        <f aca="false">INDEX('Расчет Кплотн'!$J:$J,MATCH(D82,'Расчет Кплотн'!$A:$A,0))</f>
        <v>1</v>
      </c>
      <c r="I82" s="3" t="n">
        <f aca="false">F82*Моделирование!$F$3*M82*G82/1000</f>
        <v>476147.42928</v>
      </c>
      <c r="J82" s="3" t="n">
        <f aca="false">F82*Моделирование!$F$3*M82*H82/1000</f>
        <v>476147.42928</v>
      </c>
      <c r="K82" s="3" t="n">
        <f aca="false">J82-I82</f>
        <v>0</v>
      </c>
      <c r="L82" s="4" t="n">
        <f aca="false">IFERROR(K82/I82,0)</f>
        <v>0</v>
      </c>
      <c r="M82" s="15" t="n">
        <f aca="false">IF(INDEX('Расчет Кплотн'!$D:$D,MATCH(D82,'Расчет Кплотн'!$A:$A,0))="район",IFERROR(VLOOKUP(INDEX('Расчет Кплотн'!$B:$B,MATCH(D82,'Расчет Кплотн'!$A:$A,0)),'БКПН (приказ 170)'!$A$4:$C$10,3,FALSE()),Моделирование!$F$2),Моделирование!$F$2)</f>
        <v>1686.17</v>
      </c>
    </row>
    <row r="83" customFormat="false" ht="15" hidden="false" customHeight="false" outlineLevel="0" collapsed="false">
      <c r="A83" s="12" t="n">
        <v>78</v>
      </c>
      <c r="B83" s="12" t="str">
        <f aca="false">'РПН 01.08 по МО'!B81</f>
        <v>АКТЮБИНСКАЯ</v>
      </c>
      <c r="C83" s="12" t="str">
        <f aca="false">'РПН 01.08 по МО'!C81</f>
        <v>Государственное коммунальное предприятие «Городская поликлиника №5» на праве хозяйственного ведения государственного учреждения «Управление здравоохранения Актюбинской области»</v>
      </c>
      <c r="D83" s="12" t="str">
        <f aca="false">'РПН 01.08 по МО'!E81</f>
        <v>1510</v>
      </c>
      <c r="E83" s="12" t="str">
        <f aca="false">'РПН 01.08 по МО'!F81</f>
        <v>Актобе</v>
      </c>
      <c r="F83" s="13" t="n">
        <f aca="false">'РПН 01.08 по МО'!D81</f>
        <v>34503</v>
      </c>
      <c r="G83" s="14" t="n">
        <f aca="false">INDEX('Расчет Кплотн'!$K:$K,MATCH(D83,'Расчет Кплотн'!$A:$A,0))</f>
        <v>1</v>
      </c>
      <c r="H83" s="14" t="n">
        <f aca="false">INDEX('Расчет Кплотн'!$J:$J,MATCH(D83,'Расчет Кплотн'!$A:$A,0))</f>
        <v>1</v>
      </c>
      <c r="I83" s="3" t="n">
        <f aca="false">F83*Моделирование!$F$3*M83*G83/1000</f>
        <v>698135.08212</v>
      </c>
      <c r="J83" s="3" t="n">
        <f aca="false">F83*Моделирование!$F$3*M83*H83/1000</f>
        <v>698135.08212</v>
      </c>
      <c r="K83" s="3" t="n">
        <f aca="false">J83-I83</f>
        <v>0</v>
      </c>
      <c r="L83" s="4" t="n">
        <f aca="false">IFERROR(K83/I83,0)</f>
        <v>0</v>
      </c>
      <c r="M83" s="15" t="n">
        <f aca="false">IF(INDEX('Расчет Кплотн'!$D:$D,MATCH(D83,'Расчет Кплотн'!$A:$A,0))="район",IFERROR(VLOOKUP(INDEX('Расчет Кплотн'!$B:$B,MATCH(D83,'Расчет Кплотн'!$A:$A,0)),'БКПН (приказ 170)'!$A$4:$C$10,3,FALSE()),Моделирование!$F$2),Моделирование!$F$2)</f>
        <v>1686.17</v>
      </c>
    </row>
    <row r="84" customFormat="false" ht="15" hidden="false" customHeight="false" outlineLevel="0" collapsed="false">
      <c r="A84" s="12" t="n">
        <v>79</v>
      </c>
      <c r="B84" s="12" t="str">
        <f aca="false">'РПН 01.08 по МО'!B82</f>
        <v>АКТЮБИНСКАЯ</v>
      </c>
      <c r="C84" s="12" t="str">
        <f aca="false">'РПН 01.08 по МО'!C82</f>
        <v>ТОО "Biolab Pharm" Premier Med Clinic"</v>
      </c>
      <c r="D84" s="12" t="str">
        <f aca="false">'РПН 01.08 по МО'!E82</f>
        <v>1510</v>
      </c>
      <c r="E84" s="12" t="str">
        <f aca="false">'РПН 01.08 по МО'!F82</f>
        <v>Актобе</v>
      </c>
      <c r="F84" s="13" t="n">
        <f aca="false">'РПН 01.08 по МО'!D82</f>
        <v>8343</v>
      </c>
      <c r="G84" s="14" t="n">
        <f aca="false">INDEX('Расчет Кплотн'!$K:$K,MATCH(D84,'Расчет Кплотн'!$A:$A,0))</f>
        <v>1</v>
      </c>
      <c r="H84" s="14" t="n">
        <f aca="false">INDEX('Расчет Кплотн'!$J:$J,MATCH(D84,'Расчет Кплотн'!$A:$A,0))</f>
        <v>1</v>
      </c>
      <c r="I84" s="3" t="n">
        <f aca="false">F84*Моделирование!$F$3*M84*G84/1000</f>
        <v>168812.59572</v>
      </c>
      <c r="J84" s="3" t="n">
        <f aca="false">F84*Моделирование!$F$3*M84*H84/1000</f>
        <v>168812.59572</v>
      </c>
      <c r="K84" s="3" t="n">
        <f aca="false">J84-I84</f>
        <v>0</v>
      </c>
      <c r="L84" s="4" t="n">
        <f aca="false">IFERROR(K84/I84,0)</f>
        <v>0</v>
      </c>
      <c r="M84" s="15" t="n">
        <f aca="false">IF(INDEX('Расчет Кплотн'!$D:$D,MATCH(D84,'Расчет Кплотн'!$A:$A,0))="район",IFERROR(VLOOKUP(INDEX('Расчет Кплотн'!$B:$B,MATCH(D84,'Расчет Кплотн'!$A:$A,0)),'БКПН (приказ 170)'!$A$4:$C$10,3,FALSE()),Моделирование!$F$2),Моделирование!$F$2)</f>
        <v>1686.17</v>
      </c>
    </row>
    <row r="85" customFormat="false" ht="15" hidden="false" customHeight="false" outlineLevel="0" collapsed="false">
      <c r="A85" s="12" t="n">
        <v>80</v>
      </c>
      <c r="B85" s="12" t="str">
        <f aca="false">'РПН 01.08 по МО'!B83</f>
        <v>АКТЮБИНСКАЯ</v>
      </c>
      <c r="C85" s="12" t="str">
        <f aca="false">'РПН 01.08 по МО'!C83</f>
        <v>Государственное коммунальное предприятие "Уилская районная больница" на праве хозяйственного ведения государственного учреждения "Управление здравоохранения Актюбинской области"</v>
      </c>
      <c r="D85" s="12" t="str">
        <f aca="false">'РПН 01.08 по МО'!E83</f>
        <v>1552</v>
      </c>
      <c r="E85" s="12" t="str">
        <f aca="false">'РПН 01.08 по МО'!F83</f>
        <v>Уилский район</v>
      </c>
      <c r="F85" s="13" t="n">
        <f aca="false">'РПН 01.08 по МО'!D83</f>
        <v>12885</v>
      </c>
      <c r="G85" s="14" t="n">
        <f aca="false">INDEX('Расчет Кплотн'!$K:$K,MATCH(D85,'Расчет Кплотн'!$A:$A,0))</f>
        <v>2</v>
      </c>
      <c r="H85" s="14" t="n">
        <f aca="false">INDEX('Расчет Кплотн'!$J:$J,MATCH(D85,'Расчет Кплотн'!$A:$A,0))</f>
        <v>2</v>
      </c>
      <c r="I85" s="3" t="n">
        <f aca="false">F85*Моделирование!$F$3*M85*G85/1000</f>
        <v>521431.2108</v>
      </c>
      <c r="J85" s="3" t="n">
        <f aca="false">F85*Моделирование!$F$3*M85*H85/1000</f>
        <v>521431.2108</v>
      </c>
      <c r="K85" s="3" t="n">
        <f aca="false">J85-I85</f>
        <v>0</v>
      </c>
      <c r="L85" s="4" t="n">
        <f aca="false">IFERROR(K85/I85,0)</f>
        <v>0</v>
      </c>
      <c r="M85" s="15" t="n">
        <f aca="false">IF(INDEX('Расчет Кплотн'!$D:$D,MATCH(D85,'Расчет Кплотн'!$A:$A,0))="район",IFERROR(VLOOKUP(INDEX('Расчет Кплотн'!$B:$B,MATCH(D85,'Расчет Кплотн'!$A:$A,0)),'БКПН (приказ 170)'!$A$4:$C$10,3,FALSE()),Моделирование!$F$2),Моделирование!$F$2)</f>
        <v>1686.17</v>
      </c>
    </row>
    <row r="86" customFormat="false" ht="15" hidden="false" customHeight="false" outlineLevel="0" collapsed="false">
      <c r="A86" s="12" t="n">
        <v>81</v>
      </c>
      <c r="B86" s="12" t="str">
        <f aca="false">'РПН 01.08 по МО'!B84</f>
        <v>АКТЮБИНСКАЯ</v>
      </c>
      <c r="C86" s="12" t="str">
        <f aca="false">'РПН 01.08 по МО'!C84</f>
        <v>Государственное коммунальное предприятие "Шалкарская районная больница" на праве хозяйственного ведения государственного учреждения "Управление здравоохранения Актюбинской области"</v>
      </c>
      <c r="D86" s="12" t="str">
        <f aca="false">'РПН 01.08 по МО'!E84</f>
        <v>1564</v>
      </c>
      <c r="E86" s="12" t="str">
        <f aca="false">'РПН 01.08 по МО'!F84</f>
        <v>Шалкарский район</v>
      </c>
      <c r="F86" s="13" t="n">
        <f aca="false">'РПН 01.08 по МО'!D84</f>
        <v>38416</v>
      </c>
      <c r="G86" s="14" t="n">
        <f aca="false">INDEX('Расчет Кплотн'!$K:$K,MATCH(D86,'Расчет Кплотн'!$A:$A,0))</f>
        <v>2</v>
      </c>
      <c r="H86" s="14" t="n">
        <f aca="false">INDEX('Расчет Кплотн'!$J:$J,MATCH(D86,'Расчет Кплотн'!$A:$A,0))</f>
        <v>2</v>
      </c>
      <c r="I86" s="3" t="n">
        <f aca="false">F86*Моделирование!$F$3*M86*G86/1000</f>
        <v>1554621.76128</v>
      </c>
      <c r="J86" s="3" t="n">
        <f aca="false">F86*Моделирование!$F$3*M86*H86/1000</f>
        <v>1554621.76128</v>
      </c>
      <c r="K86" s="3" t="n">
        <f aca="false">J86-I86</f>
        <v>0</v>
      </c>
      <c r="L86" s="4" t="n">
        <f aca="false">IFERROR(K86/I86,0)</f>
        <v>0</v>
      </c>
      <c r="M86" s="15" t="n">
        <f aca="false">IF(INDEX('Расчет Кплотн'!$D:$D,MATCH(D86,'Расчет Кплотн'!$A:$A,0))="район",IFERROR(VLOOKUP(INDEX('Расчет Кплотн'!$B:$B,MATCH(D86,'Расчет Кплотн'!$A:$A,0)),'БКПН (приказ 170)'!$A$4:$C$10,3,FALSE()),Моделирование!$F$2),Моделирование!$F$2)</f>
        <v>1686.17</v>
      </c>
    </row>
    <row r="87" customFormat="false" ht="15" hidden="false" customHeight="false" outlineLevel="0" collapsed="false">
      <c r="A87" s="12" t="n">
        <v>82</v>
      </c>
      <c r="B87" s="12" t="str">
        <f aca="false">'РПН 01.08 по МО'!B85</f>
        <v>АКТЮБИНСКАЯ</v>
      </c>
      <c r="C87" s="12" t="str">
        <f aca="false">'РПН 01.08 по МО'!C85</f>
        <v>ГКП "Айтекебийская районная больница" на праве хозяйственного ведения ГУ "Управление здравоохранения Актюбинской области"</v>
      </c>
      <c r="D87" s="12" t="str">
        <f aca="false">'РПН 01.08 по МО'!E85</f>
        <v>1534</v>
      </c>
      <c r="E87" s="12" t="str">
        <f aca="false">'РПН 01.08 по МО'!F85</f>
        <v>Айтекебийский район</v>
      </c>
      <c r="F87" s="13" t="n">
        <f aca="false">'РПН 01.08 по МО'!D85</f>
        <v>18349</v>
      </c>
      <c r="G87" s="14" t="n">
        <f aca="false">INDEX('Расчет Кплотн'!$K:$K,MATCH(D87,'Расчет Кплотн'!$A:$A,0))</f>
        <v>2</v>
      </c>
      <c r="H87" s="14" t="n">
        <f aca="false">INDEX('Расчет Кплотн'!$J:$J,MATCH(D87,'Расчет Кплотн'!$A:$A,0))</f>
        <v>2</v>
      </c>
      <c r="I87" s="3" t="n">
        <f aca="false">F87*Моделирование!$F$3*M87*G87/1000</f>
        <v>742548.79992</v>
      </c>
      <c r="J87" s="3" t="n">
        <f aca="false">F87*Моделирование!$F$3*M87*H87/1000</f>
        <v>742548.79992</v>
      </c>
      <c r="K87" s="3" t="n">
        <f aca="false">J87-I87</f>
        <v>0</v>
      </c>
      <c r="L87" s="4" t="n">
        <f aca="false">IFERROR(K87/I87,0)</f>
        <v>0</v>
      </c>
      <c r="M87" s="15" t="n">
        <f aca="false">IF(INDEX('Расчет Кплотн'!$D:$D,MATCH(D87,'Расчет Кплотн'!$A:$A,0))="район",IFERROR(VLOOKUP(INDEX('Расчет Кплотн'!$B:$B,MATCH(D87,'Расчет Кплотн'!$A:$A,0)),'БКПН (приказ 170)'!$A$4:$C$10,3,FALSE()),Моделирование!$F$2),Моделирование!$F$2)</f>
        <v>1686.17</v>
      </c>
    </row>
    <row r="88" customFormat="false" ht="15" hidden="false" customHeight="false" outlineLevel="0" collapsed="false">
      <c r="A88" s="12" t="n">
        <v>83</v>
      </c>
      <c r="B88" s="12" t="str">
        <f aca="false">'РПН 01.08 по МО'!B86</f>
        <v>АКТЮБИНСКАЯ</v>
      </c>
      <c r="C88" s="12" t="str">
        <f aca="false">'РПН 01.08 по МО'!C86</f>
        <v>ГКП "Городская многопрофильная больница №2" на ПХВ ГУ "Управление здравоохранения Актюбинской области"</v>
      </c>
      <c r="D88" s="12" t="str">
        <f aca="false">'РПН 01.08 по МО'!E86</f>
        <v>1510</v>
      </c>
      <c r="E88" s="12" t="str">
        <f aca="false">'РПН 01.08 по МО'!F86</f>
        <v>Актобе</v>
      </c>
      <c r="F88" s="13" t="n">
        <f aca="false">'РПН 01.08 по МО'!D86</f>
        <v>33552</v>
      </c>
      <c r="G88" s="14" t="n">
        <f aca="false">INDEX('Расчет Кплотн'!$K:$K,MATCH(D88,'Расчет Кплотн'!$A:$A,0))</f>
        <v>1</v>
      </c>
      <c r="H88" s="14" t="n">
        <f aca="false">INDEX('Расчет Кплотн'!$J:$J,MATCH(D88,'Расчет Кплотн'!$A:$A,0))</f>
        <v>1</v>
      </c>
      <c r="I88" s="3" t="n">
        <f aca="false">F88*Моделирование!$F$3*M88*G88/1000</f>
        <v>678892.51008</v>
      </c>
      <c r="J88" s="3" t="n">
        <f aca="false">F88*Моделирование!$F$3*M88*H88/1000</f>
        <v>678892.51008</v>
      </c>
      <c r="K88" s="3" t="n">
        <f aca="false">J88-I88</f>
        <v>0</v>
      </c>
      <c r="L88" s="4" t="n">
        <f aca="false">IFERROR(K88/I88,0)</f>
        <v>0</v>
      </c>
      <c r="M88" s="15" t="n">
        <f aca="false">IF(INDEX('Расчет Кплотн'!$D:$D,MATCH(D88,'Расчет Кплотн'!$A:$A,0))="район",IFERROR(VLOOKUP(INDEX('Расчет Кплотн'!$B:$B,MATCH(D88,'Расчет Кплотн'!$A:$A,0)),'БКПН (приказ 170)'!$A$4:$C$10,3,FALSE()),Моделирование!$F$2),Моделирование!$F$2)</f>
        <v>1686.17</v>
      </c>
    </row>
    <row r="89" customFormat="false" ht="15" hidden="false" customHeight="false" outlineLevel="0" collapsed="false">
      <c r="A89" s="12" t="n">
        <v>84</v>
      </c>
      <c r="B89" s="12" t="str">
        <f aca="false">'РПН 01.08 по МО'!B87</f>
        <v>АКТЮБИНСКАЯ</v>
      </c>
      <c r="C89" s="12" t="str">
        <f aca="false">'РПН 01.08 по МО'!C87</f>
        <v>ГКП "Городская поликлиника № 7" на ПХВ ГУ "Управление здравоохранения Актюбинской области"</v>
      </c>
      <c r="D89" s="12" t="str">
        <f aca="false">'РПН 01.08 по МО'!E87</f>
        <v>1510</v>
      </c>
      <c r="E89" s="12" t="str">
        <f aca="false">'РПН 01.08 по МО'!F87</f>
        <v>Актобе</v>
      </c>
      <c r="F89" s="13" t="n">
        <f aca="false">'РПН 01.08 по МО'!D87</f>
        <v>38626</v>
      </c>
      <c r="G89" s="14" t="n">
        <f aca="false">INDEX('Расчет Кплотн'!$K:$K,MATCH(D89,'Расчет Кплотн'!$A:$A,0))</f>
        <v>1</v>
      </c>
      <c r="H89" s="14" t="n">
        <f aca="false">INDEX('Расчет Кплотн'!$J:$J,MATCH(D89,'Расчет Кплотн'!$A:$A,0))</f>
        <v>1</v>
      </c>
      <c r="I89" s="3" t="n">
        <f aca="false">F89*Моделирование!$F$3*M89*G89/1000</f>
        <v>781560.02904</v>
      </c>
      <c r="J89" s="3" t="n">
        <f aca="false">F89*Моделирование!$F$3*M89*H89/1000</f>
        <v>781560.02904</v>
      </c>
      <c r="K89" s="3" t="n">
        <f aca="false">J89-I89</f>
        <v>0</v>
      </c>
      <c r="L89" s="4" t="n">
        <f aca="false">IFERROR(K89/I89,0)</f>
        <v>0</v>
      </c>
      <c r="M89" s="15" t="n">
        <f aca="false">IF(INDEX('Расчет Кплотн'!$D:$D,MATCH(D89,'Расчет Кплотн'!$A:$A,0))="район",IFERROR(VLOOKUP(INDEX('Расчет Кплотн'!$B:$B,MATCH(D89,'Расчет Кплотн'!$A:$A,0)),'БКПН (приказ 170)'!$A$4:$C$10,3,FALSE()),Моделирование!$F$2),Моделирование!$F$2)</f>
        <v>1686.17</v>
      </c>
    </row>
    <row r="90" customFormat="false" ht="15" hidden="false" customHeight="false" outlineLevel="0" collapsed="false">
      <c r="A90" s="12" t="n">
        <v>85</v>
      </c>
      <c r="B90" s="12" t="str">
        <f aca="false">'РПН 01.08 по МО'!B88</f>
        <v>АКТЮБИНСКАЯ</v>
      </c>
      <c r="C90" s="12" t="str">
        <f aca="false">'РПН 01.08 по МО'!C88</f>
        <v>ГКП "Городская поликлиника №1" на ПХВ ГУ "Управление здравоохранения Актюбинской области"</v>
      </c>
      <c r="D90" s="12" t="str">
        <f aca="false">'РПН 01.08 по МО'!E88</f>
        <v>1510</v>
      </c>
      <c r="E90" s="12" t="str">
        <f aca="false">'РПН 01.08 по МО'!F88</f>
        <v>Актобе</v>
      </c>
      <c r="F90" s="13" t="n">
        <f aca="false">'РПН 01.08 по МО'!D88</f>
        <v>58832</v>
      </c>
      <c r="G90" s="14" t="n">
        <f aca="false">INDEX('Расчет Кплотн'!$K:$K,MATCH(D90,'Расчет Кплотн'!$A:$A,0))</f>
        <v>1</v>
      </c>
      <c r="H90" s="14" t="n">
        <f aca="false">INDEX('Расчет Кплотн'!$J:$J,MATCH(D90,'Расчет Кплотн'!$A:$A,0))</f>
        <v>1</v>
      </c>
      <c r="I90" s="3" t="n">
        <f aca="false">F90*Моделирование!$F$3*M90*G90/1000</f>
        <v>1190409.04128</v>
      </c>
      <c r="J90" s="3" t="n">
        <f aca="false">F90*Моделирование!$F$3*M90*H90/1000</f>
        <v>1190409.04128</v>
      </c>
      <c r="K90" s="3" t="n">
        <f aca="false">J90-I90</f>
        <v>0</v>
      </c>
      <c r="L90" s="4" t="n">
        <f aca="false">IFERROR(K90/I90,0)</f>
        <v>0</v>
      </c>
      <c r="M90" s="15" t="n">
        <f aca="false">IF(INDEX('Расчет Кплотн'!$D:$D,MATCH(D90,'Расчет Кплотн'!$A:$A,0))="район",IFERROR(VLOOKUP(INDEX('Расчет Кплотн'!$B:$B,MATCH(D90,'Расчет Кплотн'!$A:$A,0)),'БКПН (приказ 170)'!$A$4:$C$10,3,FALSE()),Моделирование!$F$2),Моделирование!$F$2)</f>
        <v>1686.17</v>
      </c>
    </row>
    <row r="91" customFormat="false" ht="15" hidden="false" customHeight="false" outlineLevel="0" collapsed="false">
      <c r="A91" s="12" t="n">
        <v>86</v>
      </c>
      <c r="B91" s="12" t="str">
        <f aca="false">'РПН 01.08 по МО'!B89</f>
        <v>АКТЮБИНСКАЯ</v>
      </c>
      <c r="C91" s="12" t="str">
        <f aca="false">'РПН 01.08 по МО'!C89</f>
        <v>ГКП "Городская поликлиника №4" на праве хозяйственного ведения ГУ "Управление здравоохранения Актюбинской области"</v>
      </c>
      <c r="D91" s="12" t="str">
        <f aca="false">'РПН 01.08 по МО'!E89</f>
        <v>1510</v>
      </c>
      <c r="E91" s="12" t="str">
        <f aca="false">'РПН 01.08 по МО'!F89</f>
        <v>Актобе</v>
      </c>
      <c r="F91" s="13" t="n">
        <f aca="false">'РПН 01.08 по МО'!D89</f>
        <v>66549</v>
      </c>
      <c r="G91" s="14" t="n">
        <f aca="false">INDEX('Расчет Кплотн'!$K:$K,MATCH(D91,'Расчет Кплотн'!$A:$A,0))</f>
        <v>1</v>
      </c>
      <c r="H91" s="14" t="n">
        <f aca="false">INDEX('Расчет Кплотн'!$J:$J,MATCH(D91,'Расчет Кплотн'!$A:$A,0))</f>
        <v>1</v>
      </c>
      <c r="I91" s="3" t="n">
        <f aca="false">F91*Моделирование!$F$3*M91*G91/1000</f>
        <v>1346555.12796</v>
      </c>
      <c r="J91" s="3" t="n">
        <f aca="false">F91*Моделирование!$F$3*M91*H91/1000</f>
        <v>1346555.12796</v>
      </c>
      <c r="K91" s="3" t="n">
        <f aca="false">J91-I91</f>
        <v>0</v>
      </c>
      <c r="L91" s="4" t="n">
        <f aca="false">IFERROR(K91/I91,0)</f>
        <v>0</v>
      </c>
      <c r="M91" s="15" t="n">
        <f aca="false">IF(INDEX('Расчет Кплотн'!$D:$D,MATCH(D91,'Расчет Кплотн'!$A:$A,0))="район",IFERROR(VLOOKUP(INDEX('Расчет Кплотн'!$B:$B,MATCH(D91,'Расчет Кплотн'!$A:$A,0)),'БКПН (приказ 170)'!$A$4:$C$10,3,FALSE()),Моделирование!$F$2),Моделирование!$F$2)</f>
        <v>1686.17</v>
      </c>
    </row>
    <row r="92" customFormat="false" ht="15" hidden="false" customHeight="false" outlineLevel="0" collapsed="false">
      <c r="A92" s="12" t="n">
        <v>87</v>
      </c>
      <c r="B92" s="12" t="str">
        <f aca="false">'РПН 01.08 по МО'!B90</f>
        <v>АКТЮБИНСКАЯ</v>
      </c>
      <c r="C92" s="12" t="str">
        <f aca="false">'РПН 01.08 по МО'!C90</f>
        <v>ГКП "Кобдинская районная больница" на праве хозяйственного ведения государственного учреждения "Управление здравоохранения Актюбинской области"</v>
      </c>
      <c r="D92" s="12" t="str">
        <f aca="false">'РПН 01.08 по МО'!E90</f>
        <v>1542</v>
      </c>
      <c r="E92" s="12" t="str">
        <f aca="false">'РПН 01.08 по МО'!F90</f>
        <v>Хобдинский район</v>
      </c>
      <c r="F92" s="13" t="n">
        <f aca="false">'РПН 01.08 по МО'!D90</f>
        <v>14137</v>
      </c>
      <c r="G92" s="14" t="n">
        <f aca="false">INDEX('Расчет Кплотн'!$K:$K,MATCH(D92,'Расчет Кплотн'!$A:$A,0))</f>
        <v>2</v>
      </c>
      <c r="H92" s="14" t="n">
        <f aca="false">INDEX('Расчет Кплотн'!$J:$J,MATCH(D92,'Расчет Кплотн'!$A:$A,0))</f>
        <v>2</v>
      </c>
      <c r="I92" s="3" t="n">
        <f aca="false">F92*Моделирование!$F$3*M92*G92/1000</f>
        <v>572097.24696</v>
      </c>
      <c r="J92" s="3" t="n">
        <f aca="false">F92*Моделирование!$F$3*M92*H92/1000</f>
        <v>572097.24696</v>
      </c>
      <c r="K92" s="3" t="n">
        <f aca="false">J92-I92</f>
        <v>0</v>
      </c>
      <c r="L92" s="4" t="n">
        <f aca="false">IFERROR(K92/I92,0)</f>
        <v>0</v>
      </c>
      <c r="M92" s="15" t="n">
        <f aca="false">IF(INDEX('Расчет Кплотн'!$D:$D,MATCH(D92,'Расчет Кплотн'!$A:$A,0))="район",IFERROR(VLOOKUP(INDEX('Расчет Кплотн'!$B:$B,MATCH(D92,'Расчет Кплотн'!$A:$A,0)),'БКПН (приказ 170)'!$A$4:$C$10,3,FALSE()),Моделирование!$F$2),Моделирование!$F$2)</f>
        <v>1686.17</v>
      </c>
    </row>
    <row r="93" customFormat="false" ht="15" hidden="false" customHeight="false" outlineLevel="0" collapsed="false">
      <c r="A93" s="12" t="n">
        <v>88</v>
      </c>
      <c r="B93" s="12" t="str">
        <f aca="false">'РПН 01.08 по МО'!B91</f>
        <v>АКТЮБИНСКАЯ</v>
      </c>
      <c r="C93" s="12" t="str">
        <f aca="false">'РПН 01.08 по МО'!C91</f>
        <v>ГКП "Мартукская районная больница" на праве хозяйственного ведения государственного учреждения "Управление здравоохранения Актюбинской области"</v>
      </c>
      <c r="D93" s="12" t="str">
        <f aca="false">'РПН 01.08 по МО'!E91</f>
        <v>1546</v>
      </c>
      <c r="E93" s="12" t="str">
        <f aca="false">'РПН 01.08 по МО'!F91</f>
        <v>Мартукский район</v>
      </c>
      <c r="F93" s="13" t="n">
        <f aca="false">'РПН 01.08 по МО'!D91</f>
        <v>27370</v>
      </c>
      <c r="G93" s="14" t="n">
        <f aca="false">INDEX('Расчет Кплотн'!$K:$K,MATCH(D93,'Расчет Кплотн'!$A:$A,0))</f>
        <v>1.4578</v>
      </c>
      <c r="H93" s="14" t="n">
        <f aca="false">INDEX('Расчет Кплотн'!$J:$J,MATCH(D93,'Расчет Кплотн'!$A:$A,0))</f>
        <v>2</v>
      </c>
      <c r="I93" s="3" t="n">
        <f aca="false">F93*Моделирование!$F$3*M93*G93/1000</f>
        <v>807337.91272344</v>
      </c>
      <c r="J93" s="3" t="n">
        <f aca="false">F93*Моделирование!$F$3*M93*H93/1000</f>
        <v>1107611.3496</v>
      </c>
      <c r="K93" s="3" t="n">
        <f aca="false">J93-I93</f>
        <v>300273.43687656</v>
      </c>
      <c r="L93" s="4" t="n">
        <f aca="false">IFERROR(K93/I93,0)</f>
        <v>0.371930305940458</v>
      </c>
      <c r="M93" s="15" t="n">
        <f aca="false">IF(INDEX('Расчет Кплотн'!$D:$D,MATCH(D93,'Расчет Кплотн'!$A:$A,0))="район",IFERROR(VLOOKUP(INDEX('Расчет Кплотн'!$B:$B,MATCH(D93,'Расчет Кплотн'!$A:$A,0)),'БКПН (приказ 170)'!$A$4:$C$10,3,FALSE()),Моделирование!$F$2),Моделирование!$F$2)</f>
        <v>1686.17</v>
      </c>
    </row>
    <row r="94" customFormat="false" ht="15" hidden="false" customHeight="false" outlineLevel="0" collapsed="false">
      <c r="A94" s="12" t="n">
        <v>89</v>
      </c>
      <c r="B94" s="12" t="str">
        <f aca="false">'РПН 01.08 по МО'!B92</f>
        <v>АКТЮБИНСКАЯ</v>
      </c>
      <c r="C94" s="12" t="str">
        <f aca="false">'РПН 01.08 по МО'!C92</f>
        <v>ГКП "Мугалжарская районная больница" на ПХВ ГУ "Управление здравоохранения Актюбинской области"</v>
      </c>
      <c r="D94" s="12" t="str">
        <f aca="false">'РПН 01.08 по МО'!E92</f>
        <v>1548</v>
      </c>
      <c r="E94" s="12" t="str">
        <f aca="false">'РПН 01.08 по МО'!F92</f>
        <v>Мугалжарский район</v>
      </c>
      <c r="F94" s="13" t="n">
        <f aca="false">'РПН 01.08 по МО'!D92</f>
        <v>34697</v>
      </c>
      <c r="G94" s="14" t="n">
        <f aca="false">INDEX('Расчет Кплотн'!$K:$K,MATCH(D94,'Расчет Кплотн'!$A:$A,0))</f>
        <v>1.8747</v>
      </c>
      <c r="H94" s="14" t="n">
        <f aca="false">INDEX('Расчет Кплотн'!$J:$J,MATCH(D94,'Расчет Кплотн'!$A:$A,0))</f>
        <v>2</v>
      </c>
      <c r="I94" s="3" t="n">
        <f aca="false">F94*Моделирование!$F$3*M94*G94/1000</f>
        <v>1316152.79287924</v>
      </c>
      <c r="J94" s="3" t="n">
        <f aca="false">F94*Моделирование!$F$3*M94*H94/1000</f>
        <v>1404120.97176</v>
      </c>
      <c r="K94" s="3" t="n">
        <f aca="false">J94-I94</f>
        <v>87968.1788807642</v>
      </c>
      <c r="L94" s="4" t="n">
        <f aca="false">IFERROR(K94/I94,0)</f>
        <v>0.0668373606443699</v>
      </c>
      <c r="M94" s="15" t="n">
        <f aca="false">IF(INDEX('Расчет Кплотн'!$D:$D,MATCH(D94,'Расчет Кплотн'!$A:$A,0))="район",IFERROR(VLOOKUP(INDEX('Расчет Кплотн'!$B:$B,MATCH(D94,'Расчет Кплотн'!$A:$A,0)),'БКПН (приказ 170)'!$A$4:$C$10,3,FALSE()),Моделирование!$F$2),Моделирование!$F$2)</f>
        <v>1686.17</v>
      </c>
    </row>
    <row r="95" customFormat="false" ht="15" hidden="false" customHeight="false" outlineLevel="0" collapsed="false">
      <c r="A95" s="12" t="n">
        <v>90</v>
      </c>
      <c r="B95" s="12" t="str">
        <f aca="false">'РПН 01.08 по МО'!B93</f>
        <v>АКТЮБИНСКАЯ</v>
      </c>
      <c r="C95" s="12" t="str">
        <f aca="false">'РПН 01.08 по МО'!C93</f>
        <v>ГКП "Байганинская районная больница" на праве хозяйственного ведения государственного учреждения "Управление здравоохранения Актюбинской области"</v>
      </c>
      <c r="D95" s="12" t="str">
        <f aca="false">'РПН 01.08 по МО'!E93</f>
        <v>1536</v>
      </c>
      <c r="E95" s="12" t="str">
        <f aca="false">'РПН 01.08 по МО'!F93</f>
        <v>Байганинский район</v>
      </c>
      <c r="F95" s="13" t="n">
        <f aca="false">'РПН 01.08 по МО'!D93</f>
        <v>20112</v>
      </c>
      <c r="G95" s="14" t="n">
        <f aca="false">INDEX('Расчет Кплотн'!$K:$K,MATCH(D95,'Расчет Кплотн'!$A:$A,0))</f>
        <v>2</v>
      </c>
      <c r="H95" s="14" t="n">
        <f aca="false">INDEX('Расчет Кплотн'!$J:$J,MATCH(D95,'Расчет Кплотн'!$A:$A,0))</f>
        <v>2</v>
      </c>
      <c r="I95" s="3" t="n">
        <f aca="false">F95*Моделирование!$F$3*M95*G95/1000</f>
        <v>813894.02496</v>
      </c>
      <c r="J95" s="3" t="n">
        <f aca="false">F95*Моделирование!$F$3*M95*H95/1000</f>
        <v>813894.02496</v>
      </c>
      <c r="K95" s="3" t="n">
        <f aca="false">J95-I95</f>
        <v>0</v>
      </c>
      <c r="L95" s="4" t="n">
        <f aca="false">IFERROR(K95/I95,0)</f>
        <v>0</v>
      </c>
      <c r="M95" s="15" t="n">
        <f aca="false">IF(INDEX('Расчет Кплотн'!$D:$D,MATCH(D95,'Расчет Кплотн'!$A:$A,0))="район",IFERROR(VLOOKUP(INDEX('Расчет Кплотн'!$B:$B,MATCH(D95,'Расчет Кплотн'!$A:$A,0)),'БКПН (приказ 170)'!$A$4:$C$10,3,FALSE()),Моделирование!$F$2),Моделирование!$F$2)</f>
        <v>1686.17</v>
      </c>
    </row>
    <row r="96" customFormat="false" ht="15" hidden="false" customHeight="false" outlineLevel="0" collapsed="false">
      <c r="A96" s="12" t="n">
        <v>91</v>
      </c>
      <c r="B96" s="12" t="str">
        <f aca="false">'РПН 01.08 по МО'!B94</f>
        <v>АКТЮБИНСКАЯ</v>
      </c>
      <c r="C96" s="12" t="str">
        <f aca="false">'РПН 01.08 по МО'!C94</f>
        <v>ГКП "Центр первичной медико-санитарной помощи №1 города Актобе" на ПХВ ГУ "Управление здравоохранения Актюбинской области"</v>
      </c>
      <c r="D96" s="12" t="str">
        <f aca="false">'РПН 01.08 по МО'!E94</f>
        <v>1510</v>
      </c>
      <c r="E96" s="12" t="str">
        <f aca="false">'РПН 01.08 по МО'!F94</f>
        <v>Актобе</v>
      </c>
      <c r="F96" s="13" t="n">
        <f aca="false">'РПН 01.08 по МО'!D94</f>
        <v>16166</v>
      </c>
      <c r="G96" s="14" t="n">
        <f aca="false">INDEX('Расчет Кплотн'!$K:$K,MATCH(D96,'Расчет Кплотн'!$A:$A,0))</f>
        <v>1</v>
      </c>
      <c r="H96" s="14" t="n">
        <f aca="false">INDEX('Расчет Кплотн'!$J:$J,MATCH(D96,'Расчет Кплотн'!$A:$A,0))</f>
        <v>1</v>
      </c>
      <c r="I96" s="3" t="n">
        <f aca="false">F96*Моделирование!$F$3*M96*G96/1000</f>
        <v>327103.49064</v>
      </c>
      <c r="J96" s="3" t="n">
        <f aca="false">F96*Моделирование!$F$3*M96*H96/1000</f>
        <v>327103.49064</v>
      </c>
      <c r="K96" s="3" t="n">
        <f aca="false">J96-I96</f>
        <v>0</v>
      </c>
      <c r="L96" s="4" t="n">
        <f aca="false">IFERROR(K96/I96,0)</f>
        <v>0</v>
      </c>
      <c r="M96" s="15" t="n">
        <f aca="false">IF(INDEX('Расчет Кплотн'!$D:$D,MATCH(D96,'Расчет Кплотн'!$A:$A,0))="район",IFERROR(VLOOKUP(INDEX('Расчет Кплотн'!$B:$B,MATCH(D96,'Расчет Кплотн'!$A:$A,0)),'БКПН (приказ 170)'!$A$4:$C$10,3,FALSE()),Моделирование!$F$2),Моделирование!$F$2)</f>
        <v>1686.17</v>
      </c>
    </row>
    <row r="97" customFormat="false" ht="15" hidden="false" customHeight="false" outlineLevel="0" collapsed="false">
      <c r="A97" s="12" t="n">
        <v>92</v>
      </c>
      <c r="B97" s="12" t="str">
        <f aca="false">'РПН 01.08 по МО'!B95</f>
        <v>АКТЮБИНСКАЯ</v>
      </c>
      <c r="C97" s="12" t="str">
        <f aca="false">'РПН 01.08 по МО'!C95</f>
        <v>ГКП «Эмбинская районная больница» на праве хозяйственного ведения государственного учреждения «Управление здравоохранения Актюбинской области»</v>
      </c>
      <c r="D97" s="12" t="str">
        <f aca="false">'РПН 01.08 по МО'!E95</f>
        <v>1548</v>
      </c>
      <c r="E97" s="12" t="str">
        <f aca="false">'РПН 01.08 по МО'!F95</f>
        <v>Мугалжарский район</v>
      </c>
      <c r="F97" s="13" t="n">
        <f aca="false">'РПН 01.08 по МО'!D95</f>
        <v>18039</v>
      </c>
      <c r="G97" s="14" t="n">
        <f aca="false">INDEX('Расчет Кплотн'!$K:$K,MATCH(D97,'Расчет Кплотн'!$A:$A,0))</f>
        <v>1.8747</v>
      </c>
      <c r="H97" s="14" t="n">
        <f aca="false">INDEX('Расчет Кплотн'!$J:$J,MATCH(D97,'Расчет Кплотн'!$A:$A,0))</f>
        <v>2</v>
      </c>
      <c r="I97" s="3" t="n">
        <f aca="false">F97*Моделирование!$F$3*M97*G97/1000</f>
        <v>684268.963620732</v>
      </c>
      <c r="J97" s="3" t="n">
        <f aca="false">F97*Моделирование!$F$3*M97*H97/1000</f>
        <v>730003.69512</v>
      </c>
      <c r="K97" s="3" t="n">
        <f aca="false">J97-I97</f>
        <v>45734.731499268</v>
      </c>
      <c r="L97" s="4" t="n">
        <f aca="false">IFERROR(K97/I97,0)</f>
        <v>0.0668373606443697</v>
      </c>
      <c r="M97" s="15" t="n">
        <f aca="false">IF(INDEX('Расчет Кплотн'!$D:$D,MATCH(D97,'Расчет Кплотн'!$A:$A,0))="район",IFERROR(VLOOKUP(INDEX('Расчет Кплотн'!$B:$B,MATCH(D97,'Расчет Кплотн'!$A:$A,0)),'БКПН (приказ 170)'!$A$4:$C$10,3,FALSE()),Моделирование!$F$2),Моделирование!$F$2)</f>
        <v>1686.17</v>
      </c>
    </row>
    <row r="98" customFormat="false" ht="15" hidden="false" customHeight="false" outlineLevel="0" collapsed="false">
      <c r="A98" s="12" t="n">
        <v>93</v>
      </c>
      <c r="B98" s="12" t="str">
        <f aca="false">'РПН 01.08 по МО'!B96</f>
        <v>АКТЮБИНСКАЯ</v>
      </c>
      <c r="C98" s="12" t="str">
        <f aca="false">'РПН 01.08 по МО'!C96</f>
        <v>Государственное коммунальное предприятие "Алгинская районная больница" на праве хозяйственного ведения государственного учреждения "Управление здравоохранения Актюбинской области"</v>
      </c>
      <c r="D98" s="12" t="str">
        <f aca="false">'РПН 01.08 по МО'!E96</f>
        <v>1532</v>
      </c>
      <c r="E98" s="12" t="str">
        <f aca="false">'РПН 01.08 по МО'!F96</f>
        <v>Алгинский район</v>
      </c>
      <c r="F98" s="13" t="n">
        <f aca="false">'РПН 01.08 по МО'!D96</f>
        <v>39247</v>
      </c>
      <c r="G98" s="14" t="n">
        <f aca="false">INDEX('Расчет Кплотн'!$K:$K,MATCH(D98,'Расчет Кплотн'!$A:$A,0))</f>
        <v>1.3553</v>
      </c>
      <c r="H98" s="14" t="n">
        <f aca="false">INDEX('Расчет Кплотн'!$J:$J,MATCH(D98,'Расчет Кплотн'!$A:$A,0))</f>
        <v>1.9856</v>
      </c>
      <c r="I98" s="3" t="n">
        <f aca="false">F98*Моделирование!$F$3*M98*G98/1000</f>
        <v>1076278.11108776</v>
      </c>
      <c r="J98" s="3" t="n">
        <f aca="false">F98*Моделирование!$F$3*M98*H98/1000</f>
        <v>1576815.33046253</v>
      </c>
      <c r="K98" s="3" t="n">
        <f aca="false">J98-I98</f>
        <v>500537.219374764</v>
      </c>
      <c r="L98" s="4" t="n">
        <f aca="false">IFERROR(K98/I98,0)</f>
        <v>0.465063085663691</v>
      </c>
      <c r="M98" s="15" t="n">
        <f aca="false">IF(INDEX('Расчет Кплотн'!$D:$D,MATCH(D98,'Расчет Кплотн'!$A:$A,0))="район",IFERROR(VLOOKUP(INDEX('Расчет Кплотн'!$B:$B,MATCH(D98,'Расчет Кплотн'!$A:$A,0)),'БКПН (приказ 170)'!$A$4:$C$10,3,FALSE()),Моделирование!$F$2),Моделирование!$F$2)</f>
        <v>1686.17</v>
      </c>
    </row>
    <row r="99" customFormat="false" ht="15" hidden="false" customHeight="false" outlineLevel="0" collapsed="false">
      <c r="A99" s="12" t="n">
        <v>94</v>
      </c>
      <c r="B99" s="12" t="str">
        <f aca="false">'РПН 01.08 по МО'!B97</f>
        <v>АКТЮБИНСКАЯ</v>
      </c>
      <c r="C99" s="12" t="str">
        <f aca="false">'РПН 01.08 по МО'!C97</f>
        <v>Государственное коммунальное предприятие "Городская поликлиника №2" на праве хозяйственного ведения государственного учреждения "Управление здравоохранения Актюбинской области"</v>
      </c>
      <c r="D99" s="12" t="str">
        <f aca="false">'РПН 01.08 по МО'!E97</f>
        <v>1510</v>
      </c>
      <c r="E99" s="12" t="str">
        <f aca="false">'РПН 01.08 по МО'!F97</f>
        <v>Актобе</v>
      </c>
      <c r="F99" s="13" t="n">
        <f aca="false">'РПН 01.08 по МО'!D97</f>
        <v>57146</v>
      </c>
      <c r="G99" s="14" t="n">
        <f aca="false">INDEX('Расчет Кплотн'!$K:$K,MATCH(D99,'Расчет Кплотн'!$A:$A,0))</f>
        <v>1</v>
      </c>
      <c r="H99" s="14" t="n">
        <f aca="false">INDEX('Расчет Кплотн'!$J:$J,MATCH(D99,'Расчет Кплотн'!$A:$A,0))</f>
        <v>1</v>
      </c>
      <c r="I99" s="3" t="n">
        <f aca="false">F99*Моделирование!$F$3*M99*G99/1000</f>
        <v>1156294.44984</v>
      </c>
      <c r="J99" s="3" t="n">
        <f aca="false">F99*Моделирование!$F$3*M99*H99/1000</f>
        <v>1156294.44984</v>
      </c>
      <c r="K99" s="3" t="n">
        <f aca="false">J99-I99</f>
        <v>0</v>
      </c>
      <c r="L99" s="4" t="n">
        <f aca="false">IFERROR(K99/I99,0)</f>
        <v>0</v>
      </c>
      <c r="M99" s="15" t="n">
        <f aca="false">IF(INDEX('Расчет Кплотн'!$D:$D,MATCH(D99,'Расчет Кплотн'!$A:$A,0))="район",IFERROR(VLOOKUP(INDEX('Расчет Кплотн'!$B:$B,MATCH(D99,'Расчет Кплотн'!$A:$A,0)),'БКПН (приказ 170)'!$A$4:$C$10,3,FALSE()),Моделирование!$F$2),Моделирование!$F$2)</f>
        <v>1686.17</v>
      </c>
    </row>
    <row r="100" customFormat="false" ht="15" hidden="false" customHeight="false" outlineLevel="0" collapsed="false">
      <c r="A100" s="12" t="n">
        <v>95</v>
      </c>
      <c r="B100" s="12" t="str">
        <f aca="false">'РПН 01.08 по МО'!B98</f>
        <v>АКТЮБИНСКАЯ</v>
      </c>
      <c r="C100" s="12" t="str">
        <f aca="false">'РПН 01.08 по МО'!C98</f>
        <v>Государственное коммунальное предприятие "Городская поликлиника №3" на праве хозяйственного ведения государственного учреждения "Управление здравоохранения Актюбинской области"</v>
      </c>
      <c r="D100" s="12" t="str">
        <f aca="false">'РПН 01.08 по МО'!E98</f>
        <v>1510</v>
      </c>
      <c r="E100" s="12" t="str">
        <f aca="false">'РПН 01.08 по МО'!F98</f>
        <v>Актобе</v>
      </c>
      <c r="F100" s="13" t="n">
        <f aca="false">'РПН 01.08 по МО'!D98</f>
        <v>57825</v>
      </c>
      <c r="G100" s="14" t="n">
        <f aca="false">INDEX('Расчет Кплотн'!$K:$K,MATCH(D100,'Расчет Кплотн'!$A:$A,0))</f>
        <v>1</v>
      </c>
      <c r="H100" s="14" t="n">
        <f aca="false">INDEX('Расчет Кплотн'!$J:$J,MATCH(D100,'Расчет Кплотн'!$A:$A,0))</f>
        <v>1</v>
      </c>
      <c r="I100" s="3" t="n">
        <f aca="false">F100*Моделирование!$F$3*M100*G100/1000</f>
        <v>1170033.363</v>
      </c>
      <c r="J100" s="3" t="n">
        <f aca="false">F100*Моделирование!$F$3*M100*H100/1000</f>
        <v>1170033.363</v>
      </c>
      <c r="K100" s="3" t="n">
        <f aca="false">J100-I100</f>
        <v>0</v>
      </c>
      <c r="L100" s="4" t="n">
        <f aca="false">IFERROR(K100/I100,0)</f>
        <v>0</v>
      </c>
      <c r="M100" s="15" t="n">
        <f aca="false">IF(INDEX('Расчет Кплотн'!$D:$D,MATCH(D100,'Расчет Кплотн'!$A:$A,0))="район",IFERROR(VLOOKUP(INDEX('Расчет Кплотн'!$B:$B,MATCH(D100,'Расчет Кплотн'!$A:$A,0)),'БКПН (приказ 170)'!$A$4:$C$10,3,FALSE()),Моделирование!$F$2),Моделирование!$F$2)</f>
        <v>1686.17</v>
      </c>
    </row>
    <row r="101" customFormat="false" ht="15" hidden="false" customHeight="false" outlineLevel="0" collapsed="false">
      <c r="A101" s="12" t="n">
        <v>96</v>
      </c>
      <c r="B101" s="12" t="str">
        <f aca="false">'РПН 01.08 по МО'!B99</f>
        <v>АКТЮБИНСКАЯ</v>
      </c>
      <c r="C101" s="12" t="str">
        <f aca="false">'РПН 01.08 по МО'!C99</f>
        <v>Государственное коммунальное предприятие "Иргизская районная больница" на праве хозяйственного ведения государственного учреждения "Управление здравоохранения Актюбинской области"</v>
      </c>
      <c r="D101" s="12" t="str">
        <f aca="false">'РПН 01.08 по МО'!E99</f>
        <v>1568</v>
      </c>
      <c r="E101" s="12" t="str">
        <f aca="false">'РПН 01.08 по МО'!F99</f>
        <v>Иргизский район</v>
      </c>
      <c r="F101" s="13" t="n">
        <f aca="false">'РПН 01.08 по МО'!D99</f>
        <v>12275</v>
      </c>
      <c r="G101" s="14" t="n">
        <f aca="false">INDEX('Расчет Кплотн'!$K:$K,MATCH(D101,'Расчет Кплотн'!$A:$A,0))</f>
        <v>2</v>
      </c>
      <c r="H101" s="14" t="n">
        <f aca="false">INDEX('Расчет Кплотн'!$J:$J,MATCH(D101,'Расчет Кплотн'!$A:$A,0))</f>
        <v>2</v>
      </c>
      <c r="I101" s="3" t="n">
        <f aca="false">F101*Моделирование!$F$3*M101*G101/1000</f>
        <v>496745.682</v>
      </c>
      <c r="J101" s="3" t="n">
        <f aca="false">F101*Моделирование!$F$3*M101*H101/1000</f>
        <v>496745.682</v>
      </c>
      <c r="K101" s="3" t="n">
        <f aca="false">J101-I101</f>
        <v>0</v>
      </c>
      <c r="L101" s="4" t="n">
        <f aca="false">IFERROR(K101/I101,0)</f>
        <v>0</v>
      </c>
      <c r="M101" s="15" t="n">
        <f aca="false">IF(INDEX('Расчет Кплотн'!$D:$D,MATCH(D101,'Расчет Кплотн'!$A:$A,0))="район",IFERROR(VLOOKUP(INDEX('Расчет Кплотн'!$B:$B,MATCH(D101,'Расчет Кплотн'!$A:$A,0)),'БКПН (приказ 170)'!$A$4:$C$10,3,FALSE()),Моделирование!$F$2),Моделирование!$F$2)</f>
        <v>1686.17</v>
      </c>
    </row>
    <row r="102" customFormat="false" ht="15" hidden="false" customHeight="false" outlineLevel="0" collapsed="false">
      <c r="A102" s="12" t="n">
        <v>97</v>
      </c>
      <c r="B102" s="12" t="str">
        <f aca="false">'РПН 01.08 по МО'!B100</f>
        <v>АКТЮБИНСКАЯ</v>
      </c>
      <c r="C102" s="12" t="str">
        <f aca="false">'РПН 01.08 по МО'!C100</f>
        <v>ГКП "Хромтауская районная больница" на праве хозяйственного ведения государственного учреждения "Управление здравоохранения Актюбинской области"</v>
      </c>
      <c r="D102" s="12" t="str">
        <f aca="false">'РПН 01.08 по МО'!E100</f>
        <v>1560</v>
      </c>
      <c r="E102" s="12" t="str">
        <f aca="false">'РПН 01.08 по МО'!F100</f>
        <v>Хромтауский район</v>
      </c>
      <c r="F102" s="13" t="n">
        <f aca="false">'РПН 01.08 по МО'!D100</f>
        <v>45104</v>
      </c>
      <c r="G102" s="14" t="n">
        <f aca="false">INDEX('Расчет Кплотн'!$K:$K,MATCH(D102,'Расчет Кплотн'!$A:$A,0))</f>
        <v>1.5724</v>
      </c>
      <c r="H102" s="14" t="n">
        <f aca="false">INDEX('Расчет Кплотн'!$J:$J,MATCH(D102,'Расчет Кплотн'!$A:$A,0))</f>
        <v>2</v>
      </c>
      <c r="I102" s="3" t="n">
        <f aca="false">F102*Моделирование!$F$3*M102*G102/1000</f>
        <v>1435029.06678758</v>
      </c>
      <c r="J102" s="3" t="n">
        <f aca="false">F102*Моделирование!$F$3*M102*H102/1000</f>
        <v>1825272.28032</v>
      </c>
      <c r="K102" s="3" t="n">
        <f aca="false">J102-I102</f>
        <v>390243.213532416</v>
      </c>
      <c r="L102" s="4" t="n">
        <f aca="false">IFERROR(K102/I102,0)</f>
        <v>0.271940981938438</v>
      </c>
      <c r="M102" s="15" t="n">
        <f aca="false">IF(INDEX('Расчет Кплотн'!$D:$D,MATCH(D102,'Расчет Кплотн'!$A:$A,0))="район",IFERROR(VLOOKUP(INDEX('Расчет Кплотн'!$B:$B,MATCH(D102,'Расчет Кплотн'!$A:$A,0)),'БКПН (приказ 170)'!$A$4:$C$10,3,FALSE()),Моделирование!$F$2),Моделирование!$F$2)</f>
        <v>1686.17</v>
      </c>
    </row>
    <row r="103" customFormat="false" ht="15" hidden="false" customHeight="false" outlineLevel="0" collapsed="false">
      <c r="A103" s="12" t="n">
        <v>98</v>
      </c>
      <c r="B103" s="12" t="str">
        <f aca="false">'РПН 01.08 по МО'!B101</f>
        <v>АКТЮБИНСКАЯ</v>
      </c>
      <c r="C103" s="12" t="str">
        <f aca="false">'РПН 01.08 по МО'!C101</f>
        <v>Государственное коммунальное предприятие "Каргалинская районная больница" на праве хозяйственного ведения государственного учреждения "Управление здравоохранения Актюбинской области"</v>
      </c>
      <c r="D103" s="12" t="str">
        <f aca="false">'РПН 01.08 по МО'!E101</f>
        <v>1540</v>
      </c>
      <c r="E103" s="12" t="str">
        <f aca="false">'РПН 01.08 по МО'!F101</f>
        <v>Каргалинский район</v>
      </c>
      <c r="F103" s="13" t="n">
        <f aca="false">'РПН 01.08 по МО'!D101</f>
        <v>14282</v>
      </c>
      <c r="G103" s="14" t="n">
        <f aca="false">INDEX('Расчет Кплотн'!$K:$K,MATCH(D103,'Расчет Кплотн'!$A:$A,0))</f>
        <v>1.6673</v>
      </c>
      <c r="H103" s="14" t="n">
        <f aca="false">INDEX('Расчет Кплотн'!$J:$J,MATCH(D103,'Расчет Кплотн'!$A:$A,0))</f>
        <v>2</v>
      </c>
      <c r="I103" s="3" t="n">
        <f aca="false">F103*Моделирование!$F$3*M103*G103/1000</f>
        <v>481820.621087544</v>
      </c>
      <c r="J103" s="3" t="n">
        <f aca="false">F103*Моделирование!$F$3*M103*H103/1000</f>
        <v>577965.11856</v>
      </c>
      <c r="K103" s="3" t="n">
        <f aca="false">J103-I103</f>
        <v>96144.4974724561</v>
      </c>
      <c r="L103" s="4" t="n">
        <f aca="false">IFERROR(K103/I103,0)</f>
        <v>0.199544173214179</v>
      </c>
      <c r="M103" s="15" t="n">
        <f aca="false">IF(INDEX('Расчет Кплотн'!$D:$D,MATCH(D103,'Расчет Кплотн'!$A:$A,0))="район",IFERROR(VLOOKUP(INDEX('Расчет Кплотн'!$B:$B,MATCH(D103,'Расчет Кплотн'!$A:$A,0)),'БКПН (приказ 170)'!$A$4:$C$10,3,FALSE()),Моделирование!$F$2),Моделирование!$F$2)</f>
        <v>1686.17</v>
      </c>
    </row>
    <row r="104" customFormat="false" ht="15" hidden="false" customHeight="false" outlineLevel="0" collapsed="false">
      <c r="A104" s="12" t="n">
        <v>99</v>
      </c>
      <c r="B104" s="12" t="str">
        <f aca="false">'РПН 01.08 по МО'!B102</f>
        <v>АЛМАТИНСКАЯ</v>
      </c>
      <c r="C104" s="12" t="str">
        <f aca="false">'РПН 01.08 по МО'!C102</f>
        <v>ТОО "DN Medicus Pharm"</v>
      </c>
      <c r="D104" s="12" t="str">
        <f aca="false">'РПН 01.08 по МО'!E102</f>
        <v>1942</v>
      </c>
      <c r="E104" s="12" t="str">
        <f aca="false">'РПН 01.08 по МО'!F102</f>
        <v>Жамбылский район</v>
      </c>
      <c r="F104" s="13" t="n">
        <f aca="false">'РПН 01.08 по МО'!D102</f>
        <v>9614</v>
      </c>
      <c r="G104" s="14" t="n">
        <f aca="false">INDEX('Расчет Кплотн'!$K:$K,MATCH(D104,'Расчет Кплотн'!$A:$A,0))</f>
        <v>1.2357</v>
      </c>
      <c r="H104" s="14" t="n">
        <f aca="false">INDEX('Расчет Кплотн'!$J:$J,MATCH(D104,'Расчет Кплотн'!$A:$A,0))</f>
        <v>1.5879</v>
      </c>
      <c r="I104" s="3" t="n">
        <f aca="false">F104*Моделирование!$F$3*M104*G104/1000</f>
        <v>240380.795833992</v>
      </c>
      <c r="J104" s="3" t="n">
        <f aca="false">F104*Моделирование!$F$3*M104*H104/1000</f>
        <v>308894.283163224</v>
      </c>
      <c r="K104" s="3" t="n">
        <f aca="false">J104-I104</f>
        <v>68513.487329232</v>
      </c>
      <c r="L104" s="4" t="n">
        <f aca="false">IFERROR(K104/I104,0)</f>
        <v>0.285020636076718</v>
      </c>
      <c r="M104" s="15" t="n">
        <f aca="false">IF(INDEX('Расчет Кплотн'!$D:$D,MATCH(D104,'Расчет Кплотн'!$A:$A,0))="район",IFERROR(VLOOKUP(INDEX('Расчет Кплотн'!$B:$B,MATCH(D104,'Расчет Кплотн'!$A:$A,0)),'БКПН (приказ 170)'!$A$4:$C$10,3,FALSE()),Моделирование!$F$2),Моделирование!$F$2)</f>
        <v>1686.17</v>
      </c>
    </row>
    <row r="105" customFormat="false" ht="15" hidden="false" customHeight="false" outlineLevel="0" collapsed="false">
      <c r="A105" s="12" t="n">
        <v>100</v>
      </c>
      <c r="B105" s="12" t="str">
        <f aca="false">'РПН 01.08 по МО'!B103</f>
        <v>АЛМАТИНСКАЯ</v>
      </c>
      <c r="C105" s="12" t="str">
        <f aca="false">'РПН 01.08 по МО'!C103</f>
        <v>ТОО "ID Senim R"</v>
      </c>
      <c r="D105" s="12" t="str">
        <f aca="false">'РПН 01.08 по МО'!E103</f>
        <v>1952</v>
      </c>
      <c r="E105" s="12" t="str">
        <f aca="false">'РПН 01.08 по МО'!F103</f>
        <v>Карасайский район</v>
      </c>
      <c r="F105" s="13" t="n">
        <f aca="false">'РПН 01.08 по МО'!D103</f>
        <v>29632</v>
      </c>
      <c r="G105" s="14" t="n">
        <f aca="false">INDEX('Расчет Кплотн'!$K:$K,MATCH(D105,'Расчет Кплотн'!$A:$A,0))</f>
        <v>1.0125</v>
      </c>
      <c r="H105" s="14" t="n">
        <f aca="false">INDEX('Расчет Кплотн'!$J:$J,MATCH(D105,'Расчет Кплотн'!$A:$A,0))</f>
        <v>1.0274</v>
      </c>
      <c r="I105" s="3" t="n">
        <f aca="false">F105*Моделирование!$F$3*M105*G105/1000</f>
        <v>607069.761696</v>
      </c>
      <c r="J105" s="3" t="n">
        <f aca="false">F105*Моделирование!$F$3*M105*H105/1000</f>
        <v>616003.430287872</v>
      </c>
      <c r="K105" s="3" t="n">
        <f aca="false">J105-I105</f>
        <v>8933.66859187209</v>
      </c>
      <c r="L105" s="4" t="n">
        <f aca="false">IFERROR(K105/I105,0)</f>
        <v>0.0147160493827162</v>
      </c>
      <c r="M105" s="15" t="n">
        <f aca="false">IF(INDEX('Расчет Кплотн'!$D:$D,MATCH(D105,'Расчет Кплотн'!$A:$A,0))="район",IFERROR(VLOOKUP(INDEX('Расчет Кплотн'!$B:$B,MATCH(D105,'Расчет Кплотн'!$A:$A,0)),'БКПН (приказ 170)'!$A$4:$C$10,3,FALSE()),Моделирование!$F$2),Моделирование!$F$2)</f>
        <v>1686.17</v>
      </c>
    </row>
    <row r="106" customFormat="false" ht="15" hidden="false" customHeight="false" outlineLevel="0" collapsed="false">
      <c r="A106" s="12" t="n">
        <v>101</v>
      </c>
      <c r="B106" s="12" t="str">
        <f aca="false">'РПН 01.08 по МО'!B104</f>
        <v>АЛМАТИНСКАЯ</v>
      </c>
      <c r="C106" s="12" t="str">
        <f aca="false">'РПН 01.08 по МО'!C104</f>
        <v>ТОО "iStore"</v>
      </c>
      <c r="D106" s="12" t="str">
        <f aca="false">'РПН 01.08 по МО'!E104</f>
        <v>1940</v>
      </c>
      <c r="E106" s="12" t="str">
        <f aca="false">'РПН 01.08 по МО'!F104</f>
        <v>Енбекшиказахский район</v>
      </c>
      <c r="F106" s="13" t="n">
        <f aca="false">'РПН 01.08 по МО'!D104</f>
        <v>6167</v>
      </c>
      <c r="G106" s="14" t="n">
        <f aca="false">INDEX('Расчет Кплотн'!$K:$K,MATCH(D106,'Расчет Кплотн'!$A:$A,0))</f>
        <v>1.06</v>
      </c>
      <c r="H106" s="14" t="n">
        <f aca="false">INDEX('Расчет Кплотн'!$J:$J,MATCH(D106,'Расчет Кплотн'!$A:$A,0))</f>
        <v>1.1481</v>
      </c>
      <c r="I106" s="3" t="n">
        <f aca="false">F106*Моделирование!$F$3*M106*G106/1000</f>
        <v>132270.3241608</v>
      </c>
      <c r="J106" s="3" t="n">
        <f aca="false">F106*Моделирование!$F$3*M106*H106/1000</f>
        <v>143263.735065108</v>
      </c>
      <c r="K106" s="3" t="n">
        <f aca="false">J106-I106</f>
        <v>10993.410904308</v>
      </c>
      <c r="L106" s="4" t="n">
        <f aca="false">IFERROR(K106/I106,0)</f>
        <v>0.0831132075471695</v>
      </c>
      <c r="M106" s="15" t="n">
        <f aca="false">IF(INDEX('Расчет Кплотн'!$D:$D,MATCH(D106,'Расчет Кплотн'!$A:$A,0))="район",IFERROR(VLOOKUP(INDEX('Расчет Кплотн'!$B:$B,MATCH(D106,'Расчет Кплотн'!$A:$A,0)),'БКПН (приказ 170)'!$A$4:$C$10,3,FALSE()),Моделирование!$F$2),Моделирование!$F$2)</f>
        <v>1686.17</v>
      </c>
    </row>
    <row r="107" customFormat="false" ht="15" hidden="false" customHeight="false" outlineLevel="0" collapsed="false">
      <c r="A107" s="12" t="n">
        <v>102</v>
      </c>
      <c r="B107" s="12" t="str">
        <f aca="false">'РПН 01.08 по МО'!B105</f>
        <v>АЛМАТИНСКАЯ</v>
      </c>
      <c r="C107" s="12" t="str">
        <f aca="false">'РПН 01.08 по МО'!C105</f>
        <v>ТОО "KazMed Company"</v>
      </c>
      <c r="D107" s="12" t="str">
        <f aca="false">'РПН 01.08 по МО'!E105</f>
        <v>1962</v>
      </c>
      <c r="E107" s="12" t="str">
        <f aca="false">'РПН 01.08 по МО'!F105</f>
        <v>Талгарский район</v>
      </c>
      <c r="F107" s="13" t="n">
        <f aca="false">'РПН 01.08 по МО'!D105</f>
        <v>16271</v>
      </c>
      <c r="G107" s="14" t="n">
        <f aca="false">INDEX('Расчет Кплотн'!$K:$K,MATCH(D107,'Расчет Кплотн'!$A:$A,0))</f>
        <v>1.0307</v>
      </c>
      <c r="H107" s="14" t="n">
        <f aca="false">INDEX('Расчет Кплотн'!$J:$J,MATCH(D107,'Расчет Кплотн'!$A:$A,0))</f>
        <v>1.0604</v>
      </c>
      <c r="I107" s="3" t="n">
        <f aca="false">F107*Моделирование!$F$3*M107*G107/1000</f>
        <v>339335.366430588</v>
      </c>
      <c r="J107" s="3" t="n">
        <f aca="false">F107*Моделирование!$F$3*M107*H107/1000</f>
        <v>349113.439956336</v>
      </c>
      <c r="K107" s="3" t="n">
        <f aca="false">J107-I107</f>
        <v>9778.07352574804</v>
      </c>
      <c r="L107" s="4" t="n">
        <f aca="false">IFERROR(K107/I107,0)</f>
        <v>0.0288153681963715</v>
      </c>
      <c r="M107" s="15" t="n">
        <f aca="false">IF(INDEX('Расчет Кплотн'!$D:$D,MATCH(D107,'Расчет Кплотн'!$A:$A,0))="район",IFERROR(VLOOKUP(INDEX('Расчет Кплотн'!$B:$B,MATCH(D107,'Расчет Кплотн'!$A:$A,0)),'БКПН (приказ 170)'!$A$4:$C$10,3,FALSE()),Моделирование!$F$2),Моделирование!$F$2)</f>
        <v>1686.17</v>
      </c>
    </row>
    <row r="108" customFormat="false" ht="15" hidden="false" customHeight="false" outlineLevel="0" collapsed="false">
      <c r="A108" s="12" t="n">
        <v>103</v>
      </c>
      <c r="B108" s="12" t="str">
        <f aca="false">'РПН 01.08 по МО'!B106</f>
        <v>АЛМАТИНСКАЯ</v>
      </c>
      <c r="C108" s="12" t="str">
        <f aca="false">'РПН 01.08 по МО'!C106</f>
        <v>ТОО "NOVA INVEST" (НОВА ИНВЕСТ)</v>
      </c>
      <c r="D108" s="12" t="str">
        <f aca="false">'РПН 01.08 по МО'!E106</f>
        <v>1962</v>
      </c>
      <c r="E108" s="12" t="str">
        <f aca="false">'РПН 01.08 по МО'!F106</f>
        <v>Талгарский район</v>
      </c>
      <c r="F108" s="13" t="n">
        <f aca="false">'РПН 01.08 по МО'!D106</f>
        <v>47435</v>
      </c>
      <c r="G108" s="14" t="n">
        <f aca="false">INDEX('Расчет Кплотн'!$K:$K,MATCH(D108,'Расчет Кплотн'!$A:$A,0))</f>
        <v>1.0307</v>
      </c>
      <c r="H108" s="14" t="n">
        <f aca="false">INDEX('Расчет Кплотн'!$J:$J,MATCH(D108,'Расчет Кплотн'!$A:$A,0))</f>
        <v>1.0604</v>
      </c>
      <c r="I108" s="3" t="n">
        <f aca="false">F108*Моделирование!$F$3*M108*G108/1000</f>
        <v>989267.59920318</v>
      </c>
      <c r="J108" s="3" t="n">
        <f aca="false">F108*Моделирование!$F$3*M108*H108/1000</f>
        <v>1017773.70931896</v>
      </c>
      <c r="K108" s="3" t="n">
        <f aca="false">J108-I108</f>
        <v>28506.11011578</v>
      </c>
      <c r="L108" s="4" t="n">
        <f aca="false">IFERROR(K108/I108,0)</f>
        <v>0.0288153681963714</v>
      </c>
      <c r="M108" s="15" t="n">
        <f aca="false">IF(INDEX('Расчет Кплотн'!$D:$D,MATCH(D108,'Расчет Кплотн'!$A:$A,0))="район",IFERROR(VLOOKUP(INDEX('Расчет Кплотн'!$B:$B,MATCH(D108,'Расчет Кплотн'!$A:$A,0)),'БКПН (приказ 170)'!$A$4:$C$10,3,FALSE()),Моделирование!$F$2),Моделирование!$F$2)</f>
        <v>1686.17</v>
      </c>
    </row>
    <row r="109" customFormat="false" ht="15" hidden="false" customHeight="false" outlineLevel="0" collapsed="false">
      <c r="A109" s="12" t="n">
        <v>104</v>
      </c>
      <c r="B109" s="12" t="str">
        <f aca="false">'РПН 01.08 по МО'!B107</f>
        <v>АЛМАТИНСКАЯ</v>
      </c>
      <c r="C109" s="12" t="str">
        <f aca="false">'РПН 01.08 по МО'!C107</f>
        <v>ТОО "Promedical2021"</v>
      </c>
      <c r="D109" s="12" t="str">
        <f aca="false">'РПН 01.08 по МО'!E107</f>
        <v>1962</v>
      </c>
      <c r="E109" s="12" t="str">
        <f aca="false">'РПН 01.08 по МО'!F107</f>
        <v>Талгарский район</v>
      </c>
      <c r="F109" s="13" t="n">
        <f aca="false">'РПН 01.08 по МО'!D107</f>
        <v>24248</v>
      </c>
      <c r="G109" s="14" t="n">
        <f aca="false">INDEX('Расчет Кплотн'!$K:$K,MATCH(D109,'Расчет Кплотн'!$A:$A,0))</f>
        <v>1.0307</v>
      </c>
      <c r="H109" s="14" t="n">
        <f aca="false">INDEX('Расчет Кплотн'!$J:$J,MATCH(D109,'Расчет Кплотн'!$A:$A,0))</f>
        <v>1.0604</v>
      </c>
      <c r="I109" s="3" t="n">
        <f aca="false">F109*Моделирование!$F$3*M109*G109/1000</f>
        <v>505697.496478944</v>
      </c>
      <c r="J109" s="3" t="n">
        <f aca="false">F109*Моделирование!$F$3*M109*H109/1000</f>
        <v>520269.356035968</v>
      </c>
      <c r="K109" s="3" t="n">
        <f aca="false">J109-I109</f>
        <v>14571.859557024</v>
      </c>
      <c r="L109" s="4" t="n">
        <f aca="false">IFERROR(K109/I109,0)</f>
        <v>0.0288153681963713</v>
      </c>
      <c r="M109" s="15" t="n">
        <f aca="false">IF(INDEX('Расчет Кплотн'!$D:$D,MATCH(D109,'Расчет Кплотн'!$A:$A,0))="район",IFERROR(VLOOKUP(INDEX('Расчет Кплотн'!$B:$B,MATCH(D109,'Расчет Кплотн'!$A:$A,0)),'БКПН (приказ 170)'!$A$4:$C$10,3,FALSE()),Моделирование!$F$2),Моделирование!$F$2)</f>
        <v>1686.17</v>
      </c>
    </row>
    <row r="110" customFormat="false" ht="15" hidden="false" customHeight="false" outlineLevel="0" collapsed="false">
      <c r="A110" s="12" t="n">
        <v>105</v>
      </c>
      <c r="B110" s="12" t="str">
        <f aca="false">'РПН 01.08 по МО'!B108</f>
        <v>АЛМАТИНСКАЯ</v>
      </c>
      <c r="C110" s="12" t="str">
        <f aca="false">'РПН 01.08 по МО'!C108</f>
        <v>ТОО "RGK med"</v>
      </c>
      <c r="D110" s="12" t="str">
        <f aca="false">'РПН 01.08 по МО'!E108</f>
        <v>1918</v>
      </c>
      <c r="E110" s="12" t="str">
        <f aca="false">'РПН 01.08 по МО'!F108</f>
        <v>Алатау</v>
      </c>
      <c r="F110" s="13" t="n">
        <f aca="false">'РПН 01.08 по МО'!D108</f>
        <v>7903</v>
      </c>
      <c r="G110" s="14" t="n">
        <f aca="false">INDEX('Расчет Кплотн'!$K:$K,MATCH(D110,'Расчет Кплотн'!$A:$A,0))</f>
        <v>1.0598</v>
      </c>
      <c r="H110" s="14" t="n">
        <f aca="false">INDEX('Расчет Кплотн'!$J:$J,MATCH(D110,'Расчет Кплотн'!$A:$A,0))</f>
        <v>1.5</v>
      </c>
      <c r="I110" s="3" t="n">
        <f aca="false">F110*Моделирование!$F$3*M110*G110/1000</f>
        <v>169472.213283576</v>
      </c>
      <c r="J110" s="3" t="n">
        <f aca="false">F110*Моделирование!$F$3*M110*H110/1000</f>
        <v>239864.42718</v>
      </c>
      <c r="K110" s="3" t="n">
        <f aca="false">J110-I110</f>
        <v>70392.213896424</v>
      </c>
      <c r="L110" s="4" t="n">
        <f aca="false">IFERROR(K110/I110,0)</f>
        <v>0.41536138894131</v>
      </c>
      <c r="M110" s="15" t="n">
        <f aca="false">IF(INDEX('Расчет Кплотн'!$D:$D,MATCH(D110,'Расчет Кплотн'!$A:$A,0))="район",IFERROR(VLOOKUP(INDEX('Расчет Кплотн'!$B:$B,MATCH(D110,'Расчет Кплотн'!$A:$A,0)),'БКПН (приказ 170)'!$A$4:$C$10,3,FALSE()),Моделирование!$F$2),Моделирование!$F$2)</f>
        <v>1686.17</v>
      </c>
    </row>
    <row r="111" customFormat="false" ht="15" hidden="false" customHeight="false" outlineLevel="0" collapsed="false">
      <c r="A111" s="12" t="n">
        <v>106</v>
      </c>
      <c r="B111" s="12" t="str">
        <f aca="false">'РПН 01.08 по МО'!B109</f>
        <v>АЛМАТИНСКАЯ</v>
      </c>
      <c r="C111" s="12" t="str">
        <f aca="false">'РПН 01.08 по МО'!C109</f>
        <v>ТОО "Городской центр семейной медицины"</v>
      </c>
      <c r="D111" s="12" t="str">
        <f aca="false">'РПН 01.08 по МО'!E109</f>
        <v>1910</v>
      </c>
      <c r="E111" s="12" t="str">
        <f aca="false">'РПН 01.08 по МО'!F109</f>
        <v>Қонаев</v>
      </c>
      <c r="F111" s="13" t="n">
        <f aca="false">'РПН 01.08 по МО'!D109</f>
        <v>9044</v>
      </c>
      <c r="G111" s="14" t="n">
        <f aca="false">INDEX('Расчет Кплотн'!$K:$K,MATCH(D111,'Расчет Кплотн'!$A:$A,0))</f>
        <v>1</v>
      </c>
      <c r="H111" s="14" t="n">
        <f aca="false">INDEX('Расчет Кплотн'!$J:$J,MATCH(D111,'Расчет Кплотн'!$A:$A,0))</f>
        <v>1</v>
      </c>
      <c r="I111" s="3" t="n">
        <f aca="false">F111*Моделирование!$F$3*M111*G111/1000</f>
        <v>182996.65776</v>
      </c>
      <c r="J111" s="3" t="n">
        <f aca="false">F111*Моделирование!$F$3*M111*H111/1000</f>
        <v>182996.65776</v>
      </c>
      <c r="K111" s="3" t="n">
        <f aca="false">J111-I111</f>
        <v>0</v>
      </c>
      <c r="L111" s="4" t="n">
        <f aca="false">IFERROR(K111/I111,0)</f>
        <v>0</v>
      </c>
      <c r="M111" s="15" t="n">
        <f aca="false">IF(INDEX('Расчет Кплотн'!$D:$D,MATCH(D111,'Расчет Кплотн'!$A:$A,0))="район",IFERROR(VLOOKUP(INDEX('Расчет Кплотн'!$B:$B,MATCH(D111,'Расчет Кплотн'!$A:$A,0)),'БКПН (приказ 170)'!$A$4:$C$10,3,FALSE()),Моделирование!$F$2),Моделирование!$F$2)</f>
        <v>1686.17</v>
      </c>
    </row>
    <row r="112" customFormat="false" ht="15" hidden="false" customHeight="false" outlineLevel="0" collapsed="false">
      <c r="A112" s="12" t="n">
        <v>107</v>
      </c>
      <c r="B112" s="12" t="str">
        <f aca="false">'РПН 01.08 по МО'!B110</f>
        <v>АЛМАТИНСКАЯ</v>
      </c>
      <c r="C112" s="12" t="str">
        <f aca="false">'РПН 01.08 по МО'!C110</f>
        <v>ТОО "Бакай-1"</v>
      </c>
      <c r="D112" s="12" t="str">
        <f aca="false">'РПН 01.08 по МО'!E110</f>
        <v>1940</v>
      </c>
      <c r="E112" s="12" t="str">
        <f aca="false">'РПН 01.08 по МО'!F110</f>
        <v>Енбекшиказахский район</v>
      </c>
      <c r="F112" s="13" t="n">
        <f aca="false">'РПН 01.08 по МО'!D110</f>
        <v>7077</v>
      </c>
      <c r="G112" s="14" t="n">
        <f aca="false">INDEX('Расчет Кплотн'!$K:$K,MATCH(D112,'Расчет Кплотн'!$A:$A,0))</f>
        <v>1.06</v>
      </c>
      <c r="H112" s="14" t="n">
        <f aca="false">INDEX('Расчет Кплотн'!$J:$J,MATCH(D112,'Расчет Кплотн'!$A:$A,0))</f>
        <v>1.1481</v>
      </c>
      <c r="I112" s="3" t="n">
        <f aca="false">F112*Моделирование!$F$3*M112*G112/1000</f>
        <v>151788.0791448</v>
      </c>
      <c r="J112" s="3" t="n">
        <f aca="false">F112*Моделирование!$F$3*M112*H112/1000</f>
        <v>164403.673269948</v>
      </c>
      <c r="K112" s="3" t="n">
        <f aca="false">J112-I112</f>
        <v>12615.594125148</v>
      </c>
      <c r="L112" s="4" t="n">
        <f aca="false">IFERROR(K112/I112,0)</f>
        <v>0.08311320754717</v>
      </c>
      <c r="M112" s="15" t="n">
        <f aca="false">IF(INDEX('Расчет Кплотн'!$D:$D,MATCH(D112,'Расчет Кплотн'!$A:$A,0))="район",IFERROR(VLOOKUP(INDEX('Расчет Кплотн'!$B:$B,MATCH(D112,'Расчет Кплотн'!$A:$A,0)),'БКПН (приказ 170)'!$A$4:$C$10,3,FALSE()),Моделирование!$F$2),Моделирование!$F$2)</f>
        <v>1686.17</v>
      </c>
    </row>
    <row r="113" customFormat="false" ht="15" hidden="false" customHeight="false" outlineLevel="0" collapsed="false">
      <c r="A113" s="12" t="n">
        <v>108</v>
      </c>
      <c r="B113" s="12" t="str">
        <f aca="false">'РПН 01.08 по МО'!B111</f>
        <v>АЛМАТИНСКАЯ</v>
      </c>
      <c r="C113" s="12" t="str">
        <f aca="false">'РПН 01.08 по МО'!C111</f>
        <v>ТОО "Медицинский центр ЖАНҰЯ ЖҰМАБЕК Мед"</v>
      </c>
      <c r="D113" s="12" t="str">
        <f aca="false">'РПН 01.08 по МО'!E111</f>
        <v>1952</v>
      </c>
      <c r="E113" s="12" t="str">
        <f aca="false">'РПН 01.08 по МО'!F111</f>
        <v>Карасайский район</v>
      </c>
      <c r="F113" s="13" t="n">
        <f aca="false">'РПН 01.08 по МО'!D111</f>
        <v>15136</v>
      </c>
      <c r="G113" s="14" t="n">
        <f aca="false">INDEX('Расчет Кплотн'!$K:$K,MATCH(D113,'Расчет Кплотн'!$A:$A,0))</f>
        <v>1.0125</v>
      </c>
      <c r="H113" s="14" t="n">
        <f aca="false">INDEX('Расчет Кплотн'!$J:$J,MATCH(D113,'Расчет Кплотн'!$A:$A,0))</f>
        <v>1.0274</v>
      </c>
      <c r="I113" s="3" t="n">
        <f aca="false">F113*Моделирование!$F$3*M113*G113/1000</f>
        <v>310090.709808</v>
      </c>
      <c r="J113" s="3" t="n">
        <f aca="false">F113*Моделирование!$F$3*M113*H113/1000</f>
        <v>314654.020006656</v>
      </c>
      <c r="K113" s="3" t="n">
        <f aca="false">J113-I113</f>
        <v>4563.31019865611</v>
      </c>
      <c r="L113" s="4" t="n">
        <f aca="false">IFERROR(K113/I113,0)</f>
        <v>0.0147160493827164</v>
      </c>
      <c r="M113" s="15" t="n">
        <f aca="false">IF(INDEX('Расчет Кплотн'!$D:$D,MATCH(D113,'Расчет Кплотн'!$A:$A,0))="район",IFERROR(VLOOKUP(INDEX('Расчет Кплотн'!$B:$B,MATCH(D113,'Расчет Кплотн'!$A:$A,0)),'БКПН (приказ 170)'!$A$4:$C$10,3,FALSE()),Моделирование!$F$2),Моделирование!$F$2)</f>
        <v>1686.17</v>
      </c>
    </row>
    <row r="114" customFormat="false" ht="15" hidden="false" customHeight="false" outlineLevel="0" collapsed="false">
      <c r="A114" s="12" t="n">
        <v>109</v>
      </c>
      <c r="B114" s="12" t="str">
        <f aca="false">'РПН 01.08 по МО'!B112</f>
        <v>АЛМАТИНСКАЯ</v>
      </c>
      <c r="C114" s="12" t="str">
        <f aca="false">'РПН 01.08 по МО'!C112</f>
        <v>ТОО "ТАХЕТ"</v>
      </c>
      <c r="D114" s="12" t="str">
        <f aca="false">'РПН 01.08 по МО'!E112</f>
        <v>1940</v>
      </c>
      <c r="E114" s="12" t="str">
        <f aca="false">'РПН 01.08 по МО'!F112</f>
        <v>Енбекшиказахский район</v>
      </c>
      <c r="F114" s="13" t="n">
        <f aca="false">'РПН 01.08 по МО'!D112</f>
        <v>13373</v>
      </c>
      <c r="G114" s="14" t="n">
        <f aca="false">INDEX('Расчет Кплотн'!$K:$K,MATCH(D114,'Расчет Кплотн'!$A:$A,0))</f>
        <v>1.06</v>
      </c>
      <c r="H114" s="14" t="n">
        <f aca="false">INDEX('Расчет Кплотн'!$J:$J,MATCH(D114,'Расчет Кплотн'!$A:$A,0))</f>
        <v>1.1481</v>
      </c>
      <c r="I114" s="3" t="n">
        <f aca="false">F114*Моделирование!$F$3*M114*G114/1000</f>
        <v>286825.2059352</v>
      </c>
      <c r="J114" s="3" t="n">
        <f aca="false">F114*Моделирование!$F$3*M114*H114/1000</f>
        <v>310664.168805852</v>
      </c>
      <c r="K114" s="3" t="n">
        <f aca="false">J114-I114</f>
        <v>23838.962870652</v>
      </c>
      <c r="L114" s="4" t="n">
        <f aca="false">IFERROR(K114/I114,0)</f>
        <v>0.0831132075471697</v>
      </c>
      <c r="M114" s="15" t="n">
        <f aca="false">IF(INDEX('Расчет Кплотн'!$D:$D,MATCH(D114,'Расчет Кплотн'!$A:$A,0))="район",IFERROR(VLOOKUP(INDEX('Расчет Кплотн'!$B:$B,MATCH(D114,'Расчет Кплотн'!$A:$A,0)),'БКПН (приказ 170)'!$A$4:$C$10,3,FALSE()),Моделирование!$F$2),Моделирование!$F$2)</f>
        <v>1686.17</v>
      </c>
    </row>
    <row r="115" customFormat="false" ht="15" hidden="false" customHeight="false" outlineLevel="0" collapsed="false">
      <c r="A115" s="12" t="n">
        <v>110</v>
      </c>
      <c r="B115" s="12" t="str">
        <f aca="false">'РПН 01.08 по МО'!B113</f>
        <v>АЛМАТИНСКАЯ</v>
      </c>
      <c r="C115" s="12" t="str">
        <f aca="false">'РПН 01.08 по МО'!C113</f>
        <v>ТОО "ТОО "Talgar Clinic""</v>
      </c>
      <c r="D115" s="12" t="str">
        <f aca="false">'РПН 01.08 по МО'!E113</f>
        <v>1962</v>
      </c>
      <c r="E115" s="12" t="str">
        <f aca="false">'РПН 01.08 по МО'!F113</f>
        <v>Талгарский район</v>
      </c>
      <c r="F115" s="13" t="n">
        <f aca="false">'РПН 01.08 по МО'!D113</f>
        <v>12129</v>
      </c>
      <c r="G115" s="14" t="n">
        <f aca="false">INDEX('Расчет Кплотн'!$K:$K,MATCH(D115,'Расчет Кплотн'!$A:$A,0))</f>
        <v>1.0307</v>
      </c>
      <c r="H115" s="14" t="n">
        <f aca="false">INDEX('Расчет Кплотн'!$J:$J,MATCH(D115,'Расчет Кплотн'!$A:$A,0))</f>
        <v>1.0604</v>
      </c>
      <c r="I115" s="3" t="n">
        <f aca="false">F115*Моделирование!$F$3*M115*G115/1000</f>
        <v>252953.024364612</v>
      </c>
      <c r="J115" s="3" t="n">
        <f aca="false">F115*Моделирование!$F$3*M115*H115/1000</f>
        <v>260241.958898064</v>
      </c>
      <c r="K115" s="3" t="n">
        <f aca="false">J115-I115</f>
        <v>7288.934533452</v>
      </c>
      <c r="L115" s="4" t="n">
        <f aca="false">IFERROR(K115/I115,0)</f>
        <v>0.0288153681963714</v>
      </c>
      <c r="M115" s="15" t="n">
        <f aca="false">IF(INDEX('Расчет Кплотн'!$D:$D,MATCH(D115,'Расчет Кплотн'!$A:$A,0))="район",IFERROR(VLOOKUP(INDEX('Расчет Кплотн'!$B:$B,MATCH(D115,'Расчет Кплотн'!$A:$A,0)),'БКПН (приказ 170)'!$A$4:$C$10,3,FALSE()),Моделирование!$F$2),Моделирование!$F$2)</f>
        <v>1686.17</v>
      </c>
    </row>
    <row r="116" customFormat="false" ht="15" hidden="false" customHeight="false" outlineLevel="0" collapsed="false">
      <c r="A116" s="12" t="n">
        <v>111</v>
      </c>
      <c r="B116" s="12" t="str">
        <f aca="false">'РПН 01.08 по МО'!B114</f>
        <v>АЛМАТИНСКАЯ</v>
      </c>
      <c r="C116" s="12" t="str">
        <f aca="false">'РПН 01.08 по МО'!C114</f>
        <v>ТОО "Daulet medical center"</v>
      </c>
      <c r="D116" s="12" t="str">
        <f aca="false">'РПН 01.08 по МО'!E114</f>
        <v>1968</v>
      </c>
      <c r="E116" s="12" t="str">
        <f aca="false">'РПН 01.08 по МО'!F114</f>
        <v>Илийский район</v>
      </c>
      <c r="F116" s="13" t="n">
        <f aca="false">'РПН 01.08 по МО'!D114</f>
        <v>22327</v>
      </c>
      <c r="G116" s="14" t="n">
        <f aca="false">INDEX('Расчет Кплотн'!$K:$K,MATCH(D116,'Расчет Кплотн'!$A:$A,0))</f>
        <v>1.0598</v>
      </c>
      <c r="H116" s="14" t="n">
        <f aca="false">INDEX('Расчет Кплотн'!$J:$J,MATCH(D116,'Расчет Кплотн'!$A:$A,0))</f>
        <v>1.1313</v>
      </c>
      <c r="I116" s="3" t="n">
        <f aca="false">F116*Моделирование!$F$3*M116*G116/1000</f>
        <v>478780.982662584</v>
      </c>
      <c r="J116" s="3" t="n">
        <f aca="false">F116*Моделирование!$F$3*M116*H116/1000</f>
        <v>511082.209554804</v>
      </c>
      <c r="K116" s="3" t="n">
        <f aca="false">J116-I116</f>
        <v>32301.22689222</v>
      </c>
      <c r="L116" s="4" t="n">
        <f aca="false">IFERROR(K116/I116,0)</f>
        <v>0.0674655595395357</v>
      </c>
      <c r="M116" s="15" t="n">
        <f aca="false">IF(INDEX('Расчет Кплотн'!$D:$D,MATCH(D116,'Расчет Кплотн'!$A:$A,0))="район",IFERROR(VLOOKUP(INDEX('Расчет Кплотн'!$B:$B,MATCH(D116,'Расчет Кплотн'!$A:$A,0)),'БКПН (приказ 170)'!$A$4:$C$10,3,FALSE()),Моделирование!$F$2),Моделирование!$F$2)</f>
        <v>1686.17</v>
      </c>
    </row>
    <row r="117" customFormat="false" ht="15" hidden="false" customHeight="false" outlineLevel="0" collapsed="false">
      <c r="A117" s="12" t="n">
        <v>112</v>
      </c>
      <c r="B117" s="12" t="str">
        <f aca="false">'РПН 01.08 по МО'!B115</f>
        <v>АЛМАТИНСКАЯ</v>
      </c>
      <c r="C117" s="12" t="str">
        <f aca="false">'РПН 01.08 по МО'!C115</f>
        <v>У-е "Каскеленский платный медицинский центр"</v>
      </c>
      <c r="D117" s="12" t="str">
        <f aca="false">'РПН 01.08 по МО'!E115</f>
        <v>1952</v>
      </c>
      <c r="E117" s="12" t="str">
        <f aca="false">'РПН 01.08 по МО'!F115</f>
        <v>Карасайский район</v>
      </c>
      <c r="F117" s="13" t="n">
        <f aca="false">'РПН 01.08 по МО'!D115</f>
        <v>3488</v>
      </c>
      <c r="G117" s="14" t="n">
        <f aca="false">INDEX('Расчет Кплотн'!$K:$K,MATCH(D117,'Расчет Кплотн'!$A:$A,0))</f>
        <v>1.0125</v>
      </c>
      <c r="H117" s="14" t="n">
        <f aca="false">INDEX('Расчет Кплотн'!$J:$J,MATCH(D117,'Расчет Кплотн'!$A:$A,0))</f>
        <v>1.0274</v>
      </c>
      <c r="I117" s="3" t="n">
        <f aca="false">F117*Моделирование!$F$3*M117*G117/1000</f>
        <v>71458.535664</v>
      </c>
      <c r="J117" s="3" t="n">
        <f aca="false">F117*Моделирование!$F$3*M117*H117/1000</f>
        <v>72510.123003648</v>
      </c>
      <c r="K117" s="3" t="n">
        <f aca="false">J117-I117</f>
        <v>1051.587339648</v>
      </c>
      <c r="L117" s="4" t="n">
        <f aca="false">IFERROR(K117/I117,0)</f>
        <v>0.0147160493827161</v>
      </c>
      <c r="M117" s="15" t="n">
        <f aca="false">IF(INDEX('Расчет Кплотн'!$D:$D,MATCH(D117,'Расчет Кплотн'!$A:$A,0))="район",IFERROR(VLOOKUP(INDEX('Расчет Кплотн'!$B:$B,MATCH(D117,'Расчет Кплотн'!$A:$A,0)),'БКПН (приказ 170)'!$A$4:$C$10,3,FALSE()),Моделирование!$F$2),Моделирование!$F$2)</f>
        <v>1686.17</v>
      </c>
    </row>
    <row r="118" customFormat="false" ht="15" hidden="false" customHeight="false" outlineLevel="0" collapsed="false">
      <c r="A118" s="12" t="n">
        <v>113</v>
      </c>
      <c r="B118" s="12" t="str">
        <f aca="false">'РПН 01.08 по МО'!B116</f>
        <v>АЛМАТИНСКАЯ</v>
      </c>
      <c r="C118" s="12" t="str">
        <f aca="false">'РПН 01.08 по МО'!C116</f>
        <v>ТОО "Алат С"</v>
      </c>
      <c r="D118" s="12" t="str">
        <f aca="false">'РПН 01.08 по МО'!E116</f>
        <v>1952</v>
      </c>
      <c r="E118" s="12" t="str">
        <f aca="false">'РПН 01.08 по МО'!F116</f>
        <v>Карасайский район</v>
      </c>
      <c r="F118" s="13" t="n">
        <f aca="false">'РПН 01.08 по МО'!D116</f>
        <v>21513</v>
      </c>
      <c r="G118" s="14" t="n">
        <f aca="false">INDEX('Расчет Кплотн'!$K:$K,MATCH(D118,'Расчет Кплотн'!$A:$A,0))</f>
        <v>1.0125</v>
      </c>
      <c r="H118" s="14" t="n">
        <f aca="false">INDEX('Расчет Кплотн'!$J:$J,MATCH(D118,'Расчет Кплотн'!$A:$A,0))</f>
        <v>1.0274</v>
      </c>
      <c r="I118" s="3" t="n">
        <f aca="false">F118*Моделирование!$F$3*M118*G118/1000</f>
        <v>440736.0888015</v>
      </c>
      <c r="J118" s="3" t="n">
        <f aca="false">F118*Моделирование!$F$3*M118*H118/1000</f>
        <v>447221.982849048</v>
      </c>
      <c r="K118" s="3" t="n">
        <f aca="false">J118-I118</f>
        <v>6485.89404754806</v>
      </c>
      <c r="L118" s="4" t="n">
        <f aca="false">IFERROR(K118/I118,0)</f>
        <v>0.0147160493827162</v>
      </c>
      <c r="M118" s="15" t="n">
        <f aca="false">IF(INDEX('Расчет Кплотн'!$D:$D,MATCH(D118,'Расчет Кплотн'!$A:$A,0))="район",IFERROR(VLOOKUP(INDEX('Расчет Кплотн'!$B:$B,MATCH(D118,'Расчет Кплотн'!$A:$A,0)),'БКПН (приказ 170)'!$A$4:$C$10,3,FALSE()),Моделирование!$F$2),Моделирование!$F$2)</f>
        <v>1686.17</v>
      </c>
    </row>
    <row r="119" customFormat="false" ht="15" hidden="false" customHeight="false" outlineLevel="0" collapsed="false">
      <c r="A119" s="12" t="n">
        <v>114</v>
      </c>
      <c r="B119" s="12" t="str">
        <f aca="false">'РПН 01.08 по МО'!B117</f>
        <v>АЛМАТИНСКАЯ</v>
      </c>
      <c r="C119" s="12" t="str">
        <f aca="false">'РПН 01.08 по МО'!C117</f>
        <v>ТОО "CK-MED"</v>
      </c>
      <c r="D119" s="12" t="str">
        <f aca="false">'РПН 01.08 по МО'!E117</f>
        <v>1952</v>
      </c>
      <c r="E119" s="12" t="str">
        <f aca="false">'РПН 01.08 по МО'!F117</f>
        <v>Карасайский район</v>
      </c>
      <c r="F119" s="13" t="n">
        <f aca="false">'РПН 01.08 по МО'!D117</f>
        <v>9239</v>
      </c>
      <c r="G119" s="14" t="n">
        <f aca="false">INDEX('Расчет Кплотн'!$K:$K,MATCH(D119,'Расчет Кплотн'!$A:$A,0))</f>
        <v>1.0125</v>
      </c>
      <c r="H119" s="14" t="n">
        <f aca="false">INDEX('Расчет Кплотн'!$J:$J,MATCH(D119,'Расчет Кплотн'!$A:$A,0))</f>
        <v>1.0274</v>
      </c>
      <c r="I119" s="3" t="n">
        <f aca="false">F119*Моделирование!$F$3*M119*G119/1000</f>
        <v>189279.0742545</v>
      </c>
      <c r="J119" s="3" t="n">
        <f aca="false">F119*Моделирование!$F$3*M119*H119/1000</f>
        <v>192064.514458344</v>
      </c>
      <c r="K119" s="3" t="n">
        <f aca="false">J119-I119</f>
        <v>2785.44020384402</v>
      </c>
      <c r="L119" s="4" t="n">
        <f aca="false">IFERROR(K119/I119,0)</f>
        <v>0.0147160493827161</v>
      </c>
      <c r="M119" s="15" t="n">
        <f aca="false">IF(INDEX('Расчет Кплотн'!$D:$D,MATCH(D119,'Расчет Кплотн'!$A:$A,0))="район",IFERROR(VLOOKUP(INDEX('Расчет Кплотн'!$B:$B,MATCH(D119,'Расчет Кплотн'!$A:$A,0)),'БКПН (приказ 170)'!$A$4:$C$10,3,FALSE()),Моделирование!$F$2),Моделирование!$F$2)</f>
        <v>1686.17</v>
      </c>
    </row>
    <row r="120" customFormat="false" ht="15" hidden="false" customHeight="false" outlineLevel="0" collapsed="false">
      <c r="A120" s="12" t="n">
        <v>115</v>
      </c>
      <c r="B120" s="12" t="str">
        <f aca="false">'РПН 01.08 по МО'!B118</f>
        <v>АЛМАТИНСКАЯ</v>
      </c>
      <c r="C120" s="12" t="str">
        <f aca="false">'РПН 01.08 по МО'!C118</f>
        <v>ТОО "TabibMed"</v>
      </c>
      <c r="D120" s="12" t="str">
        <f aca="false">'РПН 01.08 по МО'!E118</f>
        <v>1940</v>
      </c>
      <c r="E120" s="12" t="str">
        <f aca="false">'РПН 01.08 по МО'!F118</f>
        <v>Енбекшиказахский район</v>
      </c>
      <c r="F120" s="13" t="n">
        <f aca="false">'РПН 01.08 по МО'!D118</f>
        <v>22222</v>
      </c>
      <c r="G120" s="14" t="n">
        <f aca="false">INDEX('Расчет Кплотн'!$K:$K,MATCH(D120,'Расчет Кплотн'!$A:$A,0))</f>
        <v>1.06</v>
      </c>
      <c r="H120" s="14" t="n">
        <f aca="false">INDEX('Расчет Кплотн'!$J:$J,MATCH(D120,'Расчет Кплотн'!$A:$A,0))</f>
        <v>1.1481</v>
      </c>
      <c r="I120" s="3" t="n">
        <f aca="false">F120*Моделирование!$F$3*M120*G120/1000</f>
        <v>476619.2870928</v>
      </c>
      <c r="J120" s="3" t="n">
        <f aca="false">F120*Моделирование!$F$3*M120*H120/1000</f>
        <v>516232.644821928</v>
      </c>
      <c r="K120" s="3" t="n">
        <f aca="false">J120-I120</f>
        <v>39613.3577291279</v>
      </c>
      <c r="L120" s="4" t="n">
        <f aca="false">IFERROR(K120/I120,0)</f>
        <v>0.0831132075471696</v>
      </c>
      <c r="M120" s="15" t="n">
        <f aca="false">IF(INDEX('Расчет Кплотн'!$D:$D,MATCH(D120,'Расчет Кплотн'!$A:$A,0))="район",IFERROR(VLOOKUP(INDEX('Расчет Кплотн'!$B:$B,MATCH(D120,'Расчет Кплотн'!$A:$A,0)),'БКПН (приказ 170)'!$A$4:$C$10,3,FALSE()),Моделирование!$F$2),Моделирование!$F$2)</f>
        <v>1686.17</v>
      </c>
    </row>
    <row r="121" customFormat="false" ht="15" hidden="false" customHeight="false" outlineLevel="0" collapsed="false">
      <c r="A121" s="12" t="n">
        <v>116</v>
      </c>
      <c r="B121" s="12" t="str">
        <f aca="false">'РПН 01.08 по МО'!B119</f>
        <v>АЛМАТИНСКАЯ</v>
      </c>
      <c r="C121" s="12" t="str">
        <f aca="false">'РПН 01.08 по МО'!C119</f>
        <v>ТОО "ALMASEMED"</v>
      </c>
      <c r="D121" s="12" t="str">
        <f aca="false">'РПН 01.08 по МО'!E119</f>
        <v>1952</v>
      </c>
      <c r="E121" s="12" t="str">
        <f aca="false">'РПН 01.08 по МО'!F119</f>
        <v>Карасайский район</v>
      </c>
      <c r="F121" s="13" t="n">
        <f aca="false">'РПН 01.08 по МО'!D119</f>
        <v>4388</v>
      </c>
      <c r="G121" s="14" t="n">
        <f aca="false">INDEX('Расчет Кплотн'!$K:$K,MATCH(D121,'Расчет Кплотн'!$A:$A,0))</f>
        <v>1.0125</v>
      </c>
      <c r="H121" s="14" t="n">
        <f aca="false">INDEX('Расчет Кплотн'!$J:$J,MATCH(D121,'Расчет Кплотн'!$A:$A,0))</f>
        <v>1.0274</v>
      </c>
      <c r="I121" s="3" t="n">
        <f aca="false">F121*Моделирование!$F$3*M121*G121/1000</f>
        <v>89896.804614</v>
      </c>
      <c r="J121" s="3" t="n">
        <f aca="false">F121*Моделирование!$F$3*M121*H121/1000</f>
        <v>91219.730430048</v>
      </c>
      <c r="K121" s="3" t="n">
        <f aca="false">J121-I121</f>
        <v>1322.92581604801</v>
      </c>
      <c r="L121" s="4" t="n">
        <f aca="false">IFERROR(K121/I121,0)</f>
        <v>0.0147160493827162</v>
      </c>
      <c r="M121" s="15" t="n">
        <f aca="false">IF(INDEX('Расчет Кплотн'!$D:$D,MATCH(D121,'Расчет Кплотн'!$A:$A,0))="район",IFERROR(VLOOKUP(INDEX('Расчет Кплотн'!$B:$B,MATCH(D121,'Расчет Кплотн'!$A:$A,0)),'БКПН (приказ 170)'!$A$4:$C$10,3,FALSE()),Моделирование!$F$2),Моделирование!$F$2)</f>
        <v>1686.17</v>
      </c>
    </row>
    <row r="122" customFormat="false" ht="15" hidden="false" customHeight="false" outlineLevel="0" collapsed="false">
      <c r="A122" s="12" t="n">
        <v>117</v>
      </c>
      <c r="B122" s="12" t="str">
        <f aca="false">'РПН 01.08 по МО'!B120</f>
        <v>АЛМАТИНСКАЯ</v>
      </c>
      <c r="C122" s="12" t="str">
        <f aca="false">'РПН 01.08 по МО'!C120</f>
        <v>ТОО "ASMS Farm"</v>
      </c>
      <c r="D122" s="12" t="str">
        <f aca="false">'РПН 01.08 по МО'!E120</f>
        <v>1962</v>
      </c>
      <c r="E122" s="12" t="str">
        <f aca="false">'РПН 01.08 по МО'!F120</f>
        <v>Талгарский район</v>
      </c>
      <c r="F122" s="13" t="n">
        <f aca="false">'РПН 01.08 по МО'!D120</f>
        <v>5899</v>
      </c>
      <c r="G122" s="14" t="n">
        <f aca="false">INDEX('Расчет Кплотн'!$K:$K,MATCH(D122,'Расчет Кплотн'!$A:$A,0))</f>
        <v>1.0307</v>
      </c>
      <c r="H122" s="14" t="n">
        <f aca="false">INDEX('Расчет Кплотн'!$J:$J,MATCH(D122,'Расчет Кплотн'!$A:$A,0))</f>
        <v>1.0604</v>
      </c>
      <c r="I122" s="3" t="n">
        <f aca="false">F122*Моделирование!$F$3*M122*G122/1000</f>
        <v>123024.972440172</v>
      </c>
      <c r="J122" s="3" t="n">
        <f aca="false">F122*Моделирование!$F$3*M122*H122/1000</f>
        <v>126569.982318384</v>
      </c>
      <c r="K122" s="3" t="n">
        <f aca="false">J122-I122</f>
        <v>3545.009878212</v>
      </c>
      <c r="L122" s="4" t="n">
        <f aca="false">IFERROR(K122/I122,0)</f>
        <v>0.0288153681963714</v>
      </c>
      <c r="M122" s="15" t="n">
        <f aca="false">IF(INDEX('Расчет Кплотн'!$D:$D,MATCH(D122,'Расчет Кплотн'!$A:$A,0))="район",IFERROR(VLOOKUP(INDEX('Расчет Кплотн'!$B:$B,MATCH(D122,'Расчет Кплотн'!$A:$A,0)),'БКПН (приказ 170)'!$A$4:$C$10,3,FALSE()),Моделирование!$F$2),Моделирование!$F$2)</f>
        <v>1686.17</v>
      </c>
    </row>
    <row r="123" customFormat="false" ht="15" hidden="false" customHeight="false" outlineLevel="0" collapsed="false">
      <c r="A123" s="12" t="n">
        <v>118</v>
      </c>
      <c r="B123" s="12" t="str">
        <f aca="false">'РПН 01.08 по МО'!B121</f>
        <v>АЛМАТИНСКАЯ</v>
      </c>
      <c r="C123" s="12" t="str">
        <f aca="false">'РПН 01.08 по МО'!C121</f>
        <v>ГКП на ПВХ "Уйгурская центральная районная больница" ГУ "Управление здравоохранения Алматинской области"</v>
      </c>
      <c r="D123" s="12" t="str">
        <f aca="false">'РПН 01.08 по МО'!E121</f>
        <v>1966</v>
      </c>
      <c r="E123" s="12" t="str">
        <f aca="false">'РПН 01.08 по МО'!F121</f>
        <v>Уйгурский район</v>
      </c>
      <c r="F123" s="13" t="n">
        <f aca="false">'РПН 01.08 по МО'!D121</f>
        <v>52505</v>
      </c>
      <c r="G123" s="14" t="n">
        <f aca="false">INDEX('Расчет Кплотн'!$K:$K,MATCH(D123,'Расчет Кплотн'!$A:$A,0))</f>
        <v>1.2852</v>
      </c>
      <c r="H123" s="14" t="n">
        <f aca="false">INDEX('Расчет Кплотн'!$J:$J,MATCH(D123,'Расчет Кплотн'!$A:$A,0))</f>
        <v>1.8543</v>
      </c>
      <c r="I123" s="3" t="n">
        <f aca="false">F123*Моделирование!$F$3*M123*G123/1000</f>
        <v>1365381.40486104</v>
      </c>
      <c r="J123" s="3" t="n">
        <f aca="false">F123*Моделирование!$F$3*M123*H123/1000</f>
        <v>1969986.56943186</v>
      </c>
      <c r="K123" s="3" t="n">
        <f aca="false">J123-I123</f>
        <v>604605.16457082</v>
      </c>
      <c r="L123" s="4" t="n">
        <f aca="false">IFERROR(K123/I123,0)</f>
        <v>0.44281045751634</v>
      </c>
      <c r="M123" s="15" t="n">
        <f aca="false">IF(INDEX('Расчет Кплотн'!$D:$D,MATCH(D123,'Расчет Кплотн'!$A:$A,0))="район",IFERROR(VLOOKUP(INDEX('Расчет Кплотн'!$B:$B,MATCH(D123,'Расчет Кплотн'!$A:$A,0)),'БКПН (приказ 170)'!$A$4:$C$10,3,FALSE()),Моделирование!$F$2),Моделирование!$F$2)</f>
        <v>1686.17</v>
      </c>
    </row>
    <row r="124" customFormat="false" ht="15" hidden="false" customHeight="false" outlineLevel="0" collapsed="false">
      <c r="A124" s="12" t="n">
        <v>119</v>
      </c>
      <c r="B124" s="12" t="str">
        <f aca="false">'РПН 01.08 по МО'!B122</f>
        <v>АЛМАТИНСКАЯ</v>
      </c>
      <c r="C124" s="12" t="str">
        <f aca="false">'РПН 01.08 по МО'!C122</f>
        <v>ГКП на праве хозяйственного ведения "Городская многопрофильная больница города Қонаев" государственного учреждения "Управление здравоохранения Алматинской области"</v>
      </c>
      <c r="D124" s="12" t="str">
        <f aca="false">'РПН 01.08 по МО'!E122</f>
        <v>1910</v>
      </c>
      <c r="E124" s="12" t="str">
        <f aca="false">'РПН 01.08 по МО'!F122</f>
        <v>Қонаев</v>
      </c>
      <c r="F124" s="13" t="n">
        <f aca="false">'РПН 01.08 по МО'!D122</f>
        <v>79847</v>
      </c>
      <c r="G124" s="14" t="n">
        <f aca="false">INDEX('Расчет Кплотн'!$K:$K,MATCH(D124,'Расчет Кплотн'!$A:$A,0))</f>
        <v>1</v>
      </c>
      <c r="H124" s="14" t="n">
        <f aca="false">INDEX('Расчет Кплотн'!$J:$J,MATCH(D124,'Расчет Кплотн'!$A:$A,0))</f>
        <v>1</v>
      </c>
      <c r="I124" s="3" t="n">
        <f aca="false">F124*Моделирование!$F$3*M124*G124/1000</f>
        <v>1615627.39188</v>
      </c>
      <c r="J124" s="3" t="n">
        <f aca="false">F124*Моделирование!$F$3*M124*H124/1000</f>
        <v>1615627.39188</v>
      </c>
      <c r="K124" s="3" t="n">
        <f aca="false">J124-I124</f>
        <v>0</v>
      </c>
      <c r="L124" s="4" t="n">
        <f aca="false">IFERROR(K124/I124,0)</f>
        <v>0</v>
      </c>
      <c r="M124" s="15" t="n">
        <f aca="false">IF(INDEX('Расчет Кплотн'!$D:$D,MATCH(D124,'Расчет Кплотн'!$A:$A,0))="район",IFERROR(VLOOKUP(INDEX('Расчет Кплотн'!$B:$B,MATCH(D124,'Расчет Кплотн'!$A:$A,0)),'БКПН (приказ 170)'!$A$4:$C$10,3,FALSE()),Моделирование!$F$2),Моделирование!$F$2)</f>
        <v>1686.17</v>
      </c>
    </row>
    <row r="125" customFormat="false" ht="15" hidden="false" customHeight="false" outlineLevel="0" collapsed="false">
      <c r="A125" s="12" t="n">
        <v>120</v>
      </c>
      <c r="B125" s="12" t="str">
        <f aca="false">'РПН 01.08 по МО'!B123</f>
        <v>АЛМАТИНСКАЯ</v>
      </c>
      <c r="C125" s="12" t="str">
        <f aca="false">'РПН 01.08 по МО'!C123</f>
        <v>ГКП на ПХВ "Балхашская центральная районная больница" государственного учреждения "Управление здравоохранения Алматинской области"</v>
      </c>
      <c r="D125" s="12" t="str">
        <f aca="false">'РПН 01.08 по МО'!E123</f>
        <v>1936</v>
      </c>
      <c r="E125" s="12" t="str">
        <f aca="false">'РПН 01.08 по МО'!F123</f>
        <v>Балхашский район</v>
      </c>
      <c r="F125" s="13" t="n">
        <f aca="false">'РПН 01.08 по МО'!D123</f>
        <v>23512</v>
      </c>
      <c r="G125" s="14" t="n">
        <f aca="false">INDEX('Расчет Кплотн'!$K:$K,MATCH(D125,'Расчет Кплотн'!$A:$A,0))</f>
        <v>2</v>
      </c>
      <c r="H125" s="14" t="n">
        <f aca="false">INDEX('Расчет Кплотн'!$J:$J,MATCH(D125,'Расчет Кплотн'!$A:$A,0))</f>
        <v>2</v>
      </c>
      <c r="I125" s="3" t="n">
        <f aca="false">F125*Моделирование!$F$3*M125*G125/1000</f>
        <v>951485.49696</v>
      </c>
      <c r="J125" s="3" t="n">
        <f aca="false">F125*Моделирование!$F$3*M125*H125/1000</f>
        <v>951485.49696</v>
      </c>
      <c r="K125" s="3" t="n">
        <f aca="false">J125-I125</f>
        <v>0</v>
      </c>
      <c r="L125" s="4" t="n">
        <f aca="false">IFERROR(K125/I125,0)</f>
        <v>0</v>
      </c>
      <c r="M125" s="15" t="n">
        <f aca="false">IF(INDEX('Расчет Кплотн'!$D:$D,MATCH(D125,'Расчет Кплотн'!$A:$A,0))="район",IFERROR(VLOOKUP(INDEX('Расчет Кплотн'!$B:$B,MATCH(D125,'Расчет Кплотн'!$A:$A,0)),'БКПН (приказ 170)'!$A$4:$C$10,3,FALSE()),Моделирование!$F$2),Моделирование!$F$2)</f>
        <v>1686.17</v>
      </c>
    </row>
    <row r="126" customFormat="false" ht="15" hidden="false" customHeight="false" outlineLevel="0" collapsed="false">
      <c r="A126" s="12" t="n">
        <v>121</v>
      </c>
      <c r="B126" s="12" t="str">
        <f aca="false">'РПН 01.08 по МО'!B124</f>
        <v>АЛМАТИНСКАЯ</v>
      </c>
      <c r="C126" s="12" t="str">
        <f aca="false">'РПН 01.08 по МО'!C124</f>
        <v>ГКП на ПХВ "Районная больница" с.Боралдай Илийского района государственного учреждения "Управления здравоохранения Алматинской области"</v>
      </c>
      <c r="D126" s="12" t="str">
        <f aca="false">'РПН 01.08 по МО'!E124</f>
        <v>1968</v>
      </c>
      <c r="E126" s="12" t="str">
        <f aca="false">'РПН 01.08 по МО'!F124</f>
        <v>Илийский район</v>
      </c>
      <c r="F126" s="13" t="n">
        <f aca="false">'РПН 01.08 по МО'!D124</f>
        <v>42183</v>
      </c>
      <c r="G126" s="14" t="n">
        <f aca="false">INDEX('Расчет Кплотн'!$K:$K,MATCH(D126,'Расчет Кплотн'!$A:$A,0))</f>
        <v>1.0598</v>
      </c>
      <c r="H126" s="14" t="n">
        <f aca="false">INDEX('Расчет Кплотн'!$J:$J,MATCH(D126,'Расчет Кплотн'!$A:$A,0))</f>
        <v>1.1313</v>
      </c>
      <c r="I126" s="3" t="n">
        <f aca="false">F126*Моделирование!$F$3*M126*G126/1000</f>
        <v>904573.753377336</v>
      </c>
      <c r="J126" s="3" t="n">
        <f aca="false">F126*Моделирование!$F$3*M126*H126/1000</f>
        <v>965601.327793716</v>
      </c>
      <c r="K126" s="3" t="n">
        <f aca="false">J126-I126</f>
        <v>61027.5744163799</v>
      </c>
      <c r="L126" s="4" t="n">
        <f aca="false">IFERROR(K126/I126,0)</f>
        <v>0.0674655595395357</v>
      </c>
      <c r="M126" s="15" t="n">
        <f aca="false">IF(INDEX('Расчет Кплотн'!$D:$D,MATCH(D126,'Расчет Кплотн'!$A:$A,0))="район",IFERROR(VLOOKUP(INDEX('Расчет Кплотн'!$B:$B,MATCH(D126,'Расчет Кплотн'!$A:$A,0)),'БКПН (приказ 170)'!$A$4:$C$10,3,FALSE()),Моделирование!$F$2),Моделирование!$F$2)</f>
        <v>1686.17</v>
      </c>
    </row>
    <row r="127" customFormat="false" ht="15" hidden="false" customHeight="false" outlineLevel="0" collapsed="false">
      <c r="A127" s="12" t="n">
        <v>122</v>
      </c>
      <c r="B127" s="12" t="str">
        <f aca="false">'РПН 01.08 по МО'!B125</f>
        <v>АЛМАТИНСКАЯ</v>
      </c>
      <c r="C127" s="12" t="str">
        <f aca="false">'РПН 01.08 по МО'!C125</f>
        <v>ГКП на ПХВ "Талгарская центральная районная больница" ГУ "Управление здравоохранения Алматинской области"</v>
      </c>
      <c r="D127" s="12" t="str">
        <f aca="false">'РПН 01.08 по МО'!E125</f>
        <v>1962</v>
      </c>
      <c r="E127" s="12" t="str">
        <f aca="false">'РПН 01.08 по МО'!F125</f>
        <v>Талгарский район</v>
      </c>
      <c r="F127" s="13" t="n">
        <f aca="false">'РПН 01.08 по МО'!D125</f>
        <v>214034</v>
      </c>
      <c r="G127" s="14" t="n">
        <f aca="false">INDEX('Расчет Кплотн'!$K:$K,MATCH(D127,'Расчет Кплотн'!$A:$A,0))</f>
        <v>1.0307</v>
      </c>
      <c r="H127" s="14" t="n">
        <f aca="false">INDEX('Расчет Кплотн'!$J:$J,MATCH(D127,'Расчет Кплотн'!$A:$A,0))</f>
        <v>1.0604</v>
      </c>
      <c r="I127" s="3" t="n">
        <f aca="false">F127*Моделирование!$F$3*M127*G127/1000</f>
        <v>4463727.23364295</v>
      </c>
      <c r="J127" s="3" t="n">
        <f aca="false">F127*Моделирование!$F$3*M127*H127/1000</f>
        <v>4592351.17740854</v>
      </c>
      <c r="K127" s="3" t="n">
        <f aca="false">J127-I127</f>
        <v>128623.943765593</v>
      </c>
      <c r="L127" s="4" t="n">
        <f aca="false">IFERROR(K127/I127,0)</f>
        <v>0.0288153681963716</v>
      </c>
      <c r="M127" s="15" t="n">
        <f aca="false">IF(INDEX('Расчет Кплотн'!$D:$D,MATCH(D127,'Расчет Кплотн'!$A:$A,0))="район",IFERROR(VLOOKUP(INDEX('Расчет Кплотн'!$B:$B,MATCH(D127,'Расчет Кплотн'!$A:$A,0)),'БКПН (приказ 170)'!$A$4:$C$10,3,FALSE()),Моделирование!$F$2),Моделирование!$F$2)</f>
        <v>1686.17</v>
      </c>
    </row>
    <row r="128" customFormat="false" ht="15" hidden="false" customHeight="false" outlineLevel="0" collapsed="false">
      <c r="A128" s="12" t="n">
        <v>123</v>
      </c>
      <c r="B128" s="12" t="str">
        <f aca="false">'РПН 01.08 по МО'!B126</f>
        <v>АЛМАТИНСКАЯ</v>
      </c>
      <c r="C128" s="12" t="str">
        <f aca="false">'РПН 01.08 по МО'!C126</f>
        <v>Государственное коммунальное предприятие на праве хозяйственного ведения "Илийская центральная районная больница" государственного учреждения "Управления здравоохранения Алматинской области" акимата Алматинской области.</v>
      </c>
      <c r="D128" s="12" t="str">
        <f aca="false">'РПН 01.08 по МО'!E126</f>
        <v>1968</v>
      </c>
      <c r="E128" s="12" t="str">
        <f aca="false">'РПН 01.08 по МО'!F126</f>
        <v>Илийский район</v>
      </c>
      <c r="F128" s="13" t="n">
        <f aca="false">'РПН 01.08 по МО'!D126</f>
        <v>206731</v>
      </c>
      <c r="G128" s="14" t="n">
        <f aca="false">INDEX('Расчет Кплотн'!$K:$K,MATCH(D128,'Расчет Кплотн'!$A:$A,0))</f>
        <v>1.0598</v>
      </c>
      <c r="H128" s="14" t="n">
        <f aca="false">INDEX('Расчет Кплотн'!$J:$J,MATCH(D128,'Расчет Кплотн'!$A:$A,0))</f>
        <v>1.1313</v>
      </c>
      <c r="I128" s="3" t="n">
        <f aca="false">F128*Моделирование!$F$3*M128*G128/1000</f>
        <v>4433146.92196975</v>
      </c>
      <c r="J128" s="3" t="n">
        <f aca="false">F128*Моделирование!$F$3*M128*H128/1000</f>
        <v>4732231.65958141</v>
      </c>
      <c r="K128" s="3" t="n">
        <f aca="false">J128-I128</f>
        <v>299084.73761166</v>
      </c>
      <c r="L128" s="4" t="n">
        <f aca="false">IFERROR(K128/I128,0)</f>
        <v>0.0674655595395357</v>
      </c>
      <c r="M128" s="15" t="n">
        <f aca="false">IF(INDEX('Расчет Кплотн'!$D:$D,MATCH(D128,'Расчет Кплотн'!$A:$A,0))="район",IFERROR(VLOOKUP(INDEX('Расчет Кплотн'!$B:$B,MATCH(D128,'Расчет Кплотн'!$A:$A,0)),'БКПН (приказ 170)'!$A$4:$C$10,3,FALSE()),Моделирование!$F$2),Моделирование!$F$2)</f>
        <v>1686.17</v>
      </c>
    </row>
    <row r="129" customFormat="false" ht="15" hidden="false" customHeight="false" outlineLevel="0" collapsed="false">
      <c r="A129" s="12" t="n">
        <v>124</v>
      </c>
      <c r="B129" s="12" t="str">
        <f aca="false">'РПН 01.08 по МО'!B127</f>
        <v>АЛМАТИНСКАЯ</v>
      </c>
      <c r="C129" s="12" t="str">
        <f aca="false">'РПН 01.08 по МО'!C127</f>
        <v>ГКП на ПХВ "Енбекшиказахская многопрофильная центральная районная больница" ГУ "Управление здравоохранение Алматинскоя области"</v>
      </c>
      <c r="D129" s="12" t="str">
        <f aca="false">'РПН 01.08 по МО'!E127</f>
        <v>1940</v>
      </c>
      <c r="E129" s="12" t="str">
        <f aca="false">'РПН 01.08 по МО'!F127</f>
        <v>Енбекшиказахский район</v>
      </c>
      <c r="F129" s="13" t="n">
        <f aca="false">'РПН 01.08 по МО'!D127</f>
        <v>161100</v>
      </c>
      <c r="G129" s="14" t="n">
        <f aca="false">INDEX('Расчет Кплотн'!$K:$K,MATCH(D129,'Расчет Кплотн'!$A:$A,0))</f>
        <v>1.06</v>
      </c>
      <c r="H129" s="14" t="n">
        <f aca="false">INDEX('Расчет Кплотн'!$J:$J,MATCH(D129,'Расчет Кплотн'!$A:$A,0))</f>
        <v>1.1481</v>
      </c>
      <c r="I129" s="3" t="n">
        <f aca="false">F129*Моделирование!$F$3*M129*G129/1000</f>
        <v>3455286.07464</v>
      </c>
      <c r="J129" s="3" t="n">
        <f aca="false">F129*Моделирование!$F$3*M129*H129/1000</f>
        <v>3742465.9832964</v>
      </c>
      <c r="K129" s="3" t="n">
        <f aca="false">J129-I129</f>
        <v>287179.908656399</v>
      </c>
      <c r="L129" s="4" t="n">
        <f aca="false">IFERROR(K129/I129,0)</f>
        <v>0.0831132075471696</v>
      </c>
      <c r="M129" s="15" t="n">
        <f aca="false">IF(INDEX('Расчет Кплотн'!$D:$D,MATCH(D129,'Расчет Кплотн'!$A:$A,0))="район",IFERROR(VLOOKUP(INDEX('Расчет Кплотн'!$B:$B,MATCH(D129,'Расчет Кплотн'!$A:$A,0)),'БКПН (приказ 170)'!$A$4:$C$10,3,FALSE()),Моделирование!$F$2),Моделирование!$F$2)</f>
        <v>1686.17</v>
      </c>
    </row>
    <row r="130" customFormat="false" ht="15" hidden="false" customHeight="false" outlineLevel="0" collapsed="false">
      <c r="A130" s="12" t="n">
        <v>125</v>
      </c>
      <c r="B130" s="12" t="str">
        <f aca="false">'РПН 01.08 по МО'!B128</f>
        <v>АЛМАТИНСКАЯ</v>
      </c>
      <c r="C130" s="12" t="str">
        <f aca="false">'РПН 01.08 по МО'!C128</f>
        <v>КГП на ПХВ "Енбекшиказахская районная больница №1 села Шелек" ГУ "Управление здравоохранения Алматинской области"</v>
      </c>
      <c r="D130" s="12" t="str">
        <f aca="false">'РПН 01.08 по МО'!E128</f>
        <v>1940</v>
      </c>
      <c r="E130" s="12" t="str">
        <f aca="false">'РПН 01.08 по МО'!F128</f>
        <v>Енбекшиказахский район</v>
      </c>
      <c r="F130" s="13" t="n">
        <f aca="false">'РПН 01.08 по МО'!D128</f>
        <v>76993</v>
      </c>
      <c r="G130" s="14" t="n">
        <f aca="false">INDEX('Расчет Кплотн'!$K:$K,MATCH(D130,'Расчет Кплотн'!$A:$A,0))</f>
        <v>1.06</v>
      </c>
      <c r="H130" s="14" t="n">
        <f aca="false">INDEX('Расчет Кплотн'!$J:$J,MATCH(D130,'Расчет Кплотн'!$A:$A,0))</f>
        <v>1.1481</v>
      </c>
      <c r="I130" s="3" t="n">
        <f aca="false">F130*Моделирование!$F$3*M130*G130/1000</f>
        <v>1651352.2082232</v>
      </c>
      <c r="J130" s="3" t="n">
        <f aca="false">F130*Моделирование!$F$3*M130*H130/1000</f>
        <v>1788601.38703873</v>
      </c>
      <c r="K130" s="3" t="n">
        <f aca="false">J130-I130</f>
        <v>137249.178815532</v>
      </c>
      <c r="L130" s="4" t="n">
        <f aca="false">IFERROR(K130/I130,0)</f>
        <v>0.0831132075471695</v>
      </c>
      <c r="M130" s="15" t="n">
        <f aca="false">IF(INDEX('Расчет Кплотн'!$D:$D,MATCH(D130,'Расчет Кплотн'!$A:$A,0))="район",IFERROR(VLOOKUP(INDEX('Расчет Кплотн'!$B:$B,MATCH(D130,'Расчет Кплотн'!$A:$A,0)),'БКПН (приказ 170)'!$A$4:$C$10,3,FALSE()),Моделирование!$F$2),Моделирование!$F$2)</f>
        <v>1686.17</v>
      </c>
    </row>
    <row r="131" customFormat="false" ht="15" hidden="false" customHeight="false" outlineLevel="0" collapsed="false">
      <c r="A131" s="12" t="n">
        <v>126</v>
      </c>
      <c r="B131" s="12" t="str">
        <f aca="false">'РПН 01.08 по МО'!B129</f>
        <v>АЛМАТИНСКАЯ</v>
      </c>
      <c r="C131" s="12" t="str">
        <f aca="false">'РПН 01.08 по МО'!C129</f>
        <v>КГП на ПХВ "Карасайская клиническая многопрофильная центральная районная больница" ГУ "Управление здравоохранения Алматинской области"</v>
      </c>
      <c r="D131" s="12" t="str">
        <f aca="false">'РПН 01.08 по МО'!E129</f>
        <v>1952</v>
      </c>
      <c r="E131" s="12" t="str">
        <f aca="false">'РПН 01.08 по МО'!F129</f>
        <v>Карасайский район</v>
      </c>
      <c r="F131" s="13" t="n">
        <f aca="false">'РПН 01.08 по МО'!D129</f>
        <v>286748</v>
      </c>
      <c r="G131" s="14" t="n">
        <f aca="false">INDEX('Расчет Кплотн'!$K:$K,MATCH(D131,'Расчет Кплотн'!$A:$A,0))</f>
        <v>1.0125</v>
      </c>
      <c r="H131" s="14" t="n">
        <f aca="false">INDEX('Расчет Кплотн'!$J:$J,MATCH(D131,'Расчет Кплотн'!$A:$A,0))</f>
        <v>1.0274</v>
      </c>
      <c r="I131" s="3" t="n">
        <f aca="false">F131*Моделирование!$F$3*M131*G131/1000</f>
        <v>5874596.383194</v>
      </c>
      <c r="J131" s="3" t="n">
        <f aca="false">F131*Моделирование!$F$3*M131*H131/1000</f>
        <v>5961047.23367261</v>
      </c>
      <c r="K131" s="3" t="n">
        <f aca="false">J131-I131</f>
        <v>86450.8504786082</v>
      </c>
      <c r="L131" s="4" t="n">
        <f aca="false">IFERROR(K131/I131,0)</f>
        <v>0.0147160493827161</v>
      </c>
      <c r="M131" s="15" t="n">
        <f aca="false">IF(INDEX('Расчет Кплотн'!$D:$D,MATCH(D131,'Расчет Кплотн'!$A:$A,0))="район",IFERROR(VLOOKUP(INDEX('Расчет Кплотн'!$B:$B,MATCH(D131,'Расчет Кплотн'!$A:$A,0)),'БКПН (приказ 170)'!$A$4:$C$10,3,FALSE()),Моделирование!$F$2),Моделирование!$F$2)</f>
        <v>1686.17</v>
      </c>
    </row>
    <row r="132" customFormat="false" ht="15" hidden="false" customHeight="false" outlineLevel="0" collapsed="false">
      <c r="A132" s="12" t="n">
        <v>127</v>
      </c>
      <c r="B132" s="12" t="str">
        <f aca="false">'РПН 01.08 по МО'!B130</f>
        <v>АЛМАТИНСКАЯ</v>
      </c>
      <c r="C132" s="12" t="str">
        <f aca="false">'РПН 01.08 по МО'!C130</f>
        <v>КГП на ПХВ "Кегенская районная больница" ГУ "Управление здравоохранения Алматинской области"</v>
      </c>
      <c r="D132" s="12" t="str">
        <f aca="false">'РПН 01.08 по МО'!E130</f>
        <v>1944</v>
      </c>
      <c r="E132" s="12" t="str">
        <f aca="false">'РПН 01.08 по МО'!F130</f>
        <v>Кегенский район</v>
      </c>
      <c r="F132" s="13" t="n">
        <f aca="false">'РПН 01.08 по МО'!D130</f>
        <v>22505</v>
      </c>
      <c r="G132" s="14" t="n">
        <f aca="false">INDEX('Расчет Кплотн'!$K:$K,MATCH(D132,'Расчет Кплотн'!$A:$A,0))</f>
        <v>1.5177</v>
      </c>
      <c r="H132" s="14" t="n">
        <f aca="false">INDEX('Расчет Кплотн'!$J:$J,MATCH(D132,'Расчет Кплотн'!$A:$A,0))</f>
        <v>2</v>
      </c>
      <c r="I132" s="3" t="n">
        <f aca="false">F132*Моделирование!$F$3*M132*G132/1000</f>
        <v>691110.60244254</v>
      </c>
      <c r="J132" s="3" t="n">
        <f aca="false">F132*Моделирование!$F$3*M132*H132/1000</f>
        <v>910734.1404</v>
      </c>
      <c r="K132" s="3" t="n">
        <f aca="false">J132-I132</f>
        <v>219623.53795746</v>
      </c>
      <c r="L132" s="4" t="n">
        <f aca="false">IFERROR(K132/I132,0)</f>
        <v>0.317783488172893</v>
      </c>
      <c r="M132" s="15" t="n">
        <f aca="false">IF(INDEX('Расчет Кплотн'!$D:$D,MATCH(D132,'Расчет Кплотн'!$A:$A,0))="район",IFERROR(VLOOKUP(INDEX('Расчет Кплотн'!$B:$B,MATCH(D132,'Расчет Кплотн'!$A:$A,0)),'БКПН (приказ 170)'!$A$4:$C$10,3,FALSE()),Моделирование!$F$2),Моделирование!$F$2)</f>
        <v>1686.17</v>
      </c>
    </row>
    <row r="133" customFormat="false" ht="15" hidden="false" customHeight="false" outlineLevel="0" collapsed="false">
      <c r="A133" s="12" t="n">
        <v>128</v>
      </c>
      <c r="B133" s="12" t="str">
        <f aca="false">'РПН 01.08 по МО'!B131</f>
        <v>АЛМАТИНСКАЯ</v>
      </c>
      <c r="C133" s="12" t="str">
        <f aca="false">'РПН 01.08 по МО'!C131</f>
        <v>КГП на ПХВ "Райымбекская районная больница" ГУ "Управление здравоохранения Алматинской области"</v>
      </c>
      <c r="D133" s="12" t="str">
        <f aca="false">'РПН 01.08 по МО'!E131</f>
        <v>1958</v>
      </c>
      <c r="E133" s="12" t="str">
        <f aca="false">'РПН 01.08 по МО'!F131</f>
        <v>Райымбекский район</v>
      </c>
      <c r="F133" s="13" t="n">
        <f aca="false">'РПН 01.08 по МО'!D131</f>
        <v>25604</v>
      </c>
      <c r="G133" s="14" t="n">
        <f aca="false">INDEX('Расчет Кплотн'!$K:$K,MATCH(D133,'Расчет Кплотн'!$A:$A,0))</f>
        <v>1.5018</v>
      </c>
      <c r="H133" s="14" t="n">
        <f aca="false">INDEX('Расчет Кплотн'!$J:$J,MATCH(D133,'Расчет Кплотн'!$A:$A,0))</f>
        <v>2</v>
      </c>
      <c r="I133" s="3" t="n">
        <f aca="false">F133*Моделирование!$F$3*M133*G133/1000</f>
        <v>778041.070488288</v>
      </c>
      <c r="J133" s="3" t="n">
        <f aca="false">F133*Моделирование!$F$3*M133*H133/1000</f>
        <v>1036144.72032</v>
      </c>
      <c r="K133" s="3" t="n">
        <f aca="false">J133-I133</f>
        <v>258103.649831712</v>
      </c>
      <c r="L133" s="4" t="n">
        <f aca="false">IFERROR(K133/I133,0)</f>
        <v>0.331735251032095</v>
      </c>
      <c r="M133" s="15" t="n">
        <f aca="false">IF(INDEX('Расчет Кплотн'!$D:$D,MATCH(D133,'Расчет Кплотн'!$A:$A,0))="район",IFERROR(VLOOKUP(INDEX('Расчет Кплотн'!$B:$B,MATCH(D133,'Расчет Кплотн'!$A:$A,0)),'БКПН (приказ 170)'!$A$4:$C$10,3,FALSE()),Моделирование!$F$2),Моделирование!$F$2)</f>
        <v>1686.17</v>
      </c>
    </row>
    <row r="134" customFormat="false" ht="15" hidden="false" customHeight="false" outlineLevel="0" collapsed="false">
      <c r="A134" s="12" t="n">
        <v>129</v>
      </c>
      <c r="B134" s="12" t="str">
        <f aca="false">'РПН 01.08 по МО'!B132</f>
        <v>АЛМАТИНСКАЯ</v>
      </c>
      <c r="C134" s="12" t="str">
        <f aca="false">'РПН 01.08 по МО'!C132</f>
        <v>Коммунальное государственное предприятия на праве хозяйственного ведения "Жамбылская многопрофильная центральная районная больница" государственного учреждения "Управление здравоохранения Алматинской области"</v>
      </c>
      <c r="D134" s="12" t="str">
        <f aca="false">'РПН 01.08 по МО'!E132</f>
        <v>1942</v>
      </c>
      <c r="E134" s="12" t="str">
        <f aca="false">'РПН 01.08 по МО'!F132</f>
        <v>Жамбылский район</v>
      </c>
      <c r="F134" s="13" t="n">
        <f aca="false">'РПН 01.08 по МО'!D132</f>
        <v>117967</v>
      </c>
      <c r="G134" s="14" t="n">
        <f aca="false">INDEX('Расчет Кплотн'!$K:$K,MATCH(D134,'Расчет Кплотн'!$A:$A,0))</f>
        <v>1.2357</v>
      </c>
      <c r="H134" s="14" t="n">
        <f aca="false">INDEX('Расчет Кплотн'!$J:$J,MATCH(D134,'Расчет Кплотн'!$A:$A,0))</f>
        <v>1.5879</v>
      </c>
      <c r="I134" s="3" t="n">
        <f aca="false">F134*Моделирование!$F$3*M134*G134/1000</f>
        <v>2949552.87519748</v>
      </c>
      <c r="J134" s="3" t="n">
        <f aca="false">F134*Моделирование!$F$3*M134*H134/1000</f>
        <v>3790236.31182817</v>
      </c>
      <c r="K134" s="3" t="n">
        <f aca="false">J134-I134</f>
        <v>840683.436630697</v>
      </c>
      <c r="L134" s="4" t="n">
        <f aca="false">IFERROR(K134/I134,0)</f>
        <v>0.285020636076718</v>
      </c>
      <c r="M134" s="15" t="n">
        <f aca="false">IF(INDEX('Расчет Кплотн'!$D:$D,MATCH(D134,'Расчет Кплотн'!$A:$A,0))="район",IFERROR(VLOOKUP(INDEX('Расчет Кплотн'!$B:$B,MATCH(D134,'Расчет Кплотн'!$A:$A,0)),'БКПН (приказ 170)'!$A$4:$C$10,3,FALSE()),Моделирование!$F$2),Моделирование!$F$2)</f>
        <v>1686.17</v>
      </c>
    </row>
    <row r="135" customFormat="false" ht="15" hidden="false" customHeight="false" outlineLevel="0" collapsed="false">
      <c r="A135" s="12" t="n">
        <v>130</v>
      </c>
      <c r="B135" s="12" t="str">
        <f aca="false">'РПН 01.08 по МО'!B133</f>
        <v>АЛМАТИНСКАЯ</v>
      </c>
      <c r="C135" s="12" t="str">
        <f aca="false">'РПН 01.08 по МО'!C133</f>
        <v>Товарищество с ограниченной ответственностью "Центр семейной медицины имени Нурадина Досжанова"</v>
      </c>
      <c r="D135" s="12" t="str">
        <f aca="false">'РПН 01.08 по МО'!E133</f>
        <v>1968</v>
      </c>
      <c r="E135" s="12" t="str">
        <f aca="false">'РПН 01.08 по МО'!F133</f>
        <v>Илийский район</v>
      </c>
      <c r="F135" s="13" t="n">
        <f aca="false">'РПН 01.08 по МО'!D133</f>
        <v>10962</v>
      </c>
      <c r="G135" s="14" t="n">
        <f aca="false">INDEX('Расчет Кплотн'!$K:$K,MATCH(D135,'Расчет Кплотн'!$A:$A,0))</f>
        <v>1.0598</v>
      </c>
      <c r="H135" s="14" t="n">
        <f aca="false">INDEX('Расчет Кплотн'!$J:$J,MATCH(D135,'Расчет Кплотн'!$A:$A,0))</f>
        <v>1.1313</v>
      </c>
      <c r="I135" s="3" t="n">
        <f aca="false">F135*Моделирование!$F$3*M135*G135/1000</f>
        <v>235069.518159504</v>
      </c>
      <c r="J135" s="3" t="n">
        <f aca="false">F135*Моделирование!$F$3*M135*H135/1000</f>
        <v>250928.614732824</v>
      </c>
      <c r="K135" s="3" t="n">
        <f aca="false">J135-I135</f>
        <v>15859.09657332</v>
      </c>
      <c r="L135" s="4" t="n">
        <f aca="false">IFERROR(K135/I135,0)</f>
        <v>0.0674655595395358</v>
      </c>
      <c r="M135" s="15" t="n">
        <f aca="false">IF(INDEX('Расчет Кплотн'!$D:$D,MATCH(D135,'Расчет Кплотн'!$A:$A,0))="район",IFERROR(VLOOKUP(INDEX('Расчет Кплотн'!$B:$B,MATCH(D135,'Расчет Кплотн'!$A:$A,0)),'БКПН (приказ 170)'!$A$4:$C$10,3,FALSE()),Моделирование!$F$2),Моделирование!$F$2)</f>
        <v>1686.17</v>
      </c>
    </row>
    <row r="136" customFormat="false" ht="15" hidden="false" customHeight="false" outlineLevel="0" collapsed="false">
      <c r="A136" s="12" t="n">
        <v>131</v>
      </c>
      <c r="B136" s="12" t="str">
        <f aca="false">'РПН 01.08 по МО'!B134</f>
        <v>АЛМАТИНСКАЯ</v>
      </c>
      <c r="C136" s="12" t="str">
        <f aca="false">'РПН 01.08 по МО'!C134</f>
        <v>Государственное коммунальное предприятие на праве хозяйственного ведения "Районная больница" с.Каргалы Жамбылского района государственного учреждения "Управление здравоохранения Алматинской области"</v>
      </c>
      <c r="D136" s="12" t="str">
        <f aca="false">'РПН 01.08 по МО'!E134</f>
        <v>1942</v>
      </c>
      <c r="E136" s="12" t="str">
        <f aca="false">'РПН 01.08 по МО'!F134</f>
        <v>Жамбылский район</v>
      </c>
      <c r="F136" s="13" t="n">
        <f aca="false">'РПН 01.08 по МО'!D134</f>
        <v>41958</v>
      </c>
      <c r="G136" s="14" t="n">
        <f aca="false">INDEX('Расчет Кплотн'!$K:$K,MATCH(D136,'Расчет Кплотн'!$A:$A,0))</f>
        <v>1.2357</v>
      </c>
      <c r="H136" s="14" t="n">
        <f aca="false">INDEX('Расчет Кплотн'!$J:$J,MATCH(D136,'Расчет Кплотн'!$A:$A,0))</f>
        <v>1.5879</v>
      </c>
      <c r="I136" s="3" t="n">
        <f aca="false">F136*Моделирование!$F$3*M136*G136/1000</f>
        <v>1049084.40104042</v>
      </c>
      <c r="J136" s="3" t="n">
        <f aca="false">F136*Моделирование!$F$3*M136*H136/1000</f>
        <v>1348095.10432313</v>
      </c>
      <c r="K136" s="3" t="n">
        <f aca="false">J136-I136</f>
        <v>299010.703282704</v>
      </c>
      <c r="L136" s="4" t="n">
        <f aca="false">IFERROR(K136/I136,0)</f>
        <v>0.285020636076718</v>
      </c>
      <c r="M136" s="15" t="n">
        <f aca="false">IF(INDEX('Расчет Кплотн'!$D:$D,MATCH(D136,'Расчет Кплотн'!$A:$A,0))="район",IFERROR(VLOOKUP(INDEX('Расчет Кплотн'!$B:$B,MATCH(D136,'Расчет Кплотн'!$A:$A,0)),'БКПН (приказ 170)'!$A$4:$C$10,3,FALSE()),Моделирование!$F$2),Моделирование!$F$2)</f>
        <v>1686.17</v>
      </c>
    </row>
    <row r="137" customFormat="false" ht="15" hidden="false" customHeight="false" outlineLevel="0" collapsed="false">
      <c r="A137" s="12" t="n">
        <v>132</v>
      </c>
      <c r="B137" s="12" t="str">
        <f aca="false">'РПН 01.08 по МО'!B135</f>
        <v>АЛМАТЫ</v>
      </c>
      <c r="C137" s="12" t="str">
        <f aca="false">'РПН 01.08 по МО'!C135</f>
        <v>ТОО "Med Lab экспресс"</v>
      </c>
      <c r="D137" s="12" t="str">
        <f aca="false">'РПН 01.08 по МО'!E135</f>
        <v>7500</v>
      </c>
      <c r="E137" s="12" t="str">
        <f aca="false">'РПН 01.08 по МО'!F135</f>
        <v>г. Алматы</v>
      </c>
      <c r="F137" s="13" t="n">
        <f aca="false">'РПН 01.08 по МО'!D135</f>
        <v>4984</v>
      </c>
      <c r="G137" s="14" t="n">
        <f aca="false">INDEX('Расчет Кплотн'!$K:$K,MATCH(D137,'Расчет Кплотн'!$A:$A,0))</f>
        <v>1</v>
      </c>
      <c r="H137" s="14" t="n">
        <f aca="false">INDEX('Расчет Кплотн'!$J:$J,MATCH(D137,'Расчет Кплотн'!$A:$A,0))</f>
        <v>1</v>
      </c>
      <c r="I137" s="3" t="n">
        <f aca="false">F137*Моделирование!$F$3*M137*G137/1000</f>
        <v>100846.45536</v>
      </c>
      <c r="J137" s="3" t="n">
        <f aca="false">F137*Моделирование!$F$3*M137*H137/1000</f>
        <v>100846.45536</v>
      </c>
      <c r="K137" s="3" t="n">
        <f aca="false">J137-I137</f>
        <v>0</v>
      </c>
      <c r="L137" s="4" t="n">
        <f aca="false">IFERROR(K137/I137,0)</f>
        <v>0</v>
      </c>
      <c r="M137" s="15" t="n">
        <f aca="false">IF(INDEX('Расчет Кплотн'!$D:$D,MATCH(D137,'Расчет Кплотн'!$A:$A,0))="район",IFERROR(VLOOKUP(INDEX('Расчет Кплотн'!$B:$B,MATCH(D137,'Расчет Кплотн'!$A:$A,0)),'БКПН (приказ 170)'!$A$4:$C$10,3,FALSE()),Моделирование!$F$2),Моделирование!$F$2)</f>
        <v>1686.17</v>
      </c>
    </row>
    <row r="138" customFormat="false" ht="15" hidden="false" customHeight="false" outlineLevel="0" collapsed="false">
      <c r="A138" s="12" t="n">
        <v>133</v>
      </c>
      <c r="B138" s="12" t="str">
        <f aca="false">'РПН 01.08 по МО'!B136</f>
        <v>АЛМАТЫ</v>
      </c>
      <c r="C138" s="12" t="str">
        <f aca="false">'РПН 01.08 по МО'!C136</f>
        <v>ТОО "Smart Health University City"</v>
      </c>
      <c r="D138" s="12" t="str">
        <f aca="false">'РПН 01.08 по МО'!E136</f>
        <v>7500</v>
      </c>
      <c r="E138" s="12" t="str">
        <f aca="false">'РПН 01.08 по МО'!F136</f>
        <v>г. Алматы</v>
      </c>
      <c r="F138" s="13" t="n">
        <f aca="false">'РПН 01.08 по МО'!D136</f>
        <v>6938</v>
      </c>
      <c r="G138" s="14" t="n">
        <f aca="false">INDEX('Расчет Кплотн'!$K:$K,MATCH(D138,'Расчет Кплотн'!$A:$A,0))</f>
        <v>1</v>
      </c>
      <c r="H138" s="14" t="n">
        <f aca="false">INDEX('Расчет Кплотн'!$J:$J,MATCH(D138,'Расчет Кплотн'!$A:$A,0))</f>
        <v>1</v>
      </c>
      <c r="I138" s="3" t="n">
        <f aca="false">F138*Моделирование!$F$3*M138*G138/1000</f>
        <v>140383.76952</v>
      </c>
      <c r="J138" s="3" t="n">
        <f aca="false">F138*Моделирование!$F$3*M138*H138/1000</f>
        <v>140383.76952</v>
      </c>
      <c r="K138" s="3" t="n">
        <f aca="false">J138-I138</f>
        <v>0</v>
      </c>
      <c r="L138" s="4" t="n">
        <f aca="false">IFERROR(K138/I138,0)</f>
        <v>0</v>
      </c>
      <c r="M138" s="15" t="n">
        <f aca="false">IF(INDEX('Расчет Кплотн'!$D:$D,MATCH(D138,'Расчет Кплотн'!$A:$A,0))="район",IFERROR(VLOOKUP(INDEX('Расчет Кплотн'!$B:$B,MATCH(D138,'Расчет Кплотн'!$A:$A,0)),'БКПН (приказ 170)'!$A$4:$C$10,3,FALSE()),Моделирование!$F$2),Моделирование!$F$2)</f>
        <v>1686.17</v>
      </c>
    </row>
    <row r="139" customFormat="false" ht="15" hidden="false" customHeight="false" outlineLevel="0" collapsed="false">
      <c r="A139" s="12" t="n">
        <v>134</v>
      </c>
      <c r="B139" s="12" t="str">
        <f aca="false">'РПН 01.08 по МО'!B137</f>
        <v>АЛМАТЫ</v>
      </c>
      <c r="C139" s="12" t="str">
        <f aca="false">'РПН 01.08 по МО'!C137</f>
        <v>ТОО "SadAli Group"</v>
      </c>
      <c r="D139" s="12" t="str">
        <f aca="false">'РПН 01.08 по МО'!E137</f>
        <v>7500</v>
      </c>
      <c r="E139" s="12" t="str">
        <f aca="false">'РПН 01.08 по МО'!F137</f>
        <v>г. Алматы</v>
      </c>
      <c r="F139" s="13" t="n">
        <f aca="false">'РПН 01.08 по МО'!D137</f>
        <v>10090</v>
      </c>
      <c r="G139" s="14" t="n">
        <f aca="false">INDEX('Расчет Кплотн'!$K:$K,MATCH(D139,'Расчет Кплотн'!$A:$A,0))</f>
        <v>1</v>
      </c>
      <c r="H139" s="14" t="n">
        <f aca="false">INDEX('Расчет Кплотн'!$J:$J,MATCH(D139,'Расчет Кплотн'!$A:$A,0))</f>
        <v>1</v>
      </c>
      <c r="I139" s="3" t="n">
        <f aca="false">F139*Моделирование!$F$3*M139*G139/1000</f>
        <v>204161.4636</v>
      </c>
      <c r="J139" s="3" t="n">
        <f aca="false">F139*Моделирование!$F$3*M139*H139/1000</f>
        <v>204161.4636</v>
      </c>
      <c r="K139" s="3" t="n">
        <f aca="false">J139-I139</f>
        <v>0</v>
      </c>
      <c r="L139" s="4" t="n">
        <f aca="false">IFERROR(K139/I139,0)</f>
        <v>0</v>
      </c>
      <c r="M139" s="15" t="n">
        <f aca="false">IF(INDEX('Расчет Кплотн'!$D:$D,MATCH(D139,'Расчет Кплотн'!$A:$A,0))="район",IFERROR(VLOOKUP(INDEX('Расчет Кплотн'!$B:$B,MATCH(D139,'Расчет Кплотн'!$A:$A,0)),'БКПН (приказ 170)'!$A$4:$C$10,3,FALSE()),Моделирование!$F$2),Моделирование!$F$2)</f>
        <v>1686.17</v>
      </c>
    </row>
    <row r="140" customFormat="false" ht="15" hidden="false" customHeight="false" outlineLevel="0" collapsed="false">
      <c r="A140" s="12" t="n">
        <v>135</v>
      </c>
      <c r="B140" s="12" t="str">
        <f aca="false">'РПН 01.08 по МО'!B138</f>
        <v>АЛМАТЫ</v>
      </c>
      <c r="C140" s="12" t="str">
        <f aca="false">'РПН 01.08 по МО'!C138</f>
        <v>ТОО "Qamqor Сlinic Almaty"</v>
      </c>
      <c r="D140" s="12" t="str">
        <f aca="false">'РПН 01.08 по МО'!E138</f>
        <v>7500</v>
      </c>
      <c r="E140" s="12" t="str">
        <f aca="false">'РПН 01.08 по МО'!F138</f>
        <v>г. Алматы</v>
      </c>
      <c r="F140" s="13" t="n">
        <f aca="false">'РПН 01.08 по МО'!D138</f>
        <v>13622</v>
      </c>
      <c r="G140" s="14" t="n">
        <f aca="false">INDEX('Расчет Кплотн'!$K:$K,MATCH(D140,'Расчет Кплотн'!$A:$A,0))</f>
        <v>1</v>
      </c>
      <c r="H140" s="14" t="n">
        <f aca="false">INDEX('Расчет Кплотн'!$J:$J,MATCH(D140,'Расчет Кплотн'!$A:$A,0))</f>
        <v>1</v>
      </c>
      <c r="I140" s="3" t="n">
        <f aca="false">F140*Моделирование!$F$3*M140*G140/1000</f>
        <v>275628.09288</v>
      </c>
      <c r="J140" s="3" t="n">
        <f aca="false">F140*Моделирование!$F$3*M140*H140/1000</f>
        <v>275628.09288</v>
      </c>
      <c r="K140" s="3" t="n">
        <f aca="false">J140-I140</f>
        <v>0</v>
      </c>
      <c r="L140" s="4" t="n">
        <f aca="false">IFERROR(K140/I140,0)</f>
        <v>0</v>
      </c>
      <c r="M140" s="15" t="n">
        <f aca="false">IF(INDEX('Расчет Кплотн'!$D:$D,MATCH(D140,'Расчет Кплотн'!$A:$A,0))="район",IFERROR(VLOOKUP(INDEX('Расчет Кплотн'!$B:$B,MATCH(D140,'Расчет Кплотн'!$A:$A,0)),'БКПН (приказ 170)'!$A$4:$C$10,3,FALSE()),Моделирование!$F$2),Моделирование!$F$2)</f>
        <v>1686.17</v>
      </c>
    </row>
    <row r="141" customFormat="false" ht="15" hidden="false" customHeight="false" outlineLevel="0" collapsed="false">
      <c r="A141" s="12" t="n">
        <v>136</v>
      </c>
      <c r="B141" s="12" t="str">
        <f aca="false">'РПН 01.08 по МО'!B139</f>
        <v>АЛМАТЫ</v>
      </c>
      <c r="C141" s="12" t="str">
        <f aca="false">'РПН 01.08 по МО'!C139</f>
        <v>ТОО "Open medical channel"</v>
      </c>
      <c r="D141" s="12" t="str">
        <f aca="false">'РПН 01.08 по МО'!E139</f>
        <v>7500</v>
      </c>
      <c r="E141" s="12" t="str">
        <f aca="false">'РПН 01.08 по МО'!F139</f>
        <v>г. Алматы</v>
      </c>
      <c r="F141" s="13" t="n">
        <f aca="false">'РПН 01.08 по МО'!D139</f>
        <v>24177</v>
      </c>
      <c r="G141" s="14" t="n">
        <f aca="false">INDEX('Расчет Кплотн'!$K:$K,MATCH(D141,'Расчет Кплотн'!$A:$A,0))</f>
        <v>1</v>
      </c>
      <c r="H141" s="14" t="n">
        <f aca="false">INDEX('Расчет Кплотн'!$J:$J,MATCH(D141,'Расчет Кплотн'!$A:$A,0))</f>
        <v>1</v>
      </c>
      <c r="I141" s="3" t="n">
        <f aca="false">F141*Моделирование!$F$3*M141*G141/1000</f>
        <v>489198.38508</v>
      </c>
      <c r="J141" s="3" t="n">
        <f aca="false">F141*Моделирование!$F$3*M141*H141/1000</f>
        <v>489198.38508</v>
      </c>
      <c r="K141" s="3" t="n">
        <f aca="false">J141-I141</f>
        <v>0</v>
      </c>
      <c r="L141" s="4" t="n">
        <f aca="false">IFERROR(K141/I141,0)</f>
        <v>0</v>
      </c>
      <c r="M141" s="15" t="n">
        <f aca="false">IF(INDEX('Расчет Кплотн'!$D:$D,MATCH(D141,'Расчет Кплотн'!$A:$A,0))="район",IFERROR(VLOOKUP(INDEX('Расчет Кплотн'!$B:$B,MATCH(D141,'Расчет Кплотн'!$A:$A,0)),'БКПН (приказ 170)'!$A$4:$C$10,3,FALSE()),Моделирование!$F$2),Моделирование!$F$2)</f>
        <v>1686.17</v>
      </c>
    </row>
    <row r="142" customFormat="false" ht="15" hidden="false" customHeight="false" outlineLevel="0" collapsed="false">
      <c r="A142" s="12" t="n">
        <v>137</v>
      </c>
      <c r="B142" s="12" t="str">
        <f aca="false">'РПН 01.08 по МО'!B140</f>
        <v>АЛМАТЫ</v>
      </c>
      <c r="C142" s="12" t="str">
        <f aca="false">'РПН 01.08 по МО'!C140</f>
        <v>ТОО "Nurlab medical clinic №1"</v>
      </c>
      <c r="D142" s="12" t="str">
        <f aca="false">'РПН 01.08 по МО'!E140</f>
        <v>7500</v>
      </c>
      <c r="E142" s="12" t="str">
        <f aca="false">'РПН 01.08 по МО'!F140</f>
        <v>г. Алматы</v>
      </c>
      <c r="F142" s="13" t="n">
        <f aca="false">'РПН 01.08 по МО'!D140</f>
        <v>11501</v>
      </c>
      <c r="G142" s="14" t="n">
        <f aca="false">INDEX('Расчет Кплотн'!$K:$K,MATCH(D142,'Расчет Кплотн'!$A:$A,0))</f>
        <v>1</v>
      </c>
      <c r="H142" s="14" t="n">
        <f aca="false">INDEX('Расчет Кплотн'!$J:$J,MATCH(D142,'Расчет Кплотн'!$A:$A,0))</f>
        <v>1</v>
      </c>
      <c r="I142" s="3" t="n">
        <f aca="false">F142*Моделирование!$F$3*M142*G142/1000</f>
        <v>232711.69404</v>
      </c>
      <c r="J142" s="3" t="n">
        <f aca="false">F142*Моделирование!$F$3*M142*H142/1000</f>
        <v>232711.69404</v>
      </c>
      <c r="K142" s="3" t="n">
        <f aca="false">J142-I142</f>
        <v>0</v>
      </c>
      <c r="L142" s="4" t="n">
        <f aca="false">IFERROR(K142/I142,0)</f>
        <v>0</v>
      </c>
      <c r="M142" s="15" t="n">
        <f aca="false">IF(INDEX('Расчет Кплотн'!$D:$D,MATCH(D142,'Расчет Кплотн'!$A:$A,0))="район",IFERROR(VLOOKUP(INDEX('Расчет Кплотн'!$B:$B,MATCH(D142,'Расчет Кплотн'!$A:$A,0)),'БКПН (приказ 170)'!$A$4:$C$10,3,FALSE()),Моделирование!$F$2),Моделирование!$F$2)</f>
        <v>1686.17</v>
      </c>
    </row>
    <row r="143" customFormat="false" ht="15" hidden="false" customHeight="false" outlineLevel="0" collapsed="false">
      <c r="A143" s="12" t="n">
        <v>138</v>
      </c>
      <c r="B143" s="12" t="str">
        <f aca="false">'РПН 01.08 по МО'!B141</f>
        <v>АЛМАТЫ</v>
      </c>
      <c r="C143" s="12" t="str">
        <f aca="false">'РПН 01.08 по МО'!C141</f>
        <v>ТОО "KazMed Company"</v>
      </c>
      <c r="D143" s="12" t="str">
        <f aca="false">'РПН 01.08 по МО'!E141</f>
        <v>7500</v>
      </c>
      <c r="E143" s="12" t="str">
        <f aca="false">'РПН 01.08 по МО'!F141</f>
        <v>г. Алматы</v>
      </c>
      <c r="F143" s="13" t="n">
        <f aca="false">'РПН 01.08 по МО'!D141</f>
        <v>8553</v>
      </c>
      <c r="G143" s="14" t="n">
        <f aca="false">INDEX('Расчет Кплотн'!$K:$K,MATCH(D143,'Расчет Кплотн'!$A:$A,0))</f>
        <v>1</v>
      </c>
      <c r="H143" s="14" t="n">
        <f aca="false">INDEX('Расчет Кплотн'!$J:$J,MATCH(D143,'Расчет Кплотн'!$A:$A,0))</f>
        <v>1</v>
      </c>
      <c r="I143" s="3" t="n">
        <f aca="false">F143*Моделирование!$F$3*M143*G143/1000</f>
        <v>173061.74412</v>
      </c>
      <c r="J143" s="3" t="n">
        <f aca="false">F143*Моделирование!$F$3*M143*H143/1000</f>
        <v>173061.74412</v>
      </c>
      <c r="K143" s="3" t="n">
        <f aca="false">J143-I143</f>
        <v>0</v>
      </c>
      <c r="L143" s="4" t="n">
        <f aca="false">IFERROR(K143/I143,0)</f>
        <v>0</v>
      </c>
      <c r="M143" s="15" t="n">
        <f aca="false">IF(INDEX('Расчет Кплотн'!$D:$D,MATCH(D143,'Расчет Кплотн'!$A:$A,0))="район",IFERROR(VLOOKUP(INDEX('Расчет Кплотн'!$B:$B,MATCH(D143,'Расчет Кплотн'!$A:$A,0)),'БКПН (приказ 170)'!$A$4:$C$10,3,FALSE()),Моделирование!$F$2),Моделирование!$F$2)</f>
        <v>1686.17</v>
      </c>
    </row>
    <row r="144" customFormat="false" ht="15" hidden="false" customHeight="false" outlineLevel="0" collapsed="false">
      <c r="A144" s="12" t="n">
        <v>139</v>
      </c>
      <c r="B144" s="12" t="str">
        <f aca="false">'РПН 01.08 по МО'!B142</f>
        <v>АЛМАТЫ</v>
      </c>
      <c r="C144" s="12" t="str">
        <f aca="false">'РПН 01.08 по МО'!C142</f>
        <v>Республиканское государственное предприятие на праве хозяйственного ведения "Национальный госпиталь Медицинского центра Управления делами Президента Республики Казахстан"</v>
      </c>
      <c r="D144" s="12" t="str">
        <f aca="false">'РПН 01.08 по МО'!E142</f>
        <v>7500</v>
      </c>
      <c r="E144" s="12" t="str">
        <f aca="false">'РПН 01.08 по МО'!F142</f>
        <v>г. Алматы</v>
      </c>
      <c r="F144" s="13" t="n">
        <f aca="false">'РПН 01.08 по МО'!D142</f>
        <v>19645</v>
      </c>
      <c r="G144" s="14" t="n">
        <f aca="false">INDEX('Расчет Кплотн'!$K:$K,MATCH(D144,'Расчет Кплотн'!$A:$A,0))</f>
        <v>1</v>
      </c>
      <c r="H144" s="14" t="n">
        <f aca="false">INDEX('Расчет Кплотн'!$J:$J,MATCH(D144,'Расчет Кплотн'!$A:$A,0))</f>
        <v>1</v>
      </c>
      <c r="I144" s="3" t="n">
        <f aca="false">F144*Моделирование!$F$3*M144*G144/1000</f>
        <v>397497.7158</v>
      </c>
      <c r="J144" s="3" t="n">
        <f aca="false">F144*Моделирование!$F$3*M144*H144/1000</f>
        <v>397497.7158</v>
      </c>
      <c r="K144" s="3" t="n">
        <f aca="false">J144-I144</f>
        <v>0</v>
      </c>
      <c r="L144" s="4" t="n">
        <f aca="false">IFERROR(K144/I144,0)</f>
        <v>0</v>
      </c>
      <c r="M144" s="15" t="n">
        <f aca="false">IF(INDEX('Расчет Кплотн'!$D:$D,MATCH(D144,'Расчет Кплотн'!$A:$A,0))="район",IFERROR(VLOOKUP(INDEX('Расчет Кплотн'!$B:$B,MATCH(D144,'Расчет Кплотн'!$A:$A,0)),'БКПН (приказ 170)'!$A$4:$C$10,3,FALSE()),Моделирование!$F$2),Моделирование!$F$2)</f>
        <v>1686.17</v>
      </c>
    </row>
    <row r="145" customFormat="false" ht="15" hidden="false" customHeight="false" outlineLevel="0" collapsed="false">
      <c r="A145" s="12" t="n">
        <v>140</v>
      </c>
      <c r="B145" s="12" t="str">
        <f aca="false">'РПН 01.08 по МО'!B143</f>
        <v>АЛМАТЫ</v>
      </c>
      <c r="C145" s="12" t="str">
        <f aca="false">'РПН 01.08 по МО'!C143</f>
        <v>ТОО "D0CT0R H@USE"</v>
      </c>
      <c r="D145" s="12" t="str">
        <f aca="false">'РПН 01.08 по МО'!E143</f>
        <v>7500</v>
      </c>
      <c r="E145" s="12" t="str">
        <f aca="false">'РПН 01.08 по МО'!F143</f>
        <v>г. Алматы</v>
      </c>
      <c r="F145" s="13" t="n">
        <f aca="false">'РПН 01.08 по МО'!D143</f>
        <v>10355</v>
      </c>
      <c r="G145" s="14" t="n">
        <f aca="false">INDEX('Расчет Кплотн'!$K:$K,MATCH(D145,'Расчет Кплотн'!$A:$A,0))</f>
        <v>1</v>
      </c>
      <c r="H145" s="14" t="n">
        <f aca="false">INDEX('Расчет Кплотн'!$J:$J,MATCH(D145,'Расчет Кплотн'!$A:$A,0))</f>
        <v>1</v>
      </c>
      <c r="I145" s="3" t="n">
        <f aca="false">F145*Моделирование!$F$3*M145*G145/1000</f>
        <v>209523.4842</v>
      </c>
      <c r="J145" s="3" t="n">
        <f aca="false">F145*Моделирование!$F$3*M145*H145/1000</f>
        <v>209523.4842</v>
      </c>
      <c r="K145" s="3" t="n">
        <f aca="false">J145-I145</f>
        <v>0</v>
      </c>
      <c r="L145" s="4" t="n">
        <f aca="false">IFERROR(K145/I145,0)</f>
        <v>0</v>
      </c>
      <c r="M145" s="15" t="n">
        <f aca="false">IF(INDEX('Расчет Кплотн'!$D:$D,MATCH(D145,'Расчет Кплотн'!$A:$A,0))="район",IFERROR(VLOOKUP(INDEX('Расчет Кплотн'!$B:$B,MATCH(D145,'Расчет Кплотн'!$A:$A,0)),'БКПН (приказ 170)'!$A$4:$C$10,3,FALSE()),Моделирование!$F$2),Моделирование!$F$2)</f>
        <v>1686.17</v>
      </c>
    </row>
    <row r="146" customFormat="false" ht="15" hidden="false" customHeight="false" outlineLevel="0" collapsed="false">
      <c r="A146" s="12" t="n">
        <v>141</v>
      </c>
      <c r="B146" s="12" t="str">
        <f aca="false">'РПН 01.08 по МО'!B144</f>
        <v>АЛМАТЫ</v>
      </c>
      <c r="C146" s="12" t="str">
        <f aca="false">'РПН 01.08 по МО'!C144</f>
        <v>ТОО "Almaty Clinic"</v>
      </c>
      <c r="D146" s="12" t="str">
        <f aca="false">'РПН 01.08 по МО'!E144</f>
        <v>7500</v>
      </c>
      <c r="E146" s="12" t="str">
        <f aca="false">'РПН 01.08 по МО'!F144</f>
        <v>г. Алматы</v>
      </c>
      <c r="F146" s="13" t="n">
        <f aca="false">'РПН 01.08 по МО'!D144</f>
        <v>35500</v>
      </c>
      <c r="G146" s="14" t="n">
        <f aca="false">INDEX('Расчет Кплотн'!$K:$K,MATCH(D146,'Расчет Кплотн'!$A:$A,0))</f>
        <v>1</v>
      </c>
      <c r="H146" s="14" t="n">
        <f aca="false">INDEX('Расчет Кплотн'!$J:$J,MATCH(D146,'Расчет Кплотн'!$A:$A,0))</f>
        <v>1</v>
      </c>
      <c r="I146" s="3" t="n">
        <f aca="false">F146*Моделирование!$F$3*M146*G146/1000</f>
        <v>718308.42</v>
      </c>
      <c r="J146" s="3" t="n">
        <f aca="false">F146*Моделирование!$F$3*M146*H146/1000</f>
        <v>718308.42</v>
      </c>
      <c r="K146" s="3" t="n">
        <f aca="false">J146-I146</f>
        <v>0</v>
      </c>
      <c r="L146" s="4" t="n">
        <f aca="false">IFERROR(K146/I146,0)</f>
        <v>0</v>
      </c>
      <c r="M146" s="15" t="n">
        <f aca="false">IF(INDEX('Расчет Кплотн'!$D:$D,MATCH(D146,'Расчет Кплотн'!$A:$A,0))="район",IFERROR(VLOOKUP(INDEX('Расчет Кплотн'!$B:$B,MATCH(D146,'Расчет Кплотн'!$A:$A,0)),'БКПН (приказ 170)'!$A$4:$C$10,3,FALSE()),Моделирование!$F$2),Моделирование!$F$2)</f>
        <v>1686.17</v>
      </c>
    </row>
    <row r="147" customFormat="false" ht="15" hidden="false" customHeight="false" outlineLevel="0" collapsed="false">
      <c r="A147" s="12" t="n">
        <v>142</v>
      </c>
      <c r="B147" s="12" t="str">
        <f aca="false">'РПН 01.08 по МО'!B145</f>
        <v>АЛМАТЫ</v>
      </c>
      <c r="C147" s="12" t="str">
        <f aca="false">'РПН 01.08 по МО'!C145</f>
        <v>ТОО "Alatau Assistance"</v>
      </c>
      <c r="D147" s="12" t="str">
        <f aca="false">'РПН 01.08 по МО'!E145</f>
        <v>7500</v>
      </c>
      <c r="E147" s="12" t="str">
        <f aca="false">'РПН 01.08 по МО'!F145</f>
        <v>г. Алматы</v>
      </c>
      <c r="F147" s="13" t="n">
        <f aca="false">'РПН 01.08 по МО'!D145</f>
        <v>15615</v>
      </c>
      <c r="G147" s="14" t="n">
        <f aca="false">INDEX('Расчет Кплотн'!$K:$K,MATCH(D147,'Расчет Кплотн'!$A:$A,0))</f>
        <v>1</v>
      </c>
      <c r="H147" s="14" t="n">
        <f aca="false">INDEX('Расчет Кплотн'!$J:$J,MATCH(D147,'Расчет Кплотн'!$A:$A,0))</f>
        <v>1</v>
      </c>
      <c r="I147" s="3" t="n">
        <f aca="false">F147*Моделирование!$F$3*M147*G147/1000</f>
        <v>315954.5346</v>
      </c>
      <c r="J147" s="3" t="n">
        <f aca="false">F147*Моделирование!$F$3*M147*H147/1000</f>
        <v>315954.5346</v>
      </c>
      <c r="K147" s="3" t="n">
        <f aca="false">J147-I147</f>
        <v>0</v>
      </c>
      <c r="L147" s="4" t="n">
        <f aca="false">IFERROR(K147/I147,0)</f>
        <v>0</v>
      </c>
      <c r="M147" s="15" t="n">
        <f aca="false">IF(INDEX('Расчет Кплотн'!$D:$D,MATCH(D147,'Расчет Кплотн'!$A:$A,0))="район",IFERROR(VLOOKUP(INDEX('Расчет Кплотн'!$B:$B,MATCH(D147,'Расчет Кплотн'!$A:$A,0)),'БКПН (приказ 170)'!$A$4:$C$10,3,FALSE()),Моделирование!$F$2),Моделирование!$F$2)</f>
        <v>1686.17</v>
      </c>
    </row>
    <row r="148" customFormat="false" ht="15" hidden="false" customHeight="false" outlineLevel="0" collapsed="false">
      <c r="A148" s="12" t="n">
        <v>143</v>
      </c>
      <c r="B148" s="12" t="str">
        <f aca="false">'РПН 01.08 по МО'!B146</f>
        <v>АЛМАТЫ</v>
      </c>
      <c r="C148" s="12" t="str">
        <f aca="false">'РПН 01.08 по МО'!C146</f>
        <v>ТОО "A CLINIC"</v>
      </c>
      <c r="D148" s="12" t="str">
        <f aca="false">'РПН 01.08 по МО'!E146</f>
        <v>7500</v>
      </c>
      <c r="E148" s="12" t="str">
        <f aca="false">'РПН 01.08 по МО'!F146</f>
        <v>г. Алматы</v>
      </c>
      <c r="F148" s="13" t="n">
        <f aca="false">'РПН 01.08 по МО'!D146</f>
        <v>23793</v>
      </c>
      <c r="G148" s="14" t="n">
        <f aca="false">INDEX('Расчет Кплотн'!$K:$K,MATCH(D148,'Расчет Кплотн'!$A:$A,0))</f>
        <v>1</v>
      </c>
      <c r="H148" s="14" t="n">
        <f aca="false">INDEX('Расчет Кплотн'!$J:$J,MATCH(D148,'Расчет Кплотн'!$A:$A,0))</f>
        <v>1</v>
      </c>
      <c r="I148" s="3" t="n">
        <f aca="false">F148*Моделирование!$F$3*M148*G148/1000</f>
        <v>481428.51372</v>
      </c>
      <c r="J148" s="3" t="n">
        <f aca="false">F148*Моделирование!$F$3*M148*H148/1000</f>
        <v>481428.51372</v>
      </c>
      <c r="K148" s="3" t="n">
        <f aca="false">J148-I148</f>
        <v>0</v>
      </c>
      <c r="L148" s="4" t="n">
        <f aca="false">IFERROR(K148/I148,0)</f>
        <v>0</v>
      </c>
      <c r="M148" s="15" t="n">
        <f aca="false">IF(INDEX('Расчет Кплотн'!$D:$D,MATCH(D148,'Расчет Кплотн'!$A:$A,0))="район",IFERROR(VLOOKUP(INDEX('Расчет Кплотн'!$B:$B,MATCH(D148,'Расчет Кплотн'!$A:$A,0)),'БКПН (приказ 170)'!$A$4:$C$10,3,FALSE()),Моделирование!$F$2),Моделирование!$F$2)</f>
        <v>1686.17</v>
      </c>
    </row>
    <row r="149" customFormat="false" ht="15" hidden="false" customHeight="false" outlineLevel="0" collapsed="false">
      <c r="A149" s="12" t="n">
        <v>144</v>
      </c>
      <c r="B149" s="12" t="str">
        <f aca="false">'РПН 01.08 по МО'!B147</f>
        <v>АЛМАТЫ</v>
      </c>
      <c r="C149" s="12" t="str">
        <f aca="false">'РПН 01.08 по МО'!C147</f>
        <v>Товарищество с ограниченной ответственностью "NaraMed"</v>
      </c>
      <c r="D149" s="12" t="str">
        <f aca="false">'РПН 01.08 по МО'!E147</f>
        <v>7500</v>
      </c>
      <c r="E149" s="12" t="str">
        <f aca="false">'РПН 01.08 по МО'!F147</f>
        <v>г. Алматы</v>
      </c>
      <c r="F149" s="13" t="n">
        <f aca="false">'РПН 01.08 по МО'!D147</f>
        <v>3017</v>
      </c>
      <c r="G149" s="14" t="n">
        <f aca="false">INDEX('Расчет Кплотн'!$K:$K,MATCH(D149,'Расчет Кплотн'!$A:$A,0))</f>
        <v>1</v>
      </c>
      <c r="H149" s="14" t="n">
        <f aca="false">INDEX('Расчет Кплотн'!$J:$J,MATCH(D149,'Расчет Кплотн'!$A:$A,0))</f>
        <v>1</v>
      </c>
      <c r="I149" s="3" t="n">
        <f aca="false">F149*Моделирование!$F$3*M149*G149/1000</f>
        <v>61046.09868</v>
      </c>
      <c r="J149" s="3" t="n">
        <f aca="false">F149*Моделирование!$F$3*M149*H149/1000</f>
        <v>61046.09868</v>
      </c>
      <c r="K149" s="3" t="n">
        <f aca="false">J149-I149</f>
        <v>0</v>
      </c>
      <c r="L149" s="4" t="n">
        <f aca="false">IFERROR(K149/I149,0)</f>
        <v>0</v>
      </c>
      <c r="M149" s="15" t="n">
        <f aca="false">IF(INDEX('Расчет Кплотн'!$D:$D,MATCH(D149,'Расчет Кплотн'!$A:$A,0))="район",IFERROR(VLOOKUP(INDEX('Расчет Кплотн'!$B:$B,MATCH(D149,'Расчет Кплотн'!$A:$A,0)),'БКПН (приказ 170)'!$A$4:$C$10,3,FALSE()),Моделирование!$F$2),Моделирование!$F$2)</f>
        <v>1686.17</v>
      </c>
    </row>
    <row r="150" customFormat="false" ht="15" hidden="false" customHeight="false" outlineLevel="0" collapsed="false">
      <c r="A150" s="12" t="n">
        <v>145</v>
      </c>
      <c r="B150" s="12" t="str">
        <f aca="false">'РПН 01.08 по МО'!B148</f>
        <v>АЛМАТЫ</v>
      </c>
      <c r="C150" s="12" t="str">
        <f aca="false">'РПН 01.08 по МО'!C148</f>
        <v>Товарищество с ограниченной ответственностью "LS-clinic"</v>
      </c>
      <c r="D150" s="12" t="str">
        <f aca="false">'РПН 01.08 по МО'!E148</f>
        <v>7500</v>
      </c>
      <c r="E150" s="12" t="str">
        <f aca="false">'РПН 01.08 по МО'!F148</f>
        <v>г. Алматы</v>
      </c>
      <c r="F150" s="13" t="n">
        <f aca="false">'РПН 01.08 по МО'!D148</f>
        <v>18684</v>
      </c>
      <c r="G150" s="14" t="n">
        <f aca="false">INDEX('Расчет Кплотн'!$K:$K,MATCH(D150,'Расчет Кплотн'!$A:$A,0))</f>
        <v>1</v>
      </c>
      <c r="H150" s="14" t="n">
        <f aca="false">INDEX('Расчет Кплотн'!$J:$J,MATCH(D150,'Расчет Кплотн'!$A:$A,0))</f>
        <v>1</v>
      </c>
      <c r="I150" s="3" t="n">
        <f aca="false">F150*Моделирование!$F$3*M150*G150/1000</f>
        <v>378052.80336</v>
      </c>
      <c r="J150" s="3" t="n">
        <f aca="false">F150*Моделирование!$F$3*M150*H150/1000</f>
        <v>378052.80336</v>
      </c>
      <c r="K150" s="3" t="n">
        <f aca="false">J150-I150</f>
        <v>0</v>
      </c>
      <c r="L150" s="4" t="n">
        <f aca="false">IFERROR(K150/I150,0)</f>
        <v>0</v>
      </c>
      <c r="M150" s="15" t="n">
        <f aca="false">IF(INDEX('Расчет Кплотн'!$D:$D,MATCH(D150,'Расчет Кплотн'!$A:$A,0))="район",IFERROR(VLOOKUP(INDEX('Расчет Кплотн'!$B:$B,MATCH(D150,'Расчет Кплотн'!$A:$A,0)),'БКПН (приказ 170)'!$A$4:$C$10,3,FALSE()),Моделирование!$F$2),Моделирование!$F$2)</f>
        <v>1686.17</v>
      </c>
    </row>
    <row r="151" customFormat="false" ht="15" hidden="false" customHeight="false" outlineLevel="0" collapsed="false">
      <c r="A151" s="12" t="n">
        <v>146</v>
      </c>
      <c r="B151" s="12" t="str">
        <f aca="false">'РПН 01.08 по МО'!B149</f>
        <v>АЛМАТЫ</v>
      </c>
      <c r="C151" s="12" t="str">
        <f aca="false">'РПН 01.08 по МО'!C149</f>
        <v>ТОО "АСМЕД Тургут Озала"</v>
      </c>
      <c r="D151" s="12" t="str">
        <f aca="false">'РПН 01.08 по МО'!E149</f>
        <v>7500</v>
      </c>
      <c r="E151" s="12" t="str">
        <f aca="false">'РПН 01.08 по МО'!F149</f>
        <v>г. Алматы</v>
      </c>
      <c r="F151" s="13" t="n">
        <f aca="false">'РПН 01.08 по МО'!D149</f>
        <v>77532</v>
      </c>
      <c r="G151" s="14" t="n">
        <f aca="false">INDEX('Расчет Кплотн'!$K:$K,MATCH(D151,'Расчет Кплотн'!$A:$A,0))</f>
        <v>1</v>
      </c>
      <c r="H151" s="14" t="n">
        <f aca="false">INDEX('Расчет Кплотн'!$J:$J,MATCH(D151,'Расчет Кплотн'!$A:$A,0))</f>
        <v>1</v>
      </c>
      <c r="I151" s="3" t="n">
        <f aca="false">F151*Моделирование!$F$3*M151*G151/1000</f>
        <v>1568785.58928</v>
      </c>
      <c r="J151" s="3" t="n">
        <f aca="false">F151*Моделирование!$F$3*M151*H151/1000</f>
        <v>1568785.58928</v>
      </c>
      <c r="K151" s="3" t="n">
        <f aca="false">J151-I151</f>
        <v>0</v>
      </c>
      <c r="L151" s="4" t="n">
        <f aca="false">IFERROR(K151/I151,0)</f>
        <v>0</v>
      </c>
      <c r="M151" s="15" t="n">
        <f aca="false">IF(INDEX('Расчет Кплотн'!$D:$D,MATCH(D151,'Расчет Кплотн'!$A:$A,0))="район",IFERROR(VLOOKUP(INDEX('Расчет Кплотн'!$B:$B,MATCH(D151,'Расчет Кплотн'!$A:$A,0)),'БКПН (приказ 170)'!$A$4:$C$10,3,FALSE()),Моделирование!$F$2),Моделирование!$F$2)</f>
        <v>1686.17</v>
      </c>
    </row>
    <row r="152" customFormat="false" ht="15" hidden="false" customHeight="false" outlineLevel="0" collapsed="false">
      <c r="A152" s="12" t="n">
        <v>147</v>
      </c>
      <c r="B152" s="12" t="str">
        <f aca="false">'РПН 01.08 по МО'!B150</f>
        <v>АЛМАТЫ</v>
      </c>
      <c r="C152" s="12" t="str">
        <f aca="false">'РПН 01.08 по МО'!C150</f>
        <v>НАО "КазНМУ"</v>
      </c>
      <c r="D152" s="12" t="str">
        <f aca="false">'РПН 01.08 по МО'!E150</f>
        <v>7500</v>
      </c>
      <c r="E152" s="12" t="str">
        <f aca="false">'РПН 01.08 по МО'!F150</f>
        <v>г. Алматы</v>
      </c>
      <c r="F152" s="13" t="n">
        <f aca="false">'РПН 01.08 по МО'!D150</f>
        <v>13754</v>
      </c>
      <c r="G152" s="14" t="n">
        <f aca="false">INDEX('Расчет Кплотн'!$K:$K,MATCH(D152,'Расчет Кплотн'!$A:$A,0))</f>
        <v>1</v>
      </c>
      <c r="H152" s="14" t="n">
        <f aca="false">INDEX('Расчет Кплотн'!$J:$J,MATCH(D152,'Расчет Кплотн'!$A:$A,0))</f>
        <v>1</v>
      </c>
      <c r="I152" s="3" t="n">
        <f aca="false">F152*Моделирование!$F$3*M152*G152/1000</f>
        <v>278298.98616</v>
      </c>
      <c r="J152" s="3" t="n">
        <f aca="false">F152*Моделирование!$F$3*M152*H152/1000</f>
        <v>278298.98616</v>
      </c>
      <c r="K152" s="3" t="n">
        <f aca="false">J152-I152</f>
        <v>0</v>
      </c>
      <c r="L152" s="4" t="n">
        <f aca="false">IFERROR(K152/I152,0)</f>
        <v>0</v>
      </c>
      <c r="M152" s="15" t="n">
        <f aca="false">IF(INDEX('Расчет Кплотн'!$D:$D,MATCH(D152,'Расчет Кплотн'!$A:$A,0))="район",IFERROR(VLOOKUP(INDEX('Расчет Кплотн'!$B:$B,MATCH(D152,'Расчет Кплотн'!$A:$A,0)),'БКПН (приказ 170)'!$A$4:$C$10,3,FALSE()),Моделирование!$F$2),Моделирование!$F$2)</f>
        <v>1686.17</v>
      </c>
    </row>
    <row r="153" customFormat="false" ht="15" hidden="false" customHeight="false" outlineLevel="0" collapsed="false">
      <c r="A153" s="12" t="n">
        <v>148</v>
      </c>
      <c r="B153" s="12" t="str">
        <f aca="false">'РПН 01.08 по МО'!B151</f>
        <v>АЛМАТЫ</v>
      </c>
      <c r="C153" s="12" t="str">
        <f aca="false">'РПН 01.08 по МО'!C151</f>
        <v>ТОО "HAYY CLINIC"</v>
      </c>
      <c r="D153" s="12" t="str">
        <f aca="false">'РПН 01.08 по МО'!E151</f>
        <v>7500</v>
      </c>
      <c r="E153" s="12" t="str">
        <f aca="false">'РПН 01.08 по МО'!F151</f>
        <v>г. Алматы</v>
      </c>
      <c r="F153" s="13" t="n">
        <f aca="false">'РПН 01.08 по МО'!D151</f>
        <v>6046</v>
      </c>
      <c r="G153" s="14" t="n">
        <f aca="false">INDEX('Расчет Кплотн'!$K:$K,MATCH(D153,'Расчет Кплотн'!$A:$A,0))</f>
        <v>1</v>
      </c>
      <c r="H153" s="14" t="n">
        <f aca="false">INDEX('Расчет Кплотн'!$J:$J,MATCH(D153,'Расчет Кплотн'!$A:$A,0))</f>
        <v>1</v>
      </c>
      <c r="I153" s="3" t="n">
        <f aca="false">F153*Моделирование!$F$3*M153*G153/1000</f>
        <v>122335.00584</v>
      </c>
      <c r="J153" s="3" t="n">
        <f aca="false">F153*Моделирование!$F$3*M153*H153/1000</f>
        <v>122335.00584</v>
      </c>
      <c r="K153" s="3" t="n">
        <f aca="false">J153-I153</f>
        <v>0</v>
      </c>
      <c r="L153" s="4" t="n">
        <f aca="false">IFERROR(K153/I153,0)</f>
        <v>0</v>
      </c>
      <c r="M153" s="15" t="n">
        <f aca="false">IF(INDEX('Расчет Кплотн'!$D:$D,MATCH(D153,'Расчет Кплотн'!$A:$A,0))="район",IFERROR(VLOOKUP(INDEX('Расчет Кплотн'!$B:$B,MATCH(D153,'Расчет Кплотн'!$A:$A,0)),'БКПН (приказ 170)'!$A$4:$C$10,3,FALSE()),Моделирование!$F$2),Моделирование!$F$2)</f>
        <v>1686.17</v>
      </c>
    </row>
    <row r="154" customFormat="false" ht="15" hidden="false" customHeight="false" outlineLevel="0" collapsed="false">
      <c r="A154" s="12" t="n">
        <v>149</v>
      </c>
      <c r="B154" s="12" t="str">
        <f aca="false">'РПН 01.08 по МО'!B152</f>
        <v>АЛМАТЫ</v>
      </c>
      <c r="C154" s="12" t="str">
        <f aca="false">'РПН 01.08 по МО'!C152</f>
        <v>ТОО "Городская клиническая больница №8 УОЗ г.Алматы"</v>
      </c>
      <c r="D154" s="12" t="str">
        <f aca="false">'РПН 01.08 по МО'!E152</f>
        <v>7500</v>
      </c>
      <c r="E154" s="12" t="str">
        <f aca="false">'РПН 01.08 по МО'!F152</f>
        <v>г. Алматы</v>
      </c>
      <c r="F154" s="13" t="n">
        <f aca="false">'РПН 01.08 по МО'!D152</f>
        <v>11545</v>
      </c>
      <c r="G154" s="14" t="n">
        <f aca="false">INDEX('Расчет Кплотн'!$K:$K,MATCH(D154,'Расчет Кплотн'!$A:$A,0))</f>
        <v>1</v>
      </c>
      <c r="H154" s="14" t="n">
        <f aca="false">INDEX('Расчет Кплотн'!$J:$J,MATCH(D154,'Расчет Кплотн'!$A:$A,0))</f>
        <v>1</v>
      </c>
      <c r="I154" s="3" t="n">
        <f aca="false">F154*Моделирование!$F$3*M154*G154/1000</f>
        <v>233601.9918</v>
      </c>
      <c r="J154" s="3" t="n">
        <f aca="false">F154*Моделирование!$F$3*M154*H154/1000</f>
        <v>233601.9918</v>
      </c>
      <c r="K154" s="3" t="n">
        <f aca="false">J154-I154</f>
        <v>0</v>
      </c>
      <c r="L154" s="4" t="n">
        <f aca="false">IFERROR(K154/I154,0)</f>
        <v>0</v>
      </c>
      <c r="M154" s="15" t="n">
        <f aca="false">IF(INDEX('Расчет Кплотн'!$D:$D,MATCH(D154,'Расчет Кплотн'!$A:$A,0))="район",IFERROR(VLOOKUP(INDEX('Расчет Кплотн'!$B:$B,MATCH(D154,'Расчет Кплотн'!$A:$A,0)),'БКПН (приказ 170)'!$A$4:$C$10,3,FALSE()),Моделирование!$F$2),Моделирование!$F$2)</f>
        <v>1686.17</v>
      </c>
    </row>
    <row r="155" customFormat="false" ht="15" hidden="false" customHeight="false" outlineLevel="0" collapsed="false">
      <c r="A155" s="12" t="n">
        <v>150</v>
      </c>
      <c r="B155" s="12" t="str">
        <f aca="false">'РПН 01.08 по МО'!B153</f>
        <v>АЛМАТЫ</v>
      </c>
      <c r="C155" s="12" t="str">
        <f aca="false">'РПН 01.08 по МО'!C153</f>
        <v>ТОО "Медицинский центр "Med City"</v>
      </c>
      <c r="D155" s="12" t="str">
        <f aca="false">'РПН 01.08 по МО'!E153</f>
        <v>7500</v>
      </c>
      <c r="E155" s="12" t="str">
        <f aca="false">'РПН 01.08 по МО'!F153</f>
        <v>г. Алматы</v>
      </c>
      <c r="F155" s="13" t="n">
        <f aca="false">'РПН 01.08 по МО'!D153</f>
        <v>18708</v>
      </c>
      <c r="G155" s="14" t="n">
        <f aca="false">INDEX('Расчет Кплотн'!$K:$K,MATCH(D155,'Расчет Кплотн'!$A:$A,0))</f>
        <v>1</v>
      </c>
      <c r="H155" s="14" t="n">
        <f aca="false">INDEX('Расчет Кплотн'!$J:$J,MATCH(D155,'Расчет Кплотн'!$A:$A,0))</f>
        <v>1</v>
      </c>
      <c r="I155" s="3" t="n">
        <f aca="false">F155*Моделирование!$F$3*M155*G155/1000</f>
        <v>378538.42032</v>
      </c>
      <c r="J155" s="3" t="n">
        <f aca="false">F155*Моделирование!$F$3*M155*H155/1000</f>
        <v>378538.42032</v>
      </c>
      <c r="K155" s="3" t="n">
        <f aca="false">J155-I155</f>
        <v>0</v>
      </c>
      <c r="L155" s="4" t="n">
        <f aca="false">IFERROR(K155/I155,0)</f>
        <v>0</v>
      </c>
      <c r="M155" s="15" t="n">
        <f aca="false">IF(INDEX('Расчет Кплотн'!$D:$D,MATCH(D155,'Расчет Кплотн'!$A:$A,0))="район",IFERROR(VLOOKUP(INDEX('Расчет Кплотн'!$B:$B,MATCH(D155,'Расчет Кплотн'!$A:$A,0)),'БКПН (приказ 170)'!$A$4:$C$10,3,FALSE()),Моделирование!$F$2),Моделирование!$F$2)</f>
        <v>1686.17</v>
      </c>
    </row>
    <row r="156" customFormat="false" ht="15" hidden="false" customHeight="false" outlineLevel="0" collapsed="false">
      <c r="A156" s="12" t="n">
        <v>151</v>
      </c>
      <c r="B156" s="12" t="str">
        <f aca="false">'РПН 01.08 по МО'!B154</f>
        <v>АЛМАТЫ</v>
      </c>
      <c r="C156" s="12" t="str">
        <f aca="false">'РПН 01.08 по МО'!C154</f>
        <v>ТОО "Каусар Плюс"</v>
      </c>
      <c r="D156" s="12" t="str">
        <f aca="false">'РПН 01.08 по МО'!E154</f>
        <v>7500</v>
      </c>
      <c r="E156" s="12" t="str">
        <f aca="false">'РПН 01.08 по МО'!F154</f>
        <v>г. Алматы</v>
      </c>
      <c r="F156" s="13" t="n">
        <f aca="false">'РПН 01.08 по МО'!D154</f>
        <v>14209</v>
      </c>
      <c r="G156" s="14" t="n">
        <f aca="false">INDEX('Расчет Кплотн'!$K:$K,MATCH(D156,'Расчет Кплотн'!$A:$A,0))</f>
        <v>1</v>
      </c>
      <c r="H156" s="14" t="n">
        <f aca="false">INDEX('Расчет Кплотн'!$J:$J,MATCH(D156,'Расчет Кплотн'!$A:$A,0))</f>
        <v>1</v>
      </c>
      <c r="I156" s="3" t="n">
        <f aca="false">F156*Моделирование!$F$3*M156*G156/1000</f>
        <v>287505.47436</v>
      </c>
      <c r="J156" s="3" t="n">
        <f aca="false">F156*Моделирование!$F$3*M156*H156/1000</f>
        <v>287505.47436</v>
      </c>
      <c r="K156" s="3" t="n">
        <f aca="false">J156-I156</f>
        <v>0</v>
      </c>
      <c r="L156" s="4" t="n">
        <f aca="false">IFERROR(K156/I156,0)</f>
        <v>0</v>
      </c>
      <c r="M156" s="15" t="n">
        <f aca="false">IF(INDEX('Расчет Кплотн'!$D:$D,MATCH(D156,'Расчет Кплотн'!$A:$A,0))="район",IFERROR(VLOOKUP(INDEX('Расчет Кплотн'!$B:$B,MATCH(D156,'Расчет Кплотн'!$A:$A,0)),'БКПН (приказ 170)'!$A$4:$C$10,3,FALSE()),Моделирование!$F$2),Моделирование!$F$2)</f>
        <v>1686.17</v>
      </c>
    </row>
    <row r="157" customFormat="false" ht="15" hidden="false" customHeight="false" outlineLevel="0" collapsed="false">
      <c r="A157" s="12" t="n">
        <v>152</v>
      </c>
      <c r="B157" s="12" t="str">
        <f aca="false">'РПН 01.08 по МО'!B155</f>
        <v>АЛМАТЫ</v>
      </c>
      <c r="C157" s="12" t="str">
        <f aca="false">'РПН 01.08 по МО'!C155</f>
        <v>Коммунальное государственное предприятие на праве хозяйственного ведения "Центр первичной медико-санитарной помощи Алмалинского района" Управления общественного здравоохранения города Алматы</v>
      </c>
      <c r="D157" s="12" t="str">
        <f aca="false">'РПН 01.08 по МО'!E155</f>
        <v>7500</v>
      </c>
      <c r="E157" s="12" t="str">
        <f aca="false">'РПН 01.08 по МО'!F155</f>
        <v>г. Алматы</v>
      </c>
      <c r="F157" s="13" t="n">
        <f aca="false">'РПН 01.08 по МО'!D155</f>
        <v>25484</v>
      </c>
      <c r="G157" s="14" t="n">
        <f aca="false">INDEX('Расчет Кплотн'!$K:$K,MATCH(D157,'Расчет Кплотн'!$A:$A,0))</f>
        <v>1</v>
      </c>
      <c r="H157" s="14" t="n">
        <f aca="false">INDEX('Расчет Кплотн'!$J:$J,MATCH(D157,'Расчет Кплотн'!$A:$A,0))</f>
        <v>1</v>
      </c>
      <c r="I157" s="3" t="n">
        <f aca="false">F157*Моделирование!$F$3*M157*G157/1000</f>
        <v>515644.27536</v>
      </c>
      <c r="J157" s="3" t="n">
        <f aca="false">F157*Моделирование!$F$3*M157*H157/1000</f>
        <v>515644.27536</v>
      </c>
      <c r="K157" s="3" t="n">
        <f aca="false">J157-I157</f>
        <v>0</v>
      </c>
      <c r="L157" s="4" t="n">
        <f aca="false">IFERROR(K157/I157,0)</f>
        <v>0</v>
      </c>
      <c r="M157" s="15" t="n">
        <f aca="false">IF(INDEX('Расчет Кплотн'!$D:$D,MATCH(D157,'Расчет Кплотн'!$A:$A,0))="район",IFERROR(VLOOKUP(INDEX('Расчет Кплотн'!$B:$B,MATCH(D157,'Расчет Кплотн'!$A:$A,0)),'БКПН (приказ 170)'!$A$4:$C$10,3,FALSE()),Моделирование!$F$2),Моделирование!$F$2)</f>
        <v>1686.17</v>
      </c>
    </row>
    <row r="158" customFormat="false" ht="15" hidden="false" customHeight="false" outlineLevel="0" collapsed="false">
      <c r="A158" s="12" t="n">
        <v>153</v>
      </c>
      <c r="B158" s="12" t="str">
        <f aca="false">'РПН 01.08 по МО'!B156</f>
        <v>АЛМАТЫ</v>
      </c>
      <c r="C158" s="12" t="str">
        <f aca="false">'РПН 01.08 по МО'!C156</f>
        <v>ТОО "Центральная семейная поликлиника города Алматы"</v>
      </c>
      <c r="D158" s="12" t="str">
        <f aca="false">'РПН 01.08 по МО'!E156</f>
        <v>7500</v>
      </c>
      <c r="E158" s="12" t="str">
        <f aca="false">'РПН 01.08 по МО'!F156</f>
        <v>г. Алматы</v>
      </c>
      <c r="F158" s="13" t="n">
        <f aca="false">'РПН 01.08 по МО'!D156</f>
        <v>40958</v>
      </c>
      <c r="G158" s="14" t="n">
        <f aca="false">INDEX('Расчет Кплотн'!$K:$K,MATCH(D158,'Расчет Кплотн'!$A:$A,0))</f>
        <v>1</v>
      </c>
      <c r="H158" s="14" t="n">
        <f aca="false">INDEX('Расчет Кплотн'!$J:$J,MATCH(D158,'Расчет Кплотн'!$A:$A,0))</f>
        <v>1</v>
      </c>
      <c r="I158" s="3" t="n">
        <f aca="false">F158*Моделирование!$F$3*M158*G158/1000</f>
        <v>828745.81032</v>
      </c>
      <c r="J158" s="3" t="n">
        <f aca="false">F158*Моделирование!$F$3*M158*H158/1000</f>
        <v>828745.81032</v>
      </c>
      <c r="K158" s="3" t="n">
        <f aca="false">J158-I158</f>
        <v>0</v>
      </c>
      <c r="L158" s="4" t="n">
        <f aca="false">IFERROR(K158/I158,0)</f>
        <v>0</v>
      </c>
      <c r="M158" s="15" t="n">
        <f aca="false">IF(INDEX('Расчет Кплотн'!$D:$D,MATCH(D158,'Расчет Кплотн'!$A:$A,0))="район",IFERROR(VLOOKUP(INDEX('Расчет Кплотн'!$B:$B,MATCH(D158,'Расчет Кплотн'!$A:$A,0)),'БКПН (приказ 170)'!$A$4:$C$10,3,FALSE()),Моделирование!$F$2),Моделирование!$F$2)</f>
        <v>1686.17</v>
      </c>
    </row>
    <row r="159" customFormat="false" ht="15" hidden="false" customHeight="false" outlineLevel="0" collapsed="false">
      <c r="A159" s="12" t="n">
        <v>154</v>
      </c>
      <c r="B159" s="12" t="str">
        <f aca="false">'РПН 01.08 по МО'!B157</f>
        <v>АЛМАТЫ</v>
      </c>
      <c r="C159" s="12" t="str">
        <f aca="false">'РПН 01.08 по МО'!C157</f>
        <v>ТОО "Республиканский семейно- врачебный центр"</v>
      </c>
      <c r="D159" s="12" t="str">
        <f aca="false">'РПН 01.08 по МО'!E157</f>
        <v>7500</v>
      </c>
      <c r="E159" s="12" t="str">
        <f aca="false">'РПН 01.08 по МО'!F157</f>
        <v>г. Алматы</v>
      </c>
      <c r="F159" s="13" t="n">
        <f aca="false">'РПН 01.08 по МО'!D157</f>
        <v>17730</v>
      </c>
      <c r="G159" s="14" t="n">
        <f aca="false">INDEX('Расчет Кплотн'!$K:$K,MATCH(D159,'Расчет Кплотн'!$A:$A,0))</f>
        <v>1</v>
      </c>
      <c r="H159" s="14" t="n">
        <f aca="false">INDEX('Расчет Кплотн'!$J:$J,MATCH(D159,'Расчет Кплотн'!$A:$A,0))</f>
        <v>1</v>
      </c>
      <c r="I159" s="3" t="n">
        <f aca="false">F159*Моделирование!$F$3*M159*G159/1000</f>
        <v>358749.5292</v>
      </c>
      <c r="J159" s="3" t="n">
        <f aca="false">F159*Моделирование!$F$3*M159*H159/1000</f>
        <v>358749.5292</v>
      </c>
      <c r="K159" s="3" t="n">
        <f aca="false">J159-I159</f>
        <v>0</v>
      </c>
      <c r="L159" s="4" t="n">
        <f aca="false">IFERROR(K159/I159,0)</f>
        <v>0</v>
      </c>
      <c r="M159" s="15" t="n">
        <f aca="false">IF(INDEX('Расчет Кплотн'!$D:$D,MATCH(D159,'Расчет Кплотн'!$A:$A,0))="район",IFERROR(VLOOKUP(INDEX('Расчет Кплотн'!$B:$B,MATCH(D159,'Расчет Кплотн'!$A:$A,0)),'БКПН (приказ 170)'!$A$4:$C$10,3,FALSE()),Моделирование!$F$2),Моделирование!$F$2)</f>
        <v>1686.17</v>
      </c>
    </row>
    <row r="160" customFormat="false" ht="15" hidden="false" customHeight="false" outlineLevel="0" collapsed="false">
      <c r="A160" s="12" t="n">
        <v>155</v>
      </c>
      <c r="B160" s="12" t="str">
        <f aca="false">'РПН 01.08 по МО'!B158</f>
        <v>АЛМАТЫ</v>
      </c>
      <c r="C160" s="12" t="str">
        <f aca="false">'РПН 01.08 по МО'!C158</f>
        <v>ТОО "Региональный Диагностический Центр"</v>
      </c>
      <c r="D160" s="12" t="str">
        <f aca="false">'РПН 01.08 по МО'!E158</f>
        <v>7500</v>
      </c>
      <c r="E160" s="12" t="str">
        <f aca="false">'РПН 01.08 по МО'!F158</f>
        <v>г. Алматы</v>
      </c>
      <c r="F160" s="13" t="n">
        <f aca="false">'РПН 01.08 по МО'!D158</f>
        <v>5065</v>
      </c>
      <c r="G160" s="14" t="n">
        <f aca="false">INDEX('Расчет Кплотн'!$K:$K,MATCH(D160,'Расчет Кплотн'!$A:$A,0))</f>
        <v>1</v>
      </c>
      <c r="H160" s="14" t="n">
        <f aca="false">INDEX('Расчет Кплотн'!$J:$J,MATCH(D160,'Расчет Кплотн'!$A:$A,0))</f>
        <v>1</v>
      </c>
      <c r="I160" s="3" t="n">
        <f aca="false">F160*Моделирование!$F$3*M160*G160/1000</f>
        <v>102485.4126</v>
      </c>
      <c r="J160" s="3" t="n">
        <f aca="false">F160*Моделирование!$F$3*M160*H160/1000</f>
        <v>102485.4126</v>
      </c>
      <c r="K160" s="3" t="n">
        <f aca="false">J160-I160</f>
        <v>0</v>
      </c>
      <c r="L160" s="4" t="n">
        <f aca="false">IFERROR(K160/I160,0)</f>
        <v>0</v>
      </c>
      <c r="M160" s="15" t="n">
        <f aca="false">IF(INDEX('Расчет Кплотн'!$D:$D,MATCH(D160,'Расчет Кплотн'!$A:$A,0))="район",IFERROR(VLOOKUP(INDEX('Расчет Кплотн'!$B:$B,MATCH(D160,'Расчет Кплотн'!$A:$A,0)),'БКПН (приказ 170)'!$A$4:$C$10,3,FALSE()),Моделирование!$F$2),Моделирование!$F$2)</f>
        <v>1686.17</v>
      </c>
    </row>
    <row r="161" customFormat="false" ht="15" hidden="false" customHeight="false" outlineLevel="0" collapsed="false">
      <c r="A161" s="12" t="n">
        <v>156</v>
      </c>
      <c r="B161" s="12" t="str">
        <f aca="false">'РПН 01.08 по МО'!B159</f>
        <v>АЛМАТЫ</v>
      </c>
      <c r="C161" s="12" t="str">
        <f aca="false">'РПН 01.08 по МО'!C159</f>
        <v>ТОО "Поликлиника Саялы"</v>
      </c>
      <c r="D161" s="12" t="str">
        <f aca="false">'РПН 01.08 по МО'!E159</f>
        <v>7500</v>
      </c>
      <c r="E161" s="12" t="str">
        <f aca="false">'РПН 01.08 по МО'!F159</f>
        <v>г. Алматы</v>
      </c>
      <c r="F161" s="13" t="n">
        <f aca="false">'РПН 01.08 по МО'!D159</f>
        <v>5108</v>
      </c>
      <c r="G161" s="14" t="n">
        <f aca="false">INDEX('Расчет Кплотн'!$K:$K,MATCH(D161,'Расчет Кплотн'!$A:$A,0))</f>
        <v>1</v>
      </c>
      <c r="H161" s="14" t="n">
        <f aca="false">INDEX('Расчет Кплотн'!$J:$J,MATCH(D161,'Расчет Кплотн'!$A:$A,0))</f>
        <v>1</v>
      </c>
      <c r="I161" s="3" t="n">
        <f aca="false">F161*Моделирование!$F$3*M161*G161/1000</f>
        <v>103355.47632</v>
      </c>
      <c r="J161" s="3" t="n">
        <f aca="false">F161*Моделирование!$F$3*M161*H161/1000</f>
        <v>103355.47632</v>
      </c>
      <c r="K161" s="3" t="n">
        <f aca="false">J161-I161</f>
        <v>0</v>
      </c>
      <c r="L161" s="4" t="n">
        <f aca="false">IFERROR(K161/I161,0)</f>
        <v>0</v>
      </c>
      <c r="M161" s="15" t="n">
        <f aca="false">IF(INDEX('Расчет Кплотн'!$D:$D,MATCH(D161,'Расчет Кплотн'!$A:$A,0))="район",IFERROR(VLOOKUP(INDEX('Расчет Кплотн'!$B:$B,MATCH(D161,'Расчет Кплотн'!$A:$A,0)),'БКПН (приказ 170)'!$A$4:$C$10,3,FALSE()),Моделирование!$F$2),Моделирование!$F$2)</f>
        <v>1686.17</v>
      </c>
    </row>
    <row r="162" customFormat="false" ht="15" hidden="false" customHeight="false" outlineLevel="0" collapsed="false">
      <c r="A162" s="12" t="n">
        <v>157</v>
      </c>
      <c r="B162" s="12" t="str">
        <f aca="false">'РПН 01.08 по МО'!B160</f>
        <v>АЛМАТЫ</v>
      </c>
      <c r="C162" s="12" t="str">
        <f aca="false">'РПН 01.08 по МО'!C160</f>
        <v>ТОО "ПОЛИКЛИНИКА №55"</v>
      </c>
      <c r="D162" s="12" t="str">
        <f aca="false">'РПН 01.08 по МО'!E160</f>
        <v>7500</v>
      </c>
      <c r="E162" s="12" t="str">
        <f aca="false">'РПН 01.08 по МО'!F160</f>
        <v>г. Алматы</v>
      </c>
      <c r="F162" s="13" t="n">
        <f aca="false">'РПН 01.08 по МО'!D160</f>
        <v>11906</v>
      </c>
      <c r="G162" s="14" t="n">
        <f aca="false">INDEX('Расчет Кплотн'!$K:$K,MATCH(D162,'Расчет Кплотн'!$A:$A,0))</f>
        <v>1</v>
      </c>
      <c r="H162" s="14" t="n">
        <f aca="false">INDEX('Расчет Кплотн'!$J:$J,MATCH(D162,'Расчет Кплотн'!$A:$A,0))</f>
        <v>1</v>
      </c>
      <c r="I162" s="3" t="n">
        <f aca="false">F162*Моделирование!$F$3*M162*G162/1000</f>
        <v>240906.48024</v>
      </c>
      <c r="J162" s="3" t="n">
        <f aca="false">F162*Моделирование!$F$3*M162*H162/1000</f>
        <v>240906.48024</v>
      </c>
      <c r="K162" s="3" t="n">
        <f aca="false">J162-I162</f>
        <v>0</v>
      </c>
      <c r="L162" s="4" t="n">
        <f aca="false">IFERROR(K162/I162,0)</f>
        <v>0</v>
      </c>
      <c r="M162" s="15" t="n">
        <f aca="false">IF(INDEX('Расчет Кплотн'!$D:$D,MATCH(D162,'Расчет Кплотн'!$A:$A,0))="район",IFERROR(VLOOKUP(INDEX('Расчет Кплотн'!$B:$B,MATCH(D162,'Расчет Кплотн'!$A:$A,0)),'БКПН (приказ 170)'!$A$4:$C$10,3,FALSE()),Моделирование!$F$2),Моделирование!$F$2)</f>
        <v>1686.17</v>
      </c>
    </row>
    <row r="163" customFormat="false" ht="15" hidden="false" customHeight="false" outlineLevel="0" collapsed="false">
      <c r="A163" s="12" t="n">
        <v>158</v>
      </c>
      <c r="B163" s="12" t="str">
        <f aca="false">'РПН 01.08 по МО'!B161</f>
        <v>АЛМАТЫ</v>
      </c>
      <c r="C163" s="12" t="str">
        <f aca="false">'РПН 01.08 по МО'!C161</f>
        <v>ТОО "Поликлиника "СУНКАР-II"</v>
      </c>
      <c r="D163" s="12" t="str">
        <f aca="false">'РПН 01.08 по МО'!E161</f>
        <v>7500</v>
      </c>
      <c r="E163" s="12" t="str">
        <f aca="false">'РПН 01.08 по МО'!F161</f>
        <v>г. Алматы</v>
      </c>
      <c r="F163" s="13" t="n">
        <f aca="false">'РПН 01.08 по МО'!D161</f>
        <v>15786</v>
      </c>
      <c r="G163" s="14" t="n">
        <f aca="false">INDEX('Расчет Кплотн'!$K:$K,MATCH(D163,'Расчет Кплотн'!$A:$A,0))</f>
        <v>1</v>
      </c>
      <c r="H163" s="14" t="n">
        <f aca="false">INDEX('Расчет Кплотн'!$J:$J,MATCH(D163,'Расчет Кплотн'!$A:$A,0))</f>
        <v>1</v>
      </c>
      <c r="I163" s="3" t="n">
        <f aca="false">F163*Моделирование!$F$3*M163*G163/1000</f>
        <v>319414.55544</v>
      </c>
      <c r="J163" s="3" t="n">
        <f aca="false">F163*Моделирование!$F$3*M163*H163/1000</f>
        <v>319414.55544</v>
      </c>
      <c r="K163" s="3" t="n">
        <f aca="false">J163-I163</f>
        <v>0</v>
      </c>
      <c r="L163" s="4" t="n">
        <f aca="false">IFERROR(K163/I163,0)</f>
        <v>0</v>
      </c>
      <c r="M163" s="15" t="n">
        <f aca="false">IF(INDEX('Расчет Кплотн'!$D:$D,MATCH(D163,'Расчет Кплотн'!$A:$A,0))="район",IFERROR(VLOOKUP(INDEX('Расчет Кплотн'!$B:$B,MATCH(D163,'Расчет Кплотн'!$A:$A,0)),'БКПН (приказ 170)'!$A$4:$C$10,3,FALSE()),Моделирование!$F$2),Моделирование!$F$2)</f>
        <v>1686.17</v>
      </c>
    </row>
    <row r="164" customFormat="false" ht="15" hidden="false" customHeight="false" outlineLevel="0" collapsed="false">
      <c r="A164" s="12" t="n">
        <v>159</v>
      </c>
      <c r="B164" s="12" t="str">
        <f aca="false">'РПН 01.08 по МО'!B162</f>
        <v>АЛМАТЫ</v>
      </c>
      <c r="C164" s="12" t="str">
        <f aca="false">'РПН 01.08 по МО'!C162</f>
        <v>ТОО "Достар Мед"</v>
      </c>
      <c r="D164" s="12" t="str">
        <f aca="false">'РПН 01.08 по МО'!E162</f>
        <v>7500</v>
      </c>
      <c r="E164" s="12" t="str">
        <f aca="false">'РПН 01.08 по МО'!F162</f>
        <v>г. Алматы</v>
      </c>
      <c r="F164" s="13" t="n">
        <f aca="false">'РПН 01.08 по МО'!D162</f>
        <v>50139</v>
      </c>
      <c r="G164" s="14" t="n">
        <f aca="false">INDEX('Расчет Кплотн'!$K:$K,MATCH(D164,'Расчет Кплотн'!$A:$A,0))</f>
        <v>1</v>
      </c>
      <c r="H164" s="14" t="n">
        <f aca="false">INDEX('Расчет Кплотн'!$J:$J,MATCH(D164,'Расчет Кплотн'!$A:$A,0))</f>
        <v>1</v>
      </c>
      <c r="I164" s="3" t="n">
        <f aca="false">F164*Моделирование!$F$3*M164*G164/1000</f>
        <v>1014514.53156</v>
      </c>
      <c r="J164" s="3" t="n">
        <f aca="false">F164*Моделирование!$F$3*M164*H164/1000</f>
        <v>1014514.53156</v>
      </c>
      <c r="K164" s="3" t="n">
        <f aca="false">J164-I164</f>
        <v>0</v>
      </c>
      <c r="L164" s="4" t="n">
        <f aca="false">IFERROR(K164/I164,0)</f>
        <v>0</v>
      </c>
      <c r="M164" s="15" t="n">
        <f aca="false">IF(INDEX('Расчет Кплотн'!$D:$D,MATCH(D164,'Расчет Кплотн'!$A:$A,0))="район",IFERROR(VLOOKUP(INDEX('Расчет Кплотн'!$B:$B,MATCH(D164,'Расчет Кплотн'!$A:$A,0)),'БКПН (приказ 170)'!$A$4:$C$10,3,FALSE()),Моделирование!$F$2),Моделирование!$F$2)</f>
        <v>1686.17</v>
      </c>
    </row>
    <row r="165" customFormat="false" ht="15" hidden="false" customHeight="false" outlineLevel="0" collapsed="false">
      <c r="A165" s="12" t="n">
        <v>160</v>
      </c>
      <c r="B165" s="12" t="str">
        <f aca="false">'РПН 01.08 по МО'!B163</f>
        <v>АЛМАТЫ</v>
      </c>
      <c r="C165" s="12" t="str">
        <f aca="false">'РПН 01.08 по МО'!C163</f>
        <v>ТОО "Медцентр-Рахат"</v>
      </c>
      <c r="D165" s="12" t="str">
        <f aca="false">'РПН 01.08 по МО'!E163</f>
        <v>7500</v>
      </c>
      <c r="E165" s="12" t="str">
        <f aca="false">'РПН 01.08 по МО'!F163</f>
        <v>г. Алматы</v>
      </c>
      <c r="F165" s="13" t="n">
        <f aca="false">'РПН 01.08 по МО'!D163</f>
        <v>10520</v>
      </c>
      <c r="G165" s="14" t="n">
        <f aca="false">INDEX('Расчет Кплотн'!$K:$K,MATCH(D165,'Расчет Кплотн'!$A:$A,0))</f>
        <v>1</v>
      </c>
      <c r="H165" s="14" t="n">
        <f aca="false">INDEX('Расчет Кплотн'!$J:$J,MATCH(D165,'Расчет Кплотн'!$A:$A,0))</f>
        <v>1</v>
      </c>
      <c r="I165" s="3" t="n">
        <f aca="false">F165*Моделирование!$F$3*M165*G165/1000</f>
        <v>212862.1008</v>
      </c>
      <c r="J165" s="3" t="n">
        <f aca="false">F165*Моделирование!$F$3*M165*H165/1000</f>
        <v>212862.1008</v>
      </c>
      <c r="K165" s="3" t="n">
        <f aca="false">J165-I165</f>
        <v>0</v>
      </c>
      <c r="L165" s="4" t="n">
        <f aca="false">IFERROR(K165/I165,0)</f>
        <v>0</v>
      </c>
      <c r="M165" s="15" t="n">
        <f aca="false">IF(INDEX('Расчет Кплотн'!$D:$D,MATCH(D165,'Расчет Кплотн'!$A:$A,0))="район",IFERROR(VLOOKUP(INDEX('Расчет Кплотн'!$B:$B,MATCH(D165,'Расчет Кплотн'!$A:$A,0)),'БКПН (приказ 170)'!$A$4:$C$10,3,FALSE()),Моделирование!$F$2),Моделирование!$F$2)</f>
        <v>1686.17</v>
      </c>
    </row>
    <row r="166" customFormat="false" ht="15" hidden="false" customHeight="false" outlineLevel="0" collapsed="false">
      <c r="A166" s="12" t="n">
        <v>161</v>
      </c>
      <c r="B166" s="12" t="str">
        <f aca="false">'РПН 01.08 по МО'!B164</f>
        <v>АЛМАТЫ</v>
      </c>
      <c r="C166" s="12" t="str">
        <f aca="false">'РПН 01.08 по МО'!C164</f>
        <v>ТОО "Медицинский центр ХАК"</v>
      </c>
      <c r="D166" s="12" t="str">
        <f aca="false">'РПН 01.08 по МО'!E164</f>
        <v>7500</v>
      </c>
      <c r="E166" s="12" t="str">
        <f aca="false">'РПН 01.08 по МО'!F164</f>
        <v>г. Алматы</v>
      </c>
      <c r="F166" s="13" t="n">
        <f aca="false">'РПН 01.08 по МО'!D164</f>
        <v>18767</v>
      </c>
      <c r="G166" s="14" t="n">
        <f aca="false">INDEX('Расчет Кплотн'!$K:$K,MATCH(D166,'Расчет Кплотн'!$A:$A,0))</f>
        <v>1</v>
      </c>
      <c r="H166" s="14" t="n">
        <f aca="false">INDEX('Расчет Кплотн'!$J:$J,MATCH(D166,'Расчет Кплотн'!$A:$A,0))</f>
        <v>1</v>
      </c>
      <c r="I166" s="3" t="n">
        <f aca="false">F166*Моделирование!$F$3*M166*G166/1000</f>
        <v>379732.22868</v>
      </c>
      <c r="J166" s="3" t="n">
        <f aca="false">F166*Моделирование!$F$3*M166*H166/1000</f>
        <v>379732.22868</v>
      </c>
      <c r="K166" s="3" t="n">
        <f aca="false">J166-I166</f>
        <v>0</v>
      </c>
      <c r="L166" s="4" t="n">
        <f aca="false">IFERROR(K166/I166,0)</f>
        <v>0</v>
      </c>
      <c r="M166" s="15" t="n">
        <f aca="false">IF(INDEX('Расчет Кплотн'!$D:$D,MATCH(D166,'Расчет Кплотн'!$A:$A,0))="район",IFERROR(VLOOKUP(INDEX('Расчет Кплотн'!$B:$B,MATCH(D166,'Расчет Кплотн'!$A:$A,0)),'БКПН (приказ 170)'!$A$4:$C$10,3,FALSE()),Моделирование!$F$2),Моделирование!$F$2)</f>
        <v>1686.17</v>
      </c>
    </row>
    <row r="167" customFormat="false" ht="15" hidden="false" customHeight="false" outlineLevel="0" collapsed="false">
      <c r="A167" s="12" t="n">
        <v>162</v>
      </c>
      <c r="B167" s="12" t="str">
        <f aca="false">'РПН 01.08 по МО'!B165</f>
        <v>АЛМАТЫ</v>
      </c>
      <c r="C167" s="12" t="str">
        <f aca="false">'РПН 01.08 по МО'!C165</f>
        <v>ТОО "Медицинский центр "MedLine"</v>
      </c>
      <c r="D167" s="12" t="str">
        <f aca="false">'РПН 01.08 по МО'!E165</f>
        <v>7500</v>
      </c>
      <c r="E167" s="12" t="str">
        <f aca="false">'РПН 01.08 по МО'!F165</f>
        <v>г. Алматы</v>
      </c>
      <c r="F167" s="13" t="n">
        <f aca="false">'РПН 01.08 по МО'!D165</f>
        <v>12402</v>
      </c>
      <c r="G167" s="14" t="n">
        <f aca="false">INDEX('Расчет Кплотн'!$K:$K,MATCH(D167,'Расчет Кплотн'!$A:$A,0))</f>
        <v>1</v>
      </c>
      <c r="H167" s="14" t="n">
        <f aca="false">INDEX('Расчет Кплотн'!$J:$J,MATCH(D167,'Расчет Кплотн'!$A:$A,0))</f>
        <v>1</v>
      </c>
      <c r="I167" s="3" t="n">
        <f aca="false">F167*Моделирование!$F$3*M167*G167/1000</f>
        <v>250942.56408</v>
      </c>
      <c r="J167" s="3" t="n">
        <f aca="false">F167*Моделирование!$F$3*M167*H167/1000</f>
        <v>250942.56408</v>
      </c>
      <c r="K167" s="3" t="n">
        <f aca="false">J167-I167</f>
        <v>0</v>
      </c>
      <c r="L167" s="4" t="n">
        <f aca="false">IFERROR(K167/I167,0)</f>
        <v>0</v>
      </c>
      <c r="M167" s="15" t="n">
        <f aca="false">IF(INDEX('Расчет Кплотн'!$D:$D,MATCH(D167,'Расчет Кплотн'!$A:$A,0))="район",IFERROR(VLOOKUP(INDEX('Расчет Кплотн'!$B:$B,MATCH(D167,'Расчет Кплотн'!$A:$A,0)),'БКПН (приказ 170)'!$A$4:$C$10,3,FALSE()),Моделирование!$F$2),Моделирование!$F$2)</f>
        <v>1686.17</v>
      </c>
    </row>
    <row r="168" customFormat="false" ht="15" hidden="false" customHeight="false" outlineLevel="0" collapsed="false">
      <c r="A168" s="12" t="n">
        <v>163</v>
      </c>
      <c r="B168" s="12" t="str">
        <f aca="false">'РПН 01.08 по МО'!B166</f>
        <v>АЛМАТЫ</v>
      </c>
      <c r="C168" s="12" t="str">
        <f aca="false">'РПН 01.08 по МО'!C166</f>
        <v>ТОО "Маksat МеД"</v>
      </c>
      <c r="D168" s="12" t="str">
        <f aca="false">'РПН 01.08 по МО'!E166</f>
        <v>7500</v>
      </c>
      <c r="E168" s="12" t="str">
        <f aca="false">'РПН 01.08 по МО'!F166</f>
        <v>г. Алматы</v>
      </c>
      <c r="F168" s="13" t="n">
        <f aca="false">'РПН 01.08 по МО'!D166</f>
        <v>27413</v>
      </c>
      <c r="G168" s="14" t="n">
        <f aca="false">INDEX('Расчет Кплотн'!$K:$K,MATCH(D168,'Расчет Кплотн'!$A:$A,0))</f>
        <v>1</v>
      </c>
      <c r="H168" s="14" t="n">
        <f aca="false">INDEX('Расчет Кплотн'!$J:$J,MATCH(D168,'Расчет Кплотн'!$A:$A,0))</f>
        <v>1</v>
      </c>
      <c r="I168" s="3" t="n">
        <f aca="false">F168*Моделирование!$F$3*M168*G168/1000</f>
        <v>554675.73852</v>
      </c>
      <c r="J168" s="3" t="n">
        <f aca="false">F168*Моделирование!$F$3*M168*H168/1000</f>
        <v>554675.73852</v>
      </c>
      <c r="K168" s="3" t="n">
        <f aca="false">J168-I168</f>
        <v>0</v>
      </c>
      <c r="L168" s="4" t="n">
        <f aca="false">IFERROR(K168/I168,0)</f>
        <v>0</v>
      </c>
      <c r="M168" s="15" t="n">
        <f aca="false">IF(INDEX('Расчет Кплотн'!$D:$D,MATCH(D168,'Расчет Кплотн'!$A:$A,0))="район",IFERROR(VLOOKUP(INDEX('Расчет Кплотн'!$B:$B,MATCH(D168,'Расчет Кплотн'!$A:$A,0)),'БКПН (приказ 170)'!$A$4:$C$10,3,FALSE()),Моделирование!$F$2),Моделирование!$F$2)</f>
        <v>1686.17</v>
      </c>
    </row>
    <row r="169" customFormat="false" ht="15" hidden="false" customHeight="false" outlineLevel="0" collapsed="false">
      <c r="A169" s="12" t="n">
        <v>164</v>
      </c>
      <c r="B169" s="12" t="str">
        <f aca="false">'РПН 01.08 по МО'!B167</f>
        <v>АЛМАТЫ</v>
      </c>
      <c r="C169" s="12" t="str">
        <f aca="false">'РПН 01.08 по МО'!C167</f>
        <v>ТОО "Лечебно-оздоровительный центр Биоритм"</v>
      </c>
      <c r="D169" s="12" t="str">
        <f aca="false">'РПН 01.08 по МО'!E167</f>
        <v>7500</v>
      </c>
      <c r="E169" s="12" t="str">
        <f aca="false">'РПН 01.08 по МО'!F167</f>
        <v>г. Алматы</v>
      </c>
      <c r="F169" s="13" t="n">
        <f aca="false">'РПН 01.08 по МО'!D167</f>
        <v>8605</v>
      </c>
      <c r="G169" s="14" t="n">
        <f aca="false">INDEX('Расчет Кплотн'!$K:$K,MATCH(D169,'Расчет Кплотн'!$A:$A,0))</f>
        <v>1</v>
      </c>
      <c r="H169" s="14" t="n">
        <f aca="false">INDEX('Расчет Кплотн'!$J:$J,MATCH(D169,'Расчет Кплотн'!$A:$A,0))</f>
        <v>1</v>
      </c>
      <c r="I169" s="3" t="n">
        <f aca="false">F169*Моделирование!$F$3*M169*G169/1000</f>
        <v>174113.9142</v>
      </c>
      <c r="J169" s="3" t="n">
        <f aca="false">F169*Моделирование!$F$3*M169*H169/1000</f>
        <v>174113.9142</v>
      </c>
      <c r="K169" s="3" t="n">
        <f aca="false">J169-I169</f>
        <v>0</v>
      </c>
      <c r="L169" s="4" t="n">
        <f aca="false">IFERROR(K169/I169,0)</f>
        <v>0</v>
      </c>
      <c r="M169" s="15" t="n">
        <f aca="false">IF(INDEX('Расчет Кплотн'!$D:$D,MATCH(D169,'Расчет Кплотн'!$A:$A,0))="район",IFERROR(VLOOKUP(INDEX('Расчет Кплотн'!$B:$B,MATCH(D169,'Расчет Кплотн'!$A:$A,0)),'БКПН (приказ 170)'!$A$4:$C$10,3,FALSE()),Моделирование!$F$2),Моделирование!$F$2)</f>
        <v>1686.17</v>
      </c>
    </row>
    <row r="170" customFormat="false" ht="15" hidden="false" customHeight="false" outlineLevel="0" collapsed="false">
      <c r="A170" s="12" t="n">
        <v>165</v>
      </c>
      <c r="B170" s="12" t="str">
        <f aca="false">'РПН 01.08 по МО'!B168</f>
        <v>АЛМАТЫ</v>
      </c>
      <c r="C170" s="12" t="str">
        <f aca="false">'РПН 01.08 по МО'!C168</f>
        <v>ТОО "ЛДЦ Азия Мед"</v>
      </c>
      <c r="D170" s="12" t="str">
        <f aca="false">'РПН 01.08 по МО'!E168</f>
        <v>7500</v>
      </c>
      <c r="E170" s="12" t="str">
        <f aca="false">'РПН 01.08 по МО'!F168</f>
        <v>г. Алматы</v>
      </c>
      <c r="F170" s="13" t="n">
        <f aca="false">'РПН 01.08 по МО'!D168</f>
        <v>14219</v>
      </c>
      <c r="G170" s="14" t="n">
        <f aca="false">INDEX('Расчет Кплотн'!$K:$K,MATCH(D170,'Расчет Кплотн'!$A:$A,0))</f>
        <v>1</v>
      </c>
      <c r="H170" s="14" t="n">
        <f aca="false">INDEX('Расчет Кплотн'!$J:$J,MATCH(D170,'Расчет Кплотн'!$A:$A,0))</f>
        <v>1</v>
      </c>
      <c r="I170" s="3" t="n">
        <f aca="false">F170*Моделирование!$F$3*M170*G170/1000</f>
        <v>287707.81476</v>
      </c>
      <c r="J170" s="3" t="n">
        <f aca="false">F170*Моделирование!$F$3*M170*H170/1000</f>
        <v>287707.81476</v>
      </c>
      <c r="K170" s="3" t="n">
        <f aca="false">J170-I170</f>
        <v>0</v>
      </c>
      <c r="L170" s="4" t="n">
        <f aca="false">IFERROR(K170/I170,0)</f>
        <v>0</v>
      </c>
      <c r="M170" s="15" t="n">
        <f aca="false">IF(INDEX('Расчет Кплотн'!$D:$D,MATCH(D170,'Расчет Кплотн'!$A:$A,0))="район",IFERROR(VLOOKUP(INDEX('Расчет Кплотн'!$B:$B,MATCH(D170,'Расчет Кплотн'!$A:$A,0)),'БКПН (приказ 170)'!$A$4:$C$10,3,FALSE()),Моделирование!$F$2),Моделирование!$F$2)</f>
        <v>1686.17</v>
      </c>
    </row>
    <row r="171" customFormat="false" ht="15" hidden="false" customHeight="false" outlineLevel="0" collapsed="false">
      <c r="A171" s="12" t="n">
        <v>166</v>
      </c>
      <c r="B171" s="12" t="str">
        <f aca="false">'РПН 01.08 по МО'!B169</f>
        <v>АЛМАТЫ</v>
      </c>
      <c r="C171" s="12" t="str">
        <f aca="false">'РПН 01.08 по МО'!C169</f>
        <v>ТОО "Клиника "AMD"</v>
      </c>
      <c r="D171" s="12" t="str">
        <f aca="false">'РПН 01.08 по МО'!E169</f>
        <v>7500</v>
      </c>
      <c r="E171" s="12" t="str">
        <f aca="false">'РПН 01.08 по МО'!F169</f>
        <v>г. Алматы</v>
      </c>
      <c r="F171" s="13" t="n">
        <f aca="false">'РПН 01.08 по МО'!D169</f>
        <v>9353</v>
      </c>
      <c r="G171" s="14" t="n">
        <f aca="false">INDEX('Расчет Кплотн'!$K:$K,MATCH(D171,'Расчет Кплотн'!$A:$A,0))</f>
        <v>1</v>
      </c>
      <c r="H171" s="14" t="n">
        <f aca="false">INDEX('Расчет Кплотн'!$J:$J,MATCH(D171,'Расчет Кплотн'!$A:$A,0))</f>
        <v>1</v>
      </c>
      <c r="I171" s="3" t="n">
        <f aca="false">F171*Моделирование!$F$3*M171*G171/1000</f>
        <v>189248.97612</v>
      </c>
      <c r="J171" s="3" t="n">
        <f aca="false">F171*Моделирование!$F$3*M171*H171/1000</f>
        <v>189248.97612</v>
      </c>
      <c r="K171" s="3" t="n">
        <f aca="false">J171-I171</f>
        <v>0</v>
      </c>
      <c r="L171" s="4" t="n">
        <f aca="false">IFERROR(K171/I171,0)</f>
        <v>0</v>
      </c>
      <c r="M171" s="15" t="n">
        <f aca="false">IF(INDEX('Расчет Кплотн'!$D:$D,MATCH(D171,'Расчет Кплотн'!$A:$A,0))="район",IFERROR(VLOOKUP(INDEX('Расчет Кплотн'!$B:$B,MATCH(D171,'Расчет Кплотн'!$A:$A,0)),'БКПН (приказ 170)'!$A$4:$C$10,3,FALSE()),Моделирование!$F$2),Моделирование!$F$2)</f>
        <v>1686.17</v>
      </c>
    </row>
    <row r="172" customFormat="false" ht="15" hidden="false" customHeight="false" outlineLevel="0" collapsed="false">
      <c r="A172" s="12" t="n">
        <v>167</v>
      </c>
      <c r="B172" s="12" t="str">
        <f aca="false">'РПН 01.08 по МО'!B170</f>
        <v>АЛМАТЫ</v>
      </c>
      <c r="C172" s="12" t="str">
        <f aca="false">'РПН 01.08 по МО'!C170</f>
        <v>ТОО "Керуен-Mеdicus на Шарипова"</v>
      </c>
      <c r="D172" s="12" t="str">
        <f aca="false">'РПН 01.08 по МО'!E170</f>
        <v>7500</v>
      </c>
      <c r="E172" s="12" t="str">
        <f aca="false">'РПН 01.08 по МО'!F170</f>
        <v>г. Алматы</v>
      </c>
      <c r="F172" s="13" t="n">
        <f aca="false">'РПН 01.08 по МО'!D170</f>
        <v>18985</v>
      </c>
      <c r="G172" s="14" t="n">
        <f aca="false">INDEX('Расчет Кплотн'!$K:$K,MATCH(D172,'Расчет Кплотн'!$A:$A,0))</f>
        <v>1</v>
      </c>
      <c r="H172" s="14" t="n">
        <f aca="false">INDEX('Расчет Кплотн'!$J:$J,MATCH(D172,'Расчет Кплотн'!$A:$A,0))</f>
        <v>1</v>
      </c>
      <c r="I172" s="3" t="n">
        <f aca="false">F172*Моделирование!$F$3*M172*G172/1000</f>
        <v>384143.2494</v>
      </c>
      <c r="J172" s="3" t="n">
        <f aca="false">F172*Моделирование!$F$3*M172*H172/1000</f>
        <v>384143.2494</v>
      </c>
      <c r="K172" s="3" t="n">
        <f aca="false">J172-I172</f>
        <v>0</v>
      </c>
      <c r="L172" s="4" t="n">
        <f aca="false">IFERROR(K172/I172,0)</f>
        <v>0</v>
      </c>
      <c r="M172" s="15" t="n">
        <f aca="false">IF(INDEX('Расчет Кплотн'!$D:$D,MATCH(D172,'Расчет Кплотн'!$A:$A,0))="район",IFERROR(VLOOKUP(INDEX('Расчет Кплотн'!$B:$B,MATCH(D172,'Расчет Кплотн'!$A:$A,0)),'БКПН (приказ 170)'!$A$4:$C$10,3,FALSE()),Моделирование!$F$2),Моделирование!$F$2)</f>
        <v>1686.17</v>
      </c>
    </row>
    <row r="173" customFormat="false" ht="15" hidden="false" customHeight="false" outlineLevel="0" collapsed="false">
      <c r="A173" s="12" t="n">
        <v>168</v>
      </c>
      <c r="B173" s="12" t="str">
        <f aca="false">'РПН 01.08 по МО'!B171</f>
        <v>АЛМАТЫ</v>
      </c>
      <c r="C173" s="12" t="str">
        <f aca="false">'РПН 01.08 по МО'!C171</f>
        <v>ТОО "Медсервисхирургия"</v>
      </c>
      <c r="D173" s="12" t="str">
        <f aca="false">'РПН 01.08 по МО'!E171</f>
        <v>7500</v>
      </c>
      <c r="E173" s="12" t="str">
        <f aca="false">'РПН 01.08 по МО'!F171</f>
        <v>г. Алматы</v>
      </c>
      <c r="F173" s="13" t="n">
        <f aca="false">'РПН 01.08 по МО'!D171</f>
        <v>11380</v>
      </c>
      <c r="G173" s="14" t="n">
        <f aca="false">INDEX('Расчет Кплотн'!$K:$K,MATCH(D173,'Расчет Кплотн'!$A:$A,0))</f>
        <v>1</v>
      </c>
      <c r="H173" s="14" t="n">
        <f aca="false">INDEX('Расчет Кплотн'!$J:$J,MATCH(D173,'Расчет Кплотн'!$A:$A,0))</f>
        <v>1</v>
      </c>
      <c r="I173" s="3" t="n">
        <f aca="false">F173*Моделирование!$F$3*M173*G173/1000</f>
        <v>230263.3752</v>
      </c>
      <c r="J173" s="3" t="n">
        <f aca="false">F173*Моделирование!$F$3*M173*H173/1000</f>
        <v>230263.3752</v>
      </c>
      <c r="K173" s="3" t="n">
        <f aca="false">J173-I173</f>
        <v>0</v>
      </c>
      <c r="L173" s="4" t="n">
        <f aca="false">IFERROR(K173/I173,0)</f>
        <v>0</v>
      </c>
      <c r="M173" s="15" t="n">
        <f aca="false">IF(INDEX('Расчет Кплотн'!$D:$D,MATCH(D173,'Расчет Кплотн'!$A:$A,0))="район",IFERROR(VLOOKUP(INDEX('Расчет Кплотн'!$B:$B,MATCH(D173,'Расчет Кплотн'!$A:$A,0)),'БКПН (приказ 170)'!$A$4:$C$10,3,FALSE()),Моделирование!$F$2),Моделирование!$F$2)</f>
        <v>1686.17</v>
      </c>
    </row>
    <row r="174" customFormat="false" ht="15" hidden="false" customHeight="false" outlineLevel="0" collapsed="false">
      <c r="A174" s="12" t="n">
        <v>169</v>
      </c>
      <c r="B174" s="12" t="str">
        <f aca="false">'РПН 01.08 по МО'!B172</f>
        <v>АЛМАТЫ</v>
      </c>
      <c r="C174" s="12" t="str">
        <f aca="false">'РПН 01.08 по МО'!C172</f>
        <v>Коммунальное государственное предприятие на праве хозяйственного ведения "Центр первичной медико-санитарной помощи "Кулагер" Управления общественного здравоохранения города Алматы</v>
      </c>
      <c r="D174" s="12" t="str">
        <f aca="false">'РПН 01.08 по МО'!E172</f>
        <v>7500</v>
      </c>
      <c r="E174" s="12" t="str">
        <f aca="false">'РПН 01.08 по МО'!F172</f>
        <v>г. Алматы</v>
      </c>
      <c r="F174" s="13" t="n">
        <f aca="false">'РПН 01.08 по МО'!D172</f>
        <v>15670</v>
      </c>
      <c r="G174" s="14" t="n">
        <f aca="false">INDEX('Расчет Кплотн'!$K:$K,MATCH(D174,'Расчет Кплотн'!$A:$A,0))</f>
        <v>1</v>
      </c>
      <c r="H174" s="14" t="n">
        <f aca="false">INDEX('Расчет Кплотн'!$J:$J,MATCH(D174,'Расчет Кплотн'!$A:$A,0))</f>
        <v>1</v>
      </c>
      <c r="I174" s="3" t="n">
        <f aca="false">F174*Моделирование!$F$3*M174*G174/1000</f>
        <v>317067.4068</v>
      </c>
      <c r="J174" s="3" t="n">
        <f aca="false">F174*Моделирование!$F$3*M174*H174/1000</f>
        <v>317067.4068</v>
      </c>
      <c r="K174" s="3" t="n">
        <f aca="false">J174-I174</f>
        <v>0</v>
      </c>
      <c r="L174" s="4" t="n">
        <f aca="false">IFERROR(K174/I174,0)</f>
        <v>0</v>
      </c>
      <c r="M174" s="15" t="n">
        <f aca="false">IF(INDEX('Расчет Кплотн'!$D:$D,MATCH(D174,'Расчет Кплотн'!$A:$A,0))="район",IFERROR(VLOOKUP(INDEX('Расчет Кплотн'!$B:$B,MATCH(D174,'Расчет Кплотн'!$A:$A,0)),'БКПН (приказ 170)'!$A$4:$C$10,3,FALSE()),Моделирование!$F$2),Моделирование!$F$2)</f>
        <v>1686.17</v>
      </c>
    </row>
    <row r="175" customFormat="false" ht="15" hidden="false" customHeight="false" outlineLevel="0" collapsed="false">
      <c r="A175" s="12" t="n">
        <v>170</v>
      </c>
      <c r="B175" s="12" t="str">
        <f aca="false">'РПН 01.08 по МО'!B173</f>
        <v>АЛМАТЫ</v>
      </c>
      <c r="C175" s="12" t="str">
        <f aca="false">'РПН 01.08 по МО'!C173</f>
        <v>ТОО " "Алгамед""</v>
      </c>
      <c r="D175" s="12" t="str">
        <f aca="false">'РПН 01.08 по МО'!E173</f>
        <v>7500</v>
      </c>
      <c r="E175" s="12" t="str">
        <f aca="false">'РПН 01.08 по МО'!F173</f>
        <v>г. Алматы</v>
      </c>
      <c r="F175" s="13" t="n">
        <f aca="false">'РПН 01.08 по МО'!D173</f>
        <v>4654</v>
      </c>
      <c r="G175" s="14" t="n">
        <f aca="false">INDEX('Расчет Кплотн'!$K:$K,MATCH(D175,'Расчет Кплотн'!$A:$A,0))</f>
        <v>1</v>
      </c>
      <c r="H175" s="14" t="n">
        <f aca="false">INDEX('Расчет Кплотн'!$J:$J,MATCH(D175,'Расчет Кплотн'!$A:$A,0))</f>
        <v>1</v>
      </c>
      <c r="I175" s="3" t="n">
        <f aca="false">F175*Моделирование!$F$3*M175*G175/1000</f>
        <v>94169.22216</v>
      </c>
      <c r="J175" s="3" t="n">
        <f aca="false">F175*Моделирование!$F$3*M175*H175/1000</f>
        <v>94169.22216</v>
      </c>
      <c r="K175" s="3" t="n">
        <f aca="false">J175-I175</f>
        <v>0</v>
      </c>
      <c r="L175" s="4" t="n">
        <f aca="false">IFERROR(K175/I175,0)</f>
        <v>0</v>
      </c>
      <c r="M175" s="15" t="n">
        <f aca="false">IF(INDEX('Расчет Кплотн'!$D:$D,MATCH(D175,'Расчет Кплотн'!$A:$A,0))="район",IFERROR(VLOOKUP(INDEX('Расчет Кплотн'!$B:$B,MATCH(D175,'Расчет Кплотн'!$A:$A,0)),'БКПН (приказ 170)'!$A$4:$C$10,3,FALSE()),Моделирование!$F$2),Моделирование!$F$2)</f>
        <v>1686.17</v>
      </c>
    </row>
    <row r="176" customFormat="false" ht="15" hidden="false" customHeight="false" outlineLevel="0" collapsed="false">
      <c r="A176" s="12" t="n">
        <v>171</v>
      </c>
      <c r="B176" s="12" t="str">
        <f aca="false">'РПН 01.08 по МО'!B174</f>
        <v>АЛМАТЫ</v>
      </c>
      <c r="C176" s="12" t="str">
        <f aca="false">'РПН 01.08 по МО'!C174</f>
        <v>Коммунальное государственное предприятие на праве хозяйственного ведения "Городская поликлиника ветеранов Великой Отечественной войны" Управления общественного здравоохранения города Алматы</v>
      </c>
      <c r="D176" s="12" t="str">
        <f aca="false">'РПН 01.08 по МО'!E174</f>
        <v>7500</v>
      </c>
      <c r="E176" s="12" t="str">
        <f aca="false">'РПН 01.08 по МО'!F174</f>
        <v>г. Алматы</v>
      </c>
      <c r="F176" s="13" t="n">
        <f aca="false">'РПН 01.08 по МО'!D174</f>
        <v>25096</v>
      </c>
      <c r="G176" s="14" t="n">
        <f aca="false">INDEX('Расчет Кплотн'!$K:$K,MATCH(D176,'Расчет Кплотн'!$A:$A,0))</f>
        <v>1</v>
      </c>
      <c r="H176" s="14" t="n">
        <f aca="false">INDEX('Расчет Кплотн'!$J:$J,MATCH(D176,'Расчет Кплотн'!$A:$A,0))</f>
        <v>1</v>
      </c>
      <c r="I176" s="3" t="n">
        <f aca="false">F176*Моделирование!$F$3*M176*G176/1000</f>
        <v>507793.46784</v>
      </c>
      <c r="J176" s="3" t="n">
        <f aca="false">F176*Моделирование!$F$3*M176*H176/1000</f>
        <v>507793.46784</v>
      </c>
      <c r="K176" s="3" t="n">
        <f aca="false">J176-I176</f>
        <v>0</v>
      </c>
      <c r="L176" s="4" t="n">
        <f aca="false">IFERROR(K176/I176,0)</f>
        <v>0</v>
      </c>
      <c r="M176" s="15" t="n">
        <f aca="false">IF(INDEX('Расчет Кплотн'!$D:$D,MATCH(D176,'Расчет Кплотн'!$A:$A,0))="район",IFERROR(VLOOKUP(INDEX('Расчет Кплотн'!$B:$B,MATCH(D176,'Расчет Кплотн'!$A:$A,0)),'БКПН (приказ 170)'!$A$4:$C$10,3,FALSE()),Моделирование!$F$2),Моделирование!$F$2)</f>
        <v>1686.17</v>
      </c>
    </row>
    <row r="177" customFormat="false" ht="15" hidden="false" customHeight="false" outlineLevel="0" collapsed="false">
      <c r="A177" s="12" t="n">
        <v>172</v>
      </c>
      <c r="B177" s="12" t="str">
        <f aca="false">'РПН 01.08 по МО'!B175</f>
        <v>АЛМАТЫ</v>
      </c>
      <c r="C177" s="12" t="str">
        <f aca="false">'РПН 01.08 по МО'!C175</f>
        <v>Коммунальное государственное предприятие на праве хозяйственного ведения "Городская поликлиника № 4" Управления общественного здравоохранения города Алматы</v>
      </c>
      <c r="D177" s="12" t="str">
        <f aca="false">'РПН 01.08 по МО'!E175</f>
        <v>7500</v>
      </c>
      <c r="E177" s="12" t="str">
        <f aca="false">'РПН 01.08 по МО'!F175</f>
        <v>г. Алматы</v>
      </c>
      <c r="F177" s="13" t="n">
        <f aca="false">'РПН 01.08 по МО'!D175</f>
        <v>76554</v>
      </c>
      <c r="G177" s="14" t="n">
        <f aca="false">INDEX('Расчет Кплотн'!$K:$K,MATCH(D177,'Расчет Кплотн'!$A:$A,0))</f>
        <v>1</v>
      </c>
      <c r="H177" s="14" t="n">
        <f aca="false">INDEX('Расчет Кплотн'!$J:$J,MATCH(D177,'Расчет Кплотн'!$A:$A,0))</f>
        <v>1</v>
      </c>
      <c r="I177" s="3" t="n">
        <f aca="false">F177*Моделирование!$F$3*M177*G177/1000</f>
        <v>1548996.69816</v>
      </c>
      <c r="J177" s="3" t="n">
        <f aca="false">F177*Моделирование!$F$3*M177*H177/1000</f>
        <v>1548996.69816</v>
      </c>
      <c r="K177" s="3" t="n">
        <f aca="false">J177-I177</f>
        <v>0</v>
      </c>
      <c r="L177" s="4" t="n">
        <f aca="false">IFERROR(K177/I177,0)</f>
        <v>0</v>
      </c>
      <c r="M177" s="15" t="n">
        <f aca="false">IF(INDEX('Расчет Кплотн'!$D:$D,MATCH(D177,'Расчет Кплотн'!$A:$A,0))="район",IFERROR(VLOOKUP(INDEX('Расчет Кплотн'!$B:$B,MATCH(D177,'Расчет Кплотн'!$A:$A,0)),'БКПН (приказ 170)'!$A$4:$C$10,3,FALSE()),Моделирование!$F$2),Моделирование!$F$2)</f>
        <v>1686.17</v>
      </c>
    </row>
    <row r="178" customFormat="false" ht="15" hidden="false" customHeight="false" outlineLevel="0" collapsed="false">
      <c r="A178" s="12" t="n">
        <v>173</v>
      </c>
      <c r="B178" s="12" t="str">
        <f aca="false">'РПН 01.08 по МО'!B176</f>
        <v>АЛМАТЫ</v>
      </c>
      <c r="C178" s="12" t="str">
        <f aca="false">'РПН 01.08 по МО'!C176</f>
        <v>Коммунальное государственное предприятие на праве хозяйственного ведения "Городская поликлиника № 36" Управления общественного здравоохранения города Алматы</v>
      </c>
      <c r="D178" s="12" t="str">
        <f aca="false">'РПН 01.08 по МО'!E176</f>
        <v>7500</v>
      </c>
      <c r="E178" s="12" t="str">
        <f aca="false">'РПН 01.08 по МО'!F176</f>
        <v>г. Алматы</v>
      </c>
      <c r="F178" s="13" t="n">
        <f aca="false">'РПН 01.08 по МО'!D176</f>
        <v>62214</v>
      </c>
      <c r="G178" s="14" t="n">
        <f aca="false">INDEX('Расчет Кплотн'!$K:$K,MATCH(D178,'Расчет Кплотн'!$A:$A,0))</f>
        <v>1</v>
      </c>
      <c r="H178" s="14" t="n">
        <f aca="false">INDEX('Расчет Кплотн'!$J:$J,MATCH(D178,'Расчет Кплотн'!$A:$A,0))</f>
        <v>1</v>
      </c>
      <c r="I178" s="3" t="n">
        <f aca="false">F178*Моделирование!$F$3*M178*G178/1000</f>
        <v>1258840.56456</v>
      </c>
      <c r="J178" s="3" t="n">
        <f aca="false">F178*Моделирование!$F$3*M178*H178/1000</f>
        <v>1258840.56456</v>
      </c>
      <c r="K178" s="3" t="n">
        <f aca="false">J178-I178</f>
        <v>0</v>
      </c>
      <c r="L178" s="4" t="n">
        <f aca="false">IFERROR(K178/I178,0)</f>
        <v>0</v>
      </c>
      <c r="M178" s="15" t="n">
        <f aca="false">IF(INDEX('Расчет Кплотн'!$D:$D,MATCH(D178,'Расчет Кплотн'!$A:$A,0))="район",IFERROR(VLOOKUP(INDEX('Расчет Кплотн'!$B:$B,MATCH(D178,'Расчет Кплотн'!$A:$A,0)),'БКПН (приказ 170)'!$A$4:$C$10,3,FALSE()),Моделирование!$F$2),Моделирование!$F$2)</f>
        <v>1686.17</v>
      </c>
    </row>
    <row r="179" customFormat="false" ht="15" hidden="false" customHeight="false" outlineLevel="0" collapsed="false">
      <c r="A179" s="12" t="n">
        <v>174</v>
      </c>
      <c r="B179" s="12" t="str">
        <f aca="false">'РПН 01.08 по МО'!B177</f>
        <v>АЛМАТЫ</v>
      </c>
      <c r="C179" s="12" t="str">
        <f aca="false">'РПН 01.08 по МО'!C177</f>
        <v>Коммунальное государственное предприятие на праве хозяйственного ведения "Городская поликлиника № 32" Управления общественного здравоохранения города Алматы</v>
      </c>
      <c r="D179" s="12" t="str">
        <f aca="false">'РПН 01.08 по МО'!E177</f>
        <v>7500</v>
      </c>
      <c r="E179" s="12" t="str">
        <f aca="false">'РПН 01.08 по МО'!F177</f>
        <v>г. Алматы</v>
      </c>
      <c r="F179" s="13" t="n">
        <f aca="false">'РПН 01.08 по МО'!D177</f>
        <v>33482</v>
      </c>
      <c r="G179" s="14" t="n">
        <f aca="false">INDEX('Расчет Кплотн'!$K:$K,MATCH(D179,'Расчет Кплотн'!$A:$A,0))</f>
        <v>1</v>
      </c>
      <c r="H179" s="14" t="n">
        <f aca="false">INDEX('Расчет Кплотн'!$J:$J,MATCH(D179,'Расчет Кплотн'!$A:$A,0))</f>
        <v>1</v>
      </c>
      <c r="I179" s="3" t="n">
        <f aca="false">F179*Моделирование!$F$3*M179*G179/1000</f>
        <v>677476.12728</v>
      </c>
      <c r="J179" s="3" t="n">
        <f aca="false">F179*Моделирование!$F$3*M179*H179/1000</f>
        <v>677476.12728</v>
      </c>
      <c r="K179" s="3" t="n">
        <f aca="false">J179-I179</f>
        <v>0</v>
      </c>
      <c r="L179" s="4" t="n">
        <f aca="false">IFERROR(K179/I179,0)</f>
        <v>0</v>
      </c>
      <c r="M179" s="15" t="n">
        <f aca="false">IF(INDEX('Расчет Кплотн'!$D:$D,MATCH(D179,'Расчет Кплотн'!$A:$A,0))="район",IFERROR(VLOOKUP(INDEX('Расчет Кплотн'!$B:$B,MATCH(D179,'Расчет Кплотн'!$A:$A,0)),'БКПН (приказ 170)'!$A$4:$C$10,3,FALSE()),Моделирование!$F$2),Моделирование!$F$2)</f>
        <v>1686.17</v>
      </c>
    </row>
    <row r="180" customFormat="false" ht="15" hidden="false" customHeight="false" outlineLevel="0" collapsed="false">
      <c r="A180" s="12" t="n">
        <v>175</v>
      </c>
      <c r="B180" s="12" t="str">
        <f aca="false">'РПН 01.08 по МО'!B178</f>
        <v>АЛМАТЫ</v>
      </c>
      <c r="C180" s="12" t="str">
        <f aca="false">'РПН 01.08 по МО'!C178</f>
        <v>Коммунальное государственное предприятие на праве хозяйственного ведения "Городская поликлиника № 3" Управления общественного здравоохранения города Алматы</v>
      </c>
      <c r="D180" s="12" t="str">
        <f aca="false">'РПН 01.08 по МО'!E178</f>
        <v>7500</v>
      </c>
      <c r="E180" s="12" t="str">
        <f aca="false">'РПН 01.08 по МО'!F178</f>
        <v>г. Алматы</v>
      </c>
      <c r="F180" s="13" t="n">
        <f aca="false">'РПН 01.08 по МО'!D178</f>
        <v>62267</v>
      </c>
      <c r="G180" s="14" t="n">
        <f aca="false">INDEX('Расчет Кплотн'!$K:$K,MATCH(D180,'Расчет Кплотн'!$A:$A,0))</f>
        <v>1</v>
      </c>
      <c r="H180" s="14" t="n">
        <f aca="false">INDEX('Расчет Кплотн'!$J:$J,MATCH(D180,'Расчет Кплотн'!$A:$A,0))</f>
        <v>1</v>
      </c>
      <c r="I180" s="3" t="n">
        <f aca="false">F180*Моделирование!$F$3*M180*G180/1000</f>
        <v>1259912.96868</v>
      </c>
      <c r="J180" s="3" t="n">
        <f aca="false">F180*Моделирование!$F$3*M180*H180/1000</f>
        <v>1259912.96868</v>
      </c>
      <c r="K180" s="3" t="n">
        <f aca="false">J180-I180</f>
        <v>0</v>
      </c>
      <c r="L180" s="4" t="n">
        <f aca="false">IFERROR(K180/I180,0)</f>
        <v>0</v>
      </c>
      <c r="M180" s="15" t="n">
        <f aca="false">IF(INDEX('Расчет Кплотн'!$D:$D,MATCH(D180,'Расчет Кплотн'!$A:$A,0))="район",IFERROR(VLOOKUP(INDEX('Расчет Кплотн'!$B:$B,MATCH(D180,'Расчет Кплотн'!$A:$A,0)),'БКПН (приказ 170)'!$A$4:$C$10,3,FALSE()),Моделирование!$F$2),Моделирование!$F$2)</f>
        <v>1686.17</v>
      </c>
    </row>
    <row r="181" customFormat="false" ht="15" hidden="false" customHeight="false" outlineLevel="0" collapsed="false">
      <c r="A181" s="12" t="n">
        <v>176</v>
      </c>
      <c r="B181" s="12" t="str">
        <f aca="false">'РПН 01.08 по МО'!B179</f>
        <v>АЛМАТЫ</v>
      </c>
      <c r="C181" s="12" t="str">
        <f aca="false">'РПН 01.08 по МО'!C179</f>
        <v>Коммунальное государственное предприятие на праве хозяйственного ведения "Городская поликлиника № 24" Управления общественного здравоохранения города Алматы</v>
      </c>
      <c r="D181" s="12" t="str">
        <f aca="false">'РПН 01.08 по МО'!E179</f>
        <v>7500</v>
      </c>
      <c r="E181" s="12" t="str">
        <f aca="false">'РПН 01.08 по МО'!F179</f>
        <v>г. Алматы</v>
      </c>
      <c r="F181" s="13" t="n">
        <f aca="false">'РПН 01.08 по МО'!D179</f>
        <v>35227</v>
      </c>
      <c r="G181" s="14" t="n">
        <f aca="false">INDEX('Расчет Кплотн'!$K:$K,MATCH(D181,'Расчет Кплотн'!$A:$A,0))</f>
        <v>1</v>
      </c>
      <c r="H181" s="14" t="n">
        <f aca="false">INDEX('Расчет Кплотн'!$J:$J,MATCH(D181,'Расчет Кплотн'!$A:$A,0))</f>
        <v>1</v>
      </c>
      <c r="I181" s="3" t="n">
        <f aca="false">F181*Моделирование!$F$3*M181*G181/1000</f>
        <v>712784.52708</v>
      </c>
      <c r="J181" s="3" t="n">
        <f aca="false">F181*Моделирование!$F$3*M181*H181/1000</f>
        <v>712784.52708</v>
      </c>
      <c r="K181" s="3" t="n">
        <f aca="false">J181-I181</f>
        <v>0</v>
      </c>
      <c r="L181" s="4" t="n">
        <f aca="false">IFERROR(K181/I181,0)</f>
        <v>0</v>
      </c>
      <c r="M181" s="15" t="n">
        <f aca="false">IF(INDEX('Расчет Кплотн'!$D:$D,MATCH(D181,'Расчет Кплотн'!$A:$A,0))="район",IFERROR(VLOOKUP(INDEX('Расчет Кплотн'!$B:$B,MATCH(D181,'Расчет Кплотн'!$A:$A,0)),'БКПН (приказ 170)'!$A$4:$C$10,3,FALSE()),Моделирование!$F$2),Моделирование!$F$2)</f>
        <v>1686.17</v>
      </c>
    </row>
    <row r="182" customFormat="false" ht="15" hidden="false" customHeight="false" outlineLevel="0" collapsed="false">
      <c r="A182" s="12" t="n">
        <v>177</v>
      </c>
      <c r="B182" s="12" t="str">
        <f aca="false">'РПН 01.08 по МО'!B180</f>
        <v>АЛМАТЫ</v>
      </c>
      <c r="C182" s="12" t="str">
        <f aca="false">'РПН 01.08 по МО'!C180</f>
        <v>Коммунальное государственное предприятие на праве хозяйственного ведения "Городская поликлиника № 18" Управления общественного здравоохранения города Алматы</v>
      </c>
      <c r="D182" s="12" t="str">
        <f aca="false">'РПН 01.08 по МО'!E180</f>
        <v>7500</v>
      </c>
      <c r="E182" s="12" t="str">
        <f aca="false">'РПН 01.08 по МО'!F180</f>
        <v>г. Алматы</v>
      </c>
      <c r="F182" s="13" t="n">
        <f aca="false">'РПН 01.08 по МО'!D180</f>
        <v>32309</v>
      </c>
      <c r="G182" s="14" t="n">
        <f aca="false">INDEX('Расчет Кплотн'!$K:$K,MATCH(D182,'Расчет Кплотн'!$A:$A,0))</f>
        <v>1</v>
      </c>
      <c r="H182" s="14" t="n">
        <f aca="false">INDEX('Расчет Кплотн'!$J:$J,MATCH(D182,'Расчет Кплотн'!$A:$A,0))</f>
        <v>1</v>
      </c>
      <c r="I182" s="3" t="n">
        <f aca="false">F182*Моделирование!$F$3*M182*G182/1000</f>
        <v>653741.59836</v>
      </c>
      <c r="J182" s="3" t="n">
        <f aca="false">F182*Моделирование!$F$3*M182*H182/1000</f>
        <v>653741.59836</v>
      </c>
      <c r="K182" s="3" t="n">
        <f aca="false">J182-I182</f>
        <v>0</v>
      </c>
      <c r="L182" s="4" t="n">
        <f aca="false">IFERROR(K182/I182,0)</f>
        <v>0</v>
      </c>
      <c r="M182" s="15" t="n">
        <f aca="false">IF(INDEX('Расчет Кплотн'!$D:$D,MATCH(D182,'Расчет Кплотн'!$A:$A,0))="район",IFERROR(VLOOKUP(INDEX('Расчет Кплотн'!$B:$B,MATCH(D182,'Расчет Кплотн'!$A:$A,0)),'БКПН (приказ 170)'!$A$4:$C$10,3,FALSE()),Моделирование!$F$2),Моделирование!$F$2)</f>
        <v>1686.17</v>
      </c>
    </row>
    <row r="183" customFormat="false" ht="15" hidden="false" customHeight="false" outlineLevel="0" collapsed="false">
      <c r="A183" s="12" t="n">
        <v>178</v>
      </c>
      <c r="B183" s="12" t="str">
        <f aca="false">'РПН 01.08 по МО'!B181</f>
        <v>АЛМАТЫ</v>
      </c>
      <c r="C183" s="12" t="str">
        <f aca="false">'РПН 01.08 по МО'!C181</f>
        <v>Коммунальное государственное предприятие на праве хозяйственного ведения "Городская поликлиника № 16" Управления общественного здравоохранения города Алматы</v>
      </c>
      <c r="D183" s="12" t="str">
        <f aca="false">'РПН 01.08 по МО'!E181</f>
        <v>7500</v>
      </c>
      <c r="E183" s="12" t="str">
        <f aca="false">'РПН 01.08 по МО'!F181</f>
        <v>г. Алматы</v>
      </c>
      <c r="F183" s="13" t="n">
        <f aca="false">'РПН 01.08 по МО'!D181</f>
        <v>56140</v>
      </c>
      <c r="G183" s="14" t="n">
        <f aca="false">INDEX('Расчет Кплотн'!$K:$K,MATCH(D183,'Расчет Кплотн'!$A:$A,0))</f>
        <v>1</v>
      </c>
      <c r="H183" s="14" t="n">
        <f aca="false">INDEX('Расчет Кплотн'!$J:$J,MATCH(D183,'Расчет Кплотн'!$A:$A,0))</f>
        <v>1</v>
      </c>
      <c r="I183" s="3" t="n">
        <f aca="false">F183*Моделирование!$F$3*M183*G183/1000</f>
        <v>1135939.0056</v>
      </c>
      <c r="J183" s="3" t="n">
        <f aca="false">F183*Моделирование!$F$3*M183*H183/1000</f>
        <v>1135939.0056</v>
      </c>
      <c r="K183" s="3" t="n">
        <f aca="false">J183-I183</f>
        <v>0</v>
      </c>
      <c r="L183" s="4" t="n">
        <f aca="false">IFERROR(K183/I183,0)</f>
        <v>0</v>
      </c>
      <c r="M183" s="15" t="n">
        <f aca="false">IF(INDEX('Расчет Кплотн'!$D:$D,MATCH(D183,'Расчет Кплотн'!$A:$A,0))="район",IFERROR(VLOOKUP(INDEX('Расчет Кплотн'!$B:$B,MATCH(D183,'Расчет Кплотн'!$A:$A,0)),'БКПН (приказ 170)'!$A$4:$C$10,3,FALSE()),Моделирование!$F$2),Моделирование!$F$2)</f>
        <v>1686.17</v>
      </c>
    </row>
    <row r="184" customFormat="false" ht="15" hidden="false" customHeight="false" outlineLevel="0" collapsed="false">
      <c r="A184" s="12" t="n">
        <v>179</v>
      </c>
      <c r="B184" s="12" t="str">
        <f aca="false">'РПН 01.08 по МО'!B182</f>
        <v>АЛМАТЫ</v>
      </c>
      <c r="C184" s="12" t="str">
        <f aca="false">'РПН 01.08 по МО'!C182</f>
        <v>Коммунальное государственное предприятие на праве хозяйственного ведения "Городская поликлиника № 15" Управления общественного здравоохранения города Алматы</v>
      </c>
      <c r="D184" s="12" t="str">
        <f aca="false">'РПН 01.08 по МО'!E182</f>
        <v>7500</v>
      </c>
      <c r="E184" s="12" t="str">
        <f aca="false">'РПН 01.08 по МО'!F182</f>
        <v>г. Алматы</v>
      </c>
      <c r="F184" s="13" t="n">
        <f aca="false">'РПН 01.08 по МО'!D182</f>
        <v>45449</v>
      </c>
      <c r="G184" s="14" t="n">
        <f aca="false">INDEX('Расчет Кплотн'!$K:$K,MATCH(D184,'Расчет Кплотн'!$A:$A,0))</f>
        <v>1</v>
      </c>
      <c r="H184" s="14" t="n">
        <f aca="false">INDEX('Расчет Кплотн'!$J:$J,MATCH(D184,'Расчет Кплотн'!$A:$A,0))</f>
        <v>1</v>
      </c>
      <c r="I184" s="3" t="n">
        <f aca="false">F184*Моделирование!$F$3*M184*G184/1000</f>
        <v>919616.88396</v>
      </c>
      <c r="J184" s="3" t="n">
        <f aca="false">F184*Моделирование!$F$3*M184*H184/1000</f>
        <v>919616.88396</v>
      </c>
      <c r="K184" s="3" t="n">
        <f aca="false">J184-I184</f>
        <v>0</v>
      </c>
      <c r="L184" s="4" t="n">
        <f aca="false">IFERROR(K184/I184,0)</f>
        <v>0</v>
      </c>
      <c r="M184" s="15" t="n">
        <f aca="false">IF(INDEX('Расчет Кплотн'!$D:$D,MATCH(D184,'Расчет Кплотн'!$A:$A,0))="район",IFERROR(VLOOKUP(INDEX('Расчет Кплотн'!$B:$B,MATCH(D184,'Расчет Кплотн'!$A:$A,0)),'БКПН (приказ 170)'!$A$4:$C$10,3,FALSE()),Моделирование!$F$2),Моделирование!$F$2)</f>
        <v>1686.17</v>
      </c>
    </row>
    <row r="185" customFormat="false" ht="15" hidden="false" customHeight="false" outlineLevel="0" collapsed="false">
      <c r="A185" s="12" t="n">
        <v>180</v>
      </c>
      <c r="B185" s="12" t="str">
        <f aca="false">'РПН 01.08 по МО'!B183</f>
        <v>АЛМАТЫ</v>
      </c>
      <c r="C185" s="12" t="str">
        <f aca="false">'РПН 01.08 по МО'!C183</f>
        <v>Коммунальное государственное предприятие на праве хозяйственного ведения "Городская поликлиника № 13" Управления общественного здравоохранения города Алматы</v>
      </c>
      <c r="D185" s="12" t="str">
        <f aca="false">'РПН 01.08 по МО'!E183</f>
        <v>7500</v>
      </c>
      <c r="E185" s="12" t="str">
        <f aca="false">'РПН 01.08 по МО'!F183</f>
        <v>г. Алматы</v>
      </c>
      <c r="F185" s="13" t="n">
        <f aca="false">'РПН 01.08 по МО'!D183</f>
        <v>29885</v>
      </c>
      <c r="G185" s="14" t="n">
        <f aca="false">INDEX('Расчет Кплотн'!$K:$K,MATCH(D185,'Расчет Кплотн'!$A:$A,0))</f>
        <v>1</v>
      </c>
      <c r="H185" s="14" t="n">
        <f aca="false">INDEX('Расчет Кплотн'!$J:$J,MATCH(D185,'Расчет Кплотн'!$A:$A,0))</f>
        <v>1</v>
      </c>
      <c r="I185" s="3" t="n">
        <f aca="false">F185*Моделирование!$F$3*M185*G185/1000</f>
        <v>604694.2854</v>
      </c>
      <c r="J185" s="3" t="n">
        <f aca="false">F185*Моделирование!$F$3*M185*H185/1000</f>
        <v>604694.2854</v>
      </c>
      <c r="K185" s="3" t="n">
        <f aca="false">J185-I185</f>
        <v>0</v>
      </c>
      <c r="L185" s="4" t="n">
        <f aca="false">IFERROR(K185/I185,0)</f>
        <v>0</v>
      </c>
      <c r="M185" s="15" t="n">
        <f aca="false">IF(INDEX('Расчет Кплотн'!$D:$D,MATCH(D185,'Расчет Кплотн'!$A:$A,0))="район",IFERROR(VLOOKUP(INDEX('Расчет Кплотн'!$B:$B,MATCH(D185,'Расчет Кплотн'!$A:$A,0)),'БКПН (приказ 170)'!$A$4:$C$10,3,FALSE()),Моделирование!$F$2),Моделирование!$F$2)</f>
        <v>1686.17</v>
      </c>
    </row>
    <row r="186" customFormat="false" ht="15" hidden="false" customHeight="false" outlineLevel="0" collapsed="false">
      <c r="A186" s="12" t="n">
        <v>181</v>
      </c>
      <c r="B186" s="12" t="str">
        <f aca="false">'РПН 01.08 по МО'!B184</f>
        <v>АЛМАТЫ</v>
      </c>
      <c r="C186" s="12" t="str">
        <f aca="false">'РПН 01.08 по МО'!C184</f>
        <v>Коммунальное государственное предприятие на праве хозяйственного ведения "Городская поликлиника № 12" Управления общественного здравоохранения города Алматы</v>
      </c>
      <c r="D186" s="12" t="str">
        <f aca="false">'РПН 01.08 по МО'!E184</f>
        <v>7500</v>
      </c>
      <c r="E186" s="12" t="str">
        <f aca="false">'РПН 01.08 по МО'!F184</f>
        <v>г. Алматы</v>
      </c>
      <c r="F186" s="13" t="n">
        <f aca="false">'РПН 01.08 по МО'!D184</f>
        <v>60733</v>
      </c>
      <c r="G186" s="14" t="n">
        <f aca="false">INDEX('Расчет Кплотн'!$K:$K,MATCH(D186,'Расчет Кплотн'!$A:$A,0))</f>
        <v>1</v>
      </c>
      <c r="H186" s="14" t="n">
        <f aca="false">INDEX('Расчет Кплотн'!$J:$J,MATCH(D186,'Расчет Кплотн'!$A:$A,0))</f>
        <v>1</v>
      </c>
      <c r="I186" s="3" t="n">
        <f aca="false">F186*Моделирование!$F$3*M186*G186/1000</f>
        <v>1228873.95132</v>
      </c>
      <c r="J186" s="3" t="n">
        <f aca="false">F186*Моделирование!$F$3*M186*H186/1000</f>
        <v>1228873.95132</v>
      </c>
      <c r="K186" s="3" t="n">
        <f aca="false">J186-I186</f>
        <v>0</v>
      </c>
      <c r="L186" s="4" t="n">
        <f aca="false">IFERROR(K186/I186,0)</f>
        <v>0</v>
      </c>
      <c r="M186" s="15" t="n">
        <f aca="false">IF(INDEX('Расчет Кплотн'!$D:$D,MATCH(D186,'Расчет Кплотн'!$A:$A,0))="район",IFERROR(VLOOKUP(INDEX('Расчет Кплотн'!$B:$B,MATCH(D186,'Расчет Кплотн'!$A:$A,0)),'БКПН (приказ 170)'!$A$4:$C$10,3,FALSE()),Моделирование!$F$2),Моделирование!$F$2)</f>
        <v>1686.17</v>
      </c>
    </row>
    <row r="187" customFormat="false" ht="15" hidden="false" customHeight="false" outlineLevel="0" collapsed="false">
      <c r="A187" s="12" t="n">
        <v>182</v>
      </c>
      <c r="B187" s="12" t="str">
        <f aca="false">'РПН 01.08 по МО'!B185</f>
        <v>АЛМАТЫ</v>
      </c>
      <c r="C187" s="12" t="str">
        <f aca="false">'РПН 01.08 по МО'!C185</f>
        <v>Коммунальное государственное предприятие на праве хозяйственного ведения "Городская поликлиника № 11" Управления общественного здравоохранения города Алматы</v>
      </c>
      <c r="D187" s="12" t="str">
        <f aca="false">'РПН 01.08 по МО'!E185</f>
        <v>7500</v>
      </c>
      <c r="E187" s="12" t="str">
        <f aca="false">'РПН 01.08 по МО'!F185</f>
        <v>г. Алматы</v>
      </c>
      <c r="F187" s="13" t="n">
        <f aca="false">'РПН 01.08 по МО'!D185</f>
        <v>66091</v>
      </c>
      <c r="G187" s="14" t="n">
        <f aca="false">INDEX('Расчет Кплотн'!$K:$K,MATCH(D187,'Расчет Кплотн'!$A:$A,0))</f>
        <v>1</v>
      </c>
      <c r="H187" s="14" t="n">
        <f aca="false">INDEX('Расчет Кплотн'!$J:$J,MATCH(D187,'Расчет Кплотн'!$A:$A,0))</f>
        <v>1</v>
      </c>
      <c r="I187" s="3" t="n">
        <f aca="false">F187*Моделирование!$F$3*M187*G187/1000</f>
        <v>1337287.93764</v>
      </c>
      <c r="J187" s="3" t="n">
        <f aca="false">F187*Моделирование!$F$3*M187*H187/1000</f>
        <v>1337287.93764</v>
      </c>
      <c r="K187" s="3" t="n">
        <f aca="false">J187-I187</f>
        <v>0</v>
      </c>
      <c r="L187" s="4" t="n">
        <f aca="false">IFERROR(K187/I187,0)</f>
        <v>0</v>
      </c>
      <c r="M187" s="15" t="n">
        <f aca="false">IF(INDEX('Расчет Кплотн'!$D:$D,MATCH(D187,'Расчет Кплотн'!$A:$A,0))="район",IFERROR(VLOOKUP(INDEX('Расчет Кплотн'!$B:$B,MATCH(D187,'Расчет Кплотн'!$A:$A,0)),'БКПН (приказ 170)'!$A$4:$C$10,3,FALSE()),Моделирование!$F$2),Моделирование!$F$2)</f>
        <v>1686.17</v>
      </c>
    </row>
    <row r="188" customFormat="false" ht="15" hidden="false" customHeight="false" outlineLevel="0" collapsed="false">
      <c r="A188" s="12" t="n">
        <v>183</v>
      </c>
      <c r="B188" s="12" t="str">
        <f aca="false">'РПН 01.08 по МО'!B186</f>
        <v>АЛМАТЫ</v>
      </c>
      <c r="C188" s="12" t="str">
        <f aca="false">'РПН 01.08 по МО'!C186</f>
        <v>Коммунальное государственное предприятие на праве хозяйственного ведения "Городская поликлиника № 10" Управления общественного здравоохранения города Алматы</v>
      </c>
      <c r="D188" s="12" t="str">
        <f aca="false">'РПН 01.08 по МО'!E186</f>
        <v>7500</v>
      </c>
      <c r="E188" s="12" t="str">
        <f aca="false">'РПН 01.08 по МО'!F186</f>
        <v>г. Алматы</v>
      </c>
      <c r="F188" s="13" t="n">
        <f aca="false">'РПН 01.08 по МО'!D186</f>
        <v>58911</v>
      </c>
      <c r="G188" s="14" t="n">
        <f aca="false">INDEX('Расчет Кплотн'!$K:$K,MATCH(D188,'Расчет Кплотн'!$A:$A,0))</f>
        <v>1</v>
      </c>
      <c r="H188" s="14" t="n">
        <f aca="false">INDEX('Расчет Кплотн'!$J:$J,MATCH(D188,'Расчет Кплотн'!$A:$A,0))</f>
        <v>1</v>
      </c>
      <c r="I188" s="3" t="n">
        <f aca="false">F188*Моделирование!$F$3*M188*G188/1000</f>
        <v>1192007.53044</v>
      </c>
      <c r="J188" s="3" t="n">
        <f aca="false">F188*Моделирование!$F$3*M188*H188/1000</f>
        <v>1192007.53044</v>
      </c>
      <c r="K188" s="3" t="n">
        <f aca="false">J188-I188</f>
        <v>0</v>
      </c>
      <c r="L188" s="4" t="n">
        <f aca="false">IFERROR(K188/I188,0)</f>
        <v>0</v>
      </c>
      <c r="M188" s="15" t="n">
        <f aca="false">IF(INDEX('Расчет Кплотн'!$D:$D,MATCH(D188,'Расчет Кплотн'!$A:$A,0))="район",IFERROR(VLOOKUP(INDEX('Расчет Кплотн'!$B:$B,MATCH(D188,'Расчет Кплотн'!$A:$A,0)),'БКПН (приказ 170)'!$A$4:$C$10,3,FALSE()),Моделирование!$F$2),Моделирование!$F$2)</f>
        <v>1686.17</v>
      </c>
    </row>
    <row r="189" customFormat="false" ht="15" hidden="false" customHeight="false" outlineLevel="0" collapsed="false">
      <c r="A189" s="12" t="n">
        <v>184</v>
      </c>
      <c r="B189" s="12" t="str">
        <f aca="false">'РПН 01.08 по МО'!B187</f>
        <v>АЛМАТЫ</v>
      </c>
      <c r="C189" s="12" t="str">
        <f aca="false">'РПН 01.08 по МО'!C187</f>
        <v>Коммунальное государственное предприятие на праве хозяйственного ведения "Городская поликлиника № 1" Управления общественного здравоохранения города Алматы</v>
      </c>
      <c r="D189" s="12" t="str">
        <f aca="false">'РПН 01.08 по МО'!E187</f>
        <v>7500</v>
      </c>
      <c r="E189" s="12" t="str">
        <f aca="false">'РПН 01.08 по МО'!F187</f>
        <v>г. Алматы</v>
      </c>
      <c r="F189" s="13" t="n">
        <f aca="false">'РПН 01.08 по МО'!D187</f>
        <v>53870</v>
      </c>
      <c r="G189" s="14" t="n">
        <f aca="false">INDEX('Расчет Кплотн'!$K:$K,MATCH(D189,'Расчет Кплотн'!$A:$A,0))</f>
        <v>1</v>
      </c>
      <c r="H189" s="14" t="n">
        <f aca="false">INDEX('Расчет Кплотн'!$J:$J,MATCH(D189,'Расчет Кплотн'!$A:$A,0))</f>
        <v>1</v>
      </c>
      <c r="I189" s="3" t="n">
        <f aca="false">F189*Моделирование!$F$3*M189*G189/1000</f>
        <v>1090007.7348</v>
      </c>
      <c r="J189" s="3" t="n">
        <f aca="false">F189*Моделирование!$F$3*M189*H189/1000</f>
        <v>1090007.7348</v>
      </c>
      <c r="K189" s="3" t="n">
        <f aca="false">J189-I189</f>
        <v>0</v>
      </c>
      <c r="L189" s="4" t="n">
        <f aca="false">IFERROR(K189/I189,0)</f>
        <v>0</v>
      </c>
      <c r="M189" s="15" t="n">
        <f aca="false">IF(INDEX('Расчет Кплотн'!$D:$D,MATCH(D189,'Расчет Кплотн'!$A:$A,0))="район",IFERROR(VLOOKUP(INDEX('Расчет Кплотн'!$B:$B,MATCH(D189,'Расчет Кплотн'!$A:$A,0)),'БКПН (приказ 170)'!$A$4:$C$10,3,FALSE()),Моделирование!$F$2),Моделирование!$F$2)</f>
        <v>1686.17</v>
      </c>
    </row>
    <row r="190" customFormat="false" ht="15" hidden="false" customHeight="false" outlineLevel="0" collapsed="false">
      <c r="A190" s="12" t="n">
        <v>185</v>
      </c>
      <c r="B190" s="12" t="str">
        <f aca="false">'РПН 01.08 по МО'!B188</f>
        <v>АЛМАТЫ</v>
      </c>
      <c r="C190" s="12" t="str">
        <f aca="false">'РПН 01.08 по МО'!C188</f>
        <v>Коммунальное государственное предприятие на праве хозяйственного ведения "Городская клиническая больница № 7" Управления общественного здравоохранения города Алматы</v>
      </c>
      <c r="D190" s="12" t="str">
        <f aca="false">'РПН 01.08 по МО'!E188</f>
        <v>7500</v>
      </c>
      <c r="E190" s="12" t="str">
        <f aca="false">'РПН 01.08 по МО'!F188</f>
        <v>г. Алматы</v>
      </c>
      <c r="F190" s="13" t="n">
        <f aca="false">'РПН 01.08 по МО'!D188</f>
        <v>32149</v>
      </c>
      <c r="G190" s="14" t="n">
        <f aca="false">INDEX('Расчет Кплотн'!$K:$K,MATCH(D190,'Расчет Кплотн'!$A:$A,0))</f>
        <v>1</v>
      </c>
      <c r="H190" s="14" t="n">
        <f aca="false">INDEX('Расчет Кплотн'!$J:$J,MATCH(D190,'Расчет Кплотн'!$A:$A,0))</f>
        <v>1</v>
      </c>
      <c r="I190" s="3" t="n">
        <f aca="false">F190*Моделирование!$F$3*M190*G190/1000</f>
        <v>650504.15196</v>
      </c>
      <c r="J190" s="3" t="n">
        <f aca="false">F190*Моделирование!$F$3*M190*H190/1000</f>
        <v>650504.15196</v>
      </c>
      <c r="K190" s="3" t="n">
        <f aca="false">J190-I190</f>
        <v>0</v>
      </c>
      <c r="L190" s="4" t="n">
        <f aca="false">IFERROR(K190/I190,0)</f>
        <v>0</v>
      </c>
      <c r="M190" s="15" t="n">
        <f aca="false">IF(INDEX('Расчет Кплотн'!$D:$D,MATCH(D190,'Расчет Кплотн'!$A:$A,0))="район",IFERROR(VLOOKUP(INDEX('Расчет Кплотн'!$B:$B,MATCH(D190,'Расчет Кплотн'!$A:$A,0)),'БКПН (приказ 170)'!$A$4:$C$10,3,FALSE()),Моделирование!$F$2),Моделирование!$F$2)</f>
        <v>1686.17</v>
      </c>
    </row>
    <row r="191" customFormat="false" ht="15" hidden="false" customHeight="false" outlineLevel="0" collapsed="false">
      <c r="A191" s="12" t="n">
        <v>186</v>
      </c>
      <c r="B191" s="12" t="str">
        <f aca="false">'РПН 01.08 по МО'!B189</f>
        <v>АЛМАТЫ</v>
      </c>
      <c r="C191" s="12" t="str">
        <f aca="false">'РПН 01.08 по МО'!C189</f>
        <v>Коммунальное государственное предприятие на праве хозяйственного ведения "Городская клиническая больница № 5" Управления общественного здравоохранения города Алматы</v>
      </c>
      <c r="D191" s="12" t="str">
        <f aca="false">'РПН 01.08 по МО'!E189</f>
        <v>7500</v>
      </c>
      <c r="E191" s="12" t="str">
        <f aca="false">'РПН 01.08 по МО'!F189</f>
        <v>г. Алматы</v>
      </c>
      <c r="F191" s="13" t="n">
        <f aca="false">'РПН 01.08 по МО'!D189</f>
        <v>62803</v>
      </c>
      <c r="G191" s="14" t="n">
        <f aca="false">INDEX('Расчет Кплотн'!$K:$K,MATCH(D191,'Расчет Кплотн'!$A:$A,0))</f>
        <v>1</v>
      </c>
      <c r="H191" s="14" t="n">
        <f aca="false">INDEX('Расчет Кплотн'!$J:$J,MATCH(D191,'Расчет Кплотн'!$A:$A,0))</f>
        <v>1</v>
      </c>
      <c r="I191" s="3" t="n">
        <f aca="false">F191*Моделирование!$F$3*M191*G191/1000</f>
        <v>1270758.41412</v>
      </c>
      <c r="J191" s="3" t="n">
        <f aca="false">F191*Моделирование!$F$3*M191*H191/1000</f>
        <v>1270758.41412</v>
      </c>
      <c r="K191" s="3" t="n">
        <f aca="false">J191-I191</f>
        <v>0</v>
      </c>
      <c r="L191" s="4" t="n">
        <f aca="false">IFERROR(K191/I191,0)</f>
        <v>0</v>
      </c>
      <c r="M191" s="15" t="n">
        <f aca="false">IF(INDEX('Расчет Кплотн'!$D:$D,MATCH(D191,'Расчет Кплотн'!$A:$A,0))="район",IFERROR(VLOOKUP(INDEX('Расчет Кплотн'!$B:$B,MATCH(D191,'Расчет Кплотн'!$A:$A,0)),'БКПН (приказ 170)'!$A$4:$C$10,3,FALSE()),Моделирование!$F$2),Моделирование!$F$2)</f>
        <v>1686.17</v>
      </c>
    </row>
    <row r="192" customFormat="false" ht="15" hidden="false" customHeight="false" outlineLevel="0" collapsed="false">
      <c r="A192" s="12" t="n">
        <v>187</v>
      </c>
      <c r="B192" s="12" t="str">
        <f aca="false">'РПН 01.08 по МО'!B190</f>
        <v>АЛМАТЫ</v>
      </c>
      <c r="C192" s="12" t="str">
        <f aca="false">'РПН 01.08 по МО'!C190</f>
        <v>Коммунальное государственное предприятие на праве хозяйственного ведения "Городская больница "Алатау" Управления общественного здравоохранения города Алматы</v>
      </c>
      <c r="D192" s="12" t="str">
        <f aca="false">'РПН 01.08 по МО'!E190</f>
        <v>7500</v>
      </c>
      <c r="E192" s="12" t="str">
        <f aca="false">'РПН 01.08 по МО'!F190</f>
        <v>г. Алматы</v>
      </c>
      <c r="F192" s="13" t="n">
        <f aca="false">'РПН 01.08 по МО'!D190</f>
        <v>10501</v>
      </c>
      <c r="G192" s="14" t="n">
        <f aca="false">INDEX('Расчет Кплотн'!$K:$K,MATCH(D192,'Расчет Кплотн'!$A:$A,0))</f>
        <v>1</v>
      </c>
      <c r="H192" s="14" t="n">
        <f aca="false">INDEX('Расчет Кплотн'!$J:$J,MATCH(D192,'Расчет Кплотн'!$A:$A,0))</f>
        <v>1</v>
      </c>
      <c r="I192" s="3" t="n">
        <f aca="false">F192*Моделирование!$F$3*M192*G192/1000</f>
        <v>212477.65404</v>
      </c>
      <c r="J192" s="3" t="n">
        <f aca="false">F192*Моделирование!$F$3*M192*H192/1000</f>
        <v>212477.65404</v>
      </c>
      <c r="K192" s="3" t="n">
        <f aca="false">J192-I192</f>
        <v>0</v>
      </c>
      <c r="L192" s="4" t="n">
        <f aca="false">IFERROR(K192/I192,0)</f>
        <v>0</v>
      </c>
      <c r="M192" s="15" t="n">
        <f aca="false">IF(INDEX('Расчет Кплотн'!$D:$D,MATCH(D192,'Расчет Кплотн'!$A:$A,0))="район",IFERROR(VLOOKUP(INDEX('Расчет Кплотн'!$B:$B,MATCH(D192,'Расчет Кплотн'!$A:$A,0)),'БКПН (приказ 170)'!$A$4:$C$10,3,FALSE()),Моделирование!$F$2),Моделирование!$F$2)</f>
        <v>1686.17</v>
      </c>
    </row>
    <row r="193" customFormat="false" ht="15" hidden="false" customHeight="false" outlineLevel="0" collapsed="false">
      <c r="A193" s="12" t="n">
        <v>188</v>
      </c>
      <c r="B193" s="12" t="str">
        <f aca="false">'РПН 01.08 по МО'!B191</f>
        <v>АЛМАТЫ</v>
      </c>
      <c r="C193" s="12" t="str">
        <f aca="false">'РПН 01.08 по МО'!C191</f>
        <v>КГП на ПХВ "Городская поликлиника №22" Управления общественного здравоохранения города Алматы</v>
      </c>
      <c r="D193" s="12" t="str">
        <f aca="false">'РПН 01.08 по МО'!E191</f>
        <v>7500</v>
      </c>
      <c r="E193" s="12" t="str">
        <f aca="false">'РПН 01.08 по МО'!F191</f>
        <v>г. Алматы</v>
      </c>
      <c r="F193" s="13" t="n">
        <f aca="false">'РПН 01.08 по МО'!D191</f>
        <v>44003</v>
      </c>
      <c r="G193" s="14" t="n">
        <f aca="false">INDEX('Расчет Кплотн'!$K:$K,MATCH(D193,'Расчет Кплотн'!$A:$A,0))</f>
        <v>1</v>
      </c>
      <c r="H193" s="14" t="n">
        <f aca="false">INDEX('Расчет Кплотн'!$J:$J,MATCH(D193,'Расчет Кплотн'!$A:$A,0))</f>
        <v>1</v>
      </c>
      <c r="I193" s="3" t="n">
        <f aca="false">F193*Моделирование!$F$3*M193*G193/1000</f>
        <v>890358.46212</v>
      </c>
      <c r="J193" s="3" t="n">
        <f aca="false">F193*Моделирование!$F$3*M193*H193/1000</f>
        <v>890358.46212</v>
      </c>
      <c r="K193" s="3" t="n">
        <f aca="false">J193-I193</f>
        <v>0</v>
      </c>
      <c r="L193" s="4" t="n">
        <f aca="false">IFERROR(K193/I193,0)</f>
        <v>0</v>
      </c>
      <c r="M193" s="15" t="n">
        <f aca="false">IF(INDEX('Расчет Кплотн'!$D:$D,MATCH(D193,'Расчет Кплотн'!$A:$A,0))="район",IFERROR(VLOOKUP(INDEX('Расчет Кплотн'!$B:$B,MATCH(D193,'Расчет Кплотн'!$A:$A,0)),'БКПН (приказ 170)'!$A$4:$C$10,3,FALSE()),Моделирование!$F$2),Моделирование!$F$2)</f>
        <v>1686.17</v>
      </c>
    </row>
    <row r="194" customFormat="false" ht="15" hidden="false" customHeight="false" outlineLevel="0" collapsed="false">
      <c r="A194" s="12" t="n">
        <v>189</v>
      </c>
      <c r="B194" s="12" t="str">
        <f aca="false">'РПН 01.08 по МО'!B192</f>
        <v>АЛМАТЫ</v>
      </c>
      <c r="C194" s="12" t="str">
        <f aca="false">'РПН 01.08 по МО'!C192</f>
        <v>Коммунальное государственное предприятие на праве хозяйственного ведения "Городская поликлиника № 5" Управление общественного здравоохранения города Алматы</v>
      </c>
      <c r="D194" s="12" t="str">
        <f aca="false">'РПН 01.08 по МО'!E192</f>
        <v>7500</v>
      </c>
      <c r="E194" s="12" t="str">
        <f aca="false">'РПН 01.08 по МО'!F192</f>
        <v>г. Алматы</v>
      </c>
      <c r="F194" s="13" t="n">
        <f aca="false">'РПН 01.08 по МО'!D192</f>
        <v>49895</v>
      </c>
      <c r="G194" s="14" t="n">
        <f aca="false">INDEX('Расчет Кплотн'!$K:$K,MATCH(D194,'Расчет Кплотн'!$A:$A,0))</f>
        <v>1</v>
      </c>
      <c r="H194" s="14" t="n">
        <f aca="false">INDEX('Расчет Кплотн'!$J:$J,MATCH(D194,'Расчет Кплотн'!$A:$A,0))</f>
        <v>1</v>
      </c>
      <c r="I194" s="3" t="n">
        <f aca="false">F194*Моделирование!$F$3*M194*G194/1000</f>
        <v>1009577.4258</v>
      </c>
      <c r="J194" s="3" t="n">
        <f aca="false">F194*Моделирование!$F$3*M194*H194/1000</f>
        <v>1009577.4258</v>
      </c>
      <c r="K194" s="3" t="n">
        <f aca="false">J194-I194</f>
        <v>0</v>
      </c>
      <c r="L194" s="4" t="n">
        <f aca="false">IFERROR(K194/I194,0)</f>
        <v>0</v>
      </c>
      <c r="M194" s="15" t="n">
        <f aca="false">IF(INDEX('Расчет Кплотн'!$D:$D,MATCH(D194,'Расчет Кплотн'!$A:$A,0))="район",IFERROR(VLOOKUP(INDEX('Расчет Кплотн'!$B:$B,MATCH(D194,'Расчет Кплотн'!$A:$A,0)),'БКПН (приказ 170)'!$A$4:$C$10,3,FALSE()),Моделирование!$F$2),Моделирование!$F$2)</f>
        <v>1686.17</v>
      </c>
    </row>
    <row r="195" customFormat="false" ht="15" hidden="false" customHeight="false" outlineLevel="0" collapsed="false">
      <c r="A195" s="12" t="n">
        <v>190</v>
      </c>
      <c r="B195" s="12" t="str">
        <f aca="false">'РПН 01.08 по МО'!B193</f>
        <v>АЛМАТЫ</v>
      </c>
      <c r="C195" s="12" t="str">
        <f aca="false">'РПН 01.08 по МО'!C193</f>
        <v>Коммунальное государственное предприятие на праве хозяйственного ведения "Городская поликлиника № 8" Управления общественного здравоохранения города Алматы</v>
      </c>
      <c r="D195" s="12" t="str">
        <f aca="false">'РПН 01.08 по МО'!E193</f>
        <v>7500</v>
      </c>
      <c r="E195" s="12" t="str">
        <f aca="false">'РПН 01.08 по МО'!F193</f>
        <v>г. Алматы</v>
      </c>
      <c r="F195" s="13" t="n">
        <f aca="false">'РПН 01.08 по МО'!D193</f>
        <v>41432</v>
      </c>
      <c r="G195" s="14" t="n">
        <f aca="false">INDEX('Расчет Кплотн'!$K:$K,MATCH(D195,'Расчет Кплотн'!$A:$A,0))</f>
        <v>1</v>
      </c>
      <c r="H195" s="14" t="n">
        <f aca="false">INDEX('Расчет Кплотн'!$J:$J,MATCH(D195,'Расчет Кплотн'!$A:$A,0))</f>
        <v>1</v>
      </c>
      <c r="I195" s="3" t="n">
        <f aca="false">F195*Моделирование!$F$3*M195*G195/1000</f>
        <v>838336.74528</v>
      </c>
      <c r="J195" s="3" t="n">
        <f aca="false">F195*Моделирование!$F$3*M195*H195/1000</f>
        <v>838336.74528</v>
      </c>
      <c r="K195" s="3" t="n">
        <f aca="false">J195-I195</f>
        <v>0</v>
      </c>
      <c r="L195" s="4" t="n">
        <f aca="false">IFERROR(K195/I195,0)</f>
        <v>0</v>
      </c>
      <c r="M195" s="15" t="n">
        <f aca="false">IF(INDEX('Расчет Кплотн'!$D:$D,MATCH(D195,'Расчет Кплотн'!$A:$A,0))="район",IFERROR(VLOOKUP(INDEX('Расчет Кплотн'!$B:$B,MATCH(D195,'Расчет Кплотн'!$A:$A,0)),'БКПН (приказ 170)'!$A$4:$C$10,3,FALSE()),Моделирование!$F$2),Моделирование!$F$2)</f>
        <v>1686.17</v>
      </c>
    </row>
    <row r="196" customFormat="false" ht="15" hidden="false" customHeight="false" outlineLevel="0" collapsed="false">
      <c r="A196" s="12" t="n">
        <v>191</v>
      </c>
      <c r="B196" s="12" t="str">
        <f aca="false">'РПН 01.08 по МО'!B194</f>
        <v>АЛМАТЫ</v>
      </c>
      <c r="C196" s="12" t="str">
        <f aca="false">'РПН 01.08 по МО'!C194</f>
        <v>Коммунальное государственное предприятие на праве хозяйственного ведения "Центр первичной медико - санитарной помощи Жетысуского района" Управления общественного здравоохранения города Алматы</v>
      </c>
      <c r="D196" s="12" t="str">
        <f aca="false">'РПН 01.08 по МО'!E194</f>
        <v>7500</v>
      </c>
      <c r="E196" s="12" t="str">
        <f aca="false">'РПН 01.08 по МО'!F194</f>
        <v>г. Алматы</v>
      </c>
      <c r="F196" s="13" t="n">
        <f aca="false">'РПН 01.08 по МО'!D194</f>
        <v>16250</v>
      </c>
      <c r="G196" s="14" t="n">
        <f aca="false">INDEX('Расчет Кплотн'!$K:$K,MATCH(D196,'Расчет Кплотн'!$A:$A,0))</f>
        <v>1</v>
      </c>
      <c r="H196" s="14" t="n">
        <f aca="false">INDEX('Расчет Кплотн'!$J:$J,MATCH(D196,'Расчет Кплотн'!$A:$A,0))</f>
        <v>1</v>
      </c>
      <c r="I196" s="3" t="n">
        <f aca="false">F196*Моделирование!$F$3*M196*G196/1000</f>
        <v>328803.15</v>
      </c>
      <c r="J196" s="3" t="n">
        <f aca="false">F196*Моделирование!$F$3*M196*H196/1000</f>
        <v>328803.15</v>
      </c>
      <c r="K196" s="3" t="n">
        <f aca="false">J196-I196</f>
        <v>0</v>
      </c>
      <c r="L196" s="4" t="n">
        <f aca="false">IFERROR(K196/I196,0)</f>
        <v>0</v>
      </c>
      <c r="M196" s="15" t="n">
        <f aca="false">IF(INDEX('Расчет Кплотн'!$D:$D,MATCH(D196,'Расчет Кплотн'!$A:$A,0))="район",IFERROR(VLOOKUP(INDEX('Расчет Кплотн'!$B:$B,MATCH(D196,'Расчет Кплотн'!$A:$A,0)),'БКПН (приказ 170)'!$A$4:$C$10,3,FALSE()),Моделирование!$F$2),Моделирование!$F$2)</f>
        <v>1686.17</v>
      </c>
    </row>
    <row r="197" customFormat="false" ht="15" hidden="false" customHeight="false" outlineLevel="0" collapsed="false">
      <c r="A197" s="12" t="n">
        <v>192</v>
      </c>
      <c r="B197" s="12" t="str">
        <f aca="false">'РПН 01.08 по МО'!B195</f>
        <v>АЛМАТЫ</v>
      </c>
      <c r="C197" s="12" t="str">
        <f aca="false">'РПН 01.08 по МО'!C195</f>
        <v>Коммунальное государственное предприятие на праве хозяйственного ведения "Городская поликлиника №14" Управления общественного здравоохранения города Алматы</v>
      </c>
      <c r="D197" s="12" t="str">
        <f aca="false">'РПН 01.08 по МО'!E195</f>
        <v>7500</v>
      </c>
      <c r="E197" s="12" t="str">
        <f aca="false">'РПН 01.08 по МО'!F195</f>
        <v>г. Алматы</v>
      </c>
      <c r="F197" s="13" t="n">
        <f aca="false">'РПН 01.08 по МО'!D195</f>
        <v>35282</v>
      </c>
      <c r="G197" s="14" t="n">
        <f aca="false">INDEX('Расчет Кплотн'!$K:$K,MATCH(D197,'Расчет Кплотн'!$A:$A,0))</f>
        <v>1</v>
      </c>
      <c r="H197" s="14" t="n">
        <f aca="false">INDEX('Расчет Кплотн'!$J:$J,MATCH(D197,'Расчет Кплотн'!$A:$A,0))</f>
        <v>1</v>
      </c>
      <c r="I197" s="3" t="n">
        <f aca="false">F197*Моделирование!$F$3*M197*G197/1000</f>
        <v>713897.39928</v>
      </c>
      <c r="J197" s="3" t="n">
        <f aca="false">F197*Моделирование!$F$3*M197*H197/1000</f>
        <v>713897.39928</v>
      </c>
      <c r="K197" s="3" t="n">
        <f aca="false">J197-I197</f>
        <v>0</v>
      </c>
      <c r="L197" s="4" t="n">
        <f aca="false">IFERROR(K197/I197,0)</f>
        <v>0</v>
      </c>
      <c r="M197" s="15" t="n">
        <f aca="false">IF(INDEX('Расчет Кплотн'!$D:$D,MATCH(D197,'Расчет Кплотн'!$A:$A,0))="район",IFERROR(VLOOKUP(INDEX('Расчет Кплотн'!$B:$B,MATCH(D197,'Расчет Кплотн'!$A:$A,0)),'БКПН (приказ 170)'!$A$4:$C$10,3,FALSE()),Моделирование!$F$2),Моделирование!$F$2)</f>
        <v>1686.17</v>
      </c>
    </row>
    <row r="198" customFormat="false" ht="15" hidden="false" customHeight="false" outlineLevel="0" collapsed="false">
      <c r="A198" s="12" t="n">
        <v>193</v>
      </c>
      <c r="B198" s="12" t="str">
        <f aca="false">'РПН 01.08 по МО'!B196</f>
        <v>АЛМАТЫ</v>
      </c>
      <c r="C198" s="12" t="str">
        <f aca="false">'РПН 01.08 по МО'!C196</f>
        <v>Коммунальное государственное предприятие на праве хозяйственного ведения "Городская поликлиника № 9" Управления общественного здравоохранения города Алматы</v>
      </c>
      <c r="D198" s="12" t="str">
        <f aca="false">'РПН 01.08 по МО'!E196</f>
        <v>7500</v>
      </c>
      <c r="E198" s="12" t="str">
        <f aca="false">'РПН 01.08 по МО'!F196</f>
        <v>г. Алматы</v>
      </c>
      <c r="F198" s="13" t="n">
        <f aca="false">'РПН 01.08 по МО'!D196</f>
        <v>40733</v>
      </c>
      <c r="G198" s="14" t="n">
        <f aca="false">INDEX('Расчет Кплотн'!$K:$K,MATCH(D198,'Расчет Кплотн'!$A:$A,0))</f>
        <v>1</v>
      </c>
      <c r="H198" s="14" t="n">
        <f aca="false">INDEX('Расчет Кплотн'!$J:$J,MATCH(D198,'Расчет Кплотн'!$A:$A,0))</f>
        <v>1</v>
      </c>
      <c r="I198" s="3" t="n">
        <f aca="false">F198*Моделирование!$F$3*M198*G198/1000</f>
        <v>824193.15132</v>
      </c>
      <c r="J198" s="3" t="n">
        <f aca="false">F198*Моделирование!$F$3*M198*H198/1000</f>
        <v>824193.15132</v>
      </c>
      <c r="K198" s="3" t="n">
        <f aca="false">J198-I198</f>
        <v>0</v>
      </c>
      <c r="L198" s="4" t="n">
        <f aca="false">IFERROR(K198/I198,0)</f>
        <v>0</v>
      </c>
      <c r="M198" s="15" t="n">
        <f aca="false">IF(INDEX('Расчет Кплотн'!$D:$D,MATCH(D198,'Расчет Кплотн'!$A:$A,0))="район",IFERROR(VLOOKUP(INDEX('Расчет Кплотн'!$B:$B,MATCH(D198,'Расчет Кплотн'!$A:$A,0)),'БКПН (приказ 170)'!$A$4:$C$10,3,FALSE()),Моделирование!$F$2),Моделирование!$F$2)</f>
        <v>1686.17</v>
      </c>
    </row>
    <row r="199" customFormat="false" ht="15" hidden="false" customHeight="false" outlineLevel="0" collapsed="false">
      <c r="A199" s="12" t="n">
        <v>194</v>
      </c>
      <c r="B199" s="12" t="str">
        <f aca="false">'РПН 01.08 по МО'!B197</f>
        <v>АЛМАТЫ</v>
      </c>
      <c r="C199" s="12" t="str">
        <f aca="false">'РПН 01.08 по МО'!C197</f>
        <v>Коммунальное государственное предприятие на праве хозяйственного ведения "Городская поликлиника №7" Управления общественного здравоохранения города Алматы</v>
      </c>
      <c r="D199" s="12" t="str">
        <f aca="false">'РПН 01.08 по МО'!E197</f>
        <v>7500</v>
      </c>
      <c r="E199" s="12" t="str">
        <f aca="false">'РПН 01.08 по МО'!F197</f>
        <v>г. Алматы</v>
      </c>
      <c r="F199" s="13" t="n">
        <f aca="false">'РПН 01.08 по МО'!D197</f>
        <v>41536</v>
      </c>
      <c r="G199" s="14" t="n">
        <f aca="false">INDEX('Расчет Кплотн'!$K:$K,MATCH(D199,'Расчет Кплотн'!$A:$A,0))</f>
        <v>1</v>
      </c>
      <c r="H199" s="14" t="n">
        <f aca="false">INDEX('Расчет Кплотн'!$J:$J,MATCH(D199,'Расчет Кплотн'!$A:$A,0))</f>
        <v>1</v>
      </c>
      <c r="I199" s="3" t="n">
        <f aca="false">F199*Моделирование!$F$3*M199*G199/1000</f>
        <v>840441.08544</v>
      </c>
      <c r="J199" s="3" t="n">
        <f aca="false">F199*Моделирование!$F$3*M199*H199/1000</f>
        <v>840441.08544</v>
      </c>
      <c r="K199" s="3" t="n">
        <f aca="false">J199-I199</f>
        <v>0</v>
      </c>
      <c r="L199" s="4" t="n">
        <f aca="false">IFERROR(K199/I199,0)</f>
        <v>0</v>
      </c>
      <c r="M199" s="15" t="n">
        <f aca="false">IF(INDEX('Расчет Кплотн'!$D:$D,MATCH(D199,'Расчет Кплотн'!$A:$A,0))="район",IFERROR(VLOOKUP(INDEX('Расчет Кплотн'!$B:$B,MATCH(D199,'Расчет Кплотн'!$A:$A,0)),'БКПН (приказ 170)'!$A$4:$C$10,3,FALSE()),Моделирование!$F$2),Моделирование!$F$2)</f>
        <v>1686.17</v>
      </c>
    </row>
    <row r="200" customFormat="false" ht="15" hidden="false" customHeight="false" outlineLevel="0" collapsed="false">
      <c r="A200" s="12" t="n">
        <v>195</v>
      </c>
      <c r="B200" s="12" t="str">
        <f aca="false">'РПН 01.08 по МО'!B198</f>
        <v>АЛМАТЫ</v>
      </c>
      <c r="C200" s="12" t="str">
        <f aca="false">'РПН 01.08 по МО'!C198</f>
        <v>Коммунальное государственное предприятие на праве хозяйственного ведения "Городская поликлиника №6" Управления общественного здравоохранения города Алматы</v>
      </c>
      <c r="D200" s="12" t="str">
        <f aca="false">'РПН 01.08 по МО'!E198</f>
        <v>7500</v>
      </c>
      <c r="E200" s="12" t="str">
        <f aca="false">'РПН 01.08 по МО'!F198</f>
        <v>г. Алматы</v>
      </c>
      <c r="F200" s="13" t="n">
        <f aca="false">'РПН 01.08 по МО'!D198</f>
        <v>55364</v>
      </c>
      <c r="G200" s="14" t="n">
        <f aca="false">INDEX('Расчет Кплотн'!$K:$K,MATCH(D200,'Расчет Кплотн'!$A:$A,0))</f>
        <v>1</v>
      </c>
      <c r="H200" s="14" t="n">
        <f aca="false">INDEX('Расчет Кплотн'!$J:$J,MATCH(D200,'Расчет Кплотн'!$A:$A,0))</f>
        <v>1</v>
      </c>
      <c r="I200" s="3" t="n">
        <f aca="false">F200*Моделирование!$F$3*M200*G200/1000</f>
        <v>1120237.39056</v>
      </c>
      <c r="J200" s="3" t="n">
        <f aca="false">F200*Моделирование!$F$3*M200*H200/1000</f>
        <v>1120237.39056</v>
      </c>
      <c r="K200" s="3" t="n">
        <f aca="false">J200-I200</f>
        <v>0</v>
      </c>
      <c r="L200" s="4" t="n">
        <f aca="false">IFERROR(K200/I200,0)</f>
        <v>0</v>
      </c>
      <c r="M200" s="15" t="n">
        <f aca="false">IF(INDEX('Расчет Кплотн'!$D:$D,MATCH(D200,'Расчет Кплотн'!$A:$A,0))="район",IFERROR(VLOOKUP(INDEX('Расчет Кплотн'!$B:$B,MATCH(D200,'Расчет Кплотн'!$A:$A,0)),'БКПН (приказ 170)'!$A$4:$C$10,3,FALSE()),Моделирование!$F$2),Моделирование!$F$2)</f>
        <v>1686.17</v>
      </c>
    </row>
    <row r="201" customFormat="false" ht="15" hidden="false" customHeight="false" outlineLevel="0" collapsed="false">
      <c r="A201" s="12" t="n">
        <v>196</v>
      </c>
      <c r="B201" s="12" t="str">
        <f aca="false">'РПН 01.08 по МО'!B199</f>
        <v>АЛМАТЫ</v>
      </c>
      <c r="C201" s="12" t="str">
        <f aca="false">'РПН 01.08 по МО'!C199</f>
        <v>Коммунальное государственное предприятие на праве хозяйственного ведения "Городская поликлиника №37" Управления общественного здравоохранение города Алматы</v>
      </c>
      <c r="D201" s="12" t="str">
        <f aca="false">'РПН 01.08 по МО'!E199</f>
        <v>7500</v>
      </c>
      <c r="E201" s="12" t="str">
        <f aca="false">'РПН 01.08 по МО'!F199</f>
        <v>г. Алматы</v>
      </c>
      <c r="F201" s="13" t="n">
        <f aca="false">'РПН 01.08 по МО'!D199</f>
        <v>40200</v>
      </c>
      <c r="G201" s="14" t="n">
        <f aca="false">INDEX('Расчет Кплотн'!$K:$K,MATCH(D201,'Расчет Кплотн'!$A:$A,0))</f>
        <v>1</v>
      </c>
      <c r="H201" s="14" t="n">
        <f aca="false">INDEX('Расчет Кплотн'!$J:$J,MATCH(D201,'Расчет Кплотн'!$A:$A,0))</f>
        <v>1</v>
      </c>
      <c r="I201" s="3" t="n">
        <f aca="false">F201*Моделирование!$F$3*M201*G201/1000</f>
        <v>813408.408</v>
      </c>
      <c r="J201" s="3" t="n">
        <f aca="false">F201*Моделирование!$F$3*M201*H201/1000</f>
        <v>813408.408</v>
      </c>
      <c r="K201" s="3" t="n">
        <f aca="false">J201-I201</f>
        <v>0</v>
      </c>
      <c r="L201" s="4" t="n">
        <f aca="false">IFERROR(K201/I201,0)</f>
        <v>0</v>
      </c>
      <c r="M201" s="15" t="n">
        <f aca="false">IF(INDEX('Расчет Кплотн'!$D:$D,MATCH(D201,'Расчет Кплотн'!$A:$A,0))="район",IFERROR(VLOOKUP(INDEX('Расчет Кплотн'!$B:$B,MATCH(D201,'Расчет Кплотн'!$A:$A,0)),'БКПН (приказ 170)'!$A$4:$C$10,3,FALSE()),Моделирование!$F$2),Моделирование!$F$2)</f>
        <v>1686.17</v>
      </c>
    </row>
    <row r="202" customFormat="false" ht="15" hidden="false" customHeight="false" outlineLevel="0" collapsed="false">
      <c r="A202" s="12" t="n">
        <v>197</v>
      </c>
      <c r="B202" s="12" t="str">
        <f aca="false">'РПН 01.08 по МО'!B200</f>
        <v>АЛМАТЫ</v>
      </c>
      <c r="C202" s="12" t="str">
        <f aca="false">'РПН 01.08 по МО'!C200</f>
        <v>Коммунальное государственное предприятие на праве хозяйственного ведения "Городская поликлиника №35" Управления общественного здравоохранения города Алматы</v>
      </c>
      <c r="D202" s="12" t="str">
        <f aca="false">'РПН 01.08 по МО'!E200</f>
        <v>7500</v>
      </c>
      <c r="E202" s="12" t="str">
        <f aca="false">'РПН 01.08 по МО'!F200</f>
        <v>г. Алматы</v>
      </c>
      <c r="F202" s="13" t="n">
        <f aca="false">'РПН 01.08 по МО'!D200</f>
        <v>36336</v>
      </c>
      <c r="G202" s="14" t="n">
        <f aca="false">INDEX('Расчет Кплотн'!$K:$K,MATCH(D202,'Расчет Кплотн'!$A:$A,0))</f>
        <v>1</v>
      </c>
      <c r="H202" s="14" t="n">
        <f aca="false">INDEX('Расчет Кплотн'!$J:$J,MATCH(D202,'Расчет Кплотн'!$A:$A,0))</f>
        <v>1</v>
      </c>
      <c r="I202" s="3" t="n">
        <f aca="false">F202*Моделирование!$F$3*M202*G202/1000</f>
        <v>735224.07744</v>
      </c>
      <c r="J202" s="3" t="n">
        <f aca="false">F202*Моделирование!$F$3*M202*H202/1000</f>
        <v>735224.07744</v>
      </c>
      <c r="K202" s="3" t="n">
        <f aca="false">J202-I202</f>
        <v>0</v>
      </c>
      <c r="L202" s="4" t="n">
        <f aca="false">IFERROR(K202/I202,0)</f>
        <v>0</v>
      </c>
      <c r="M202" s="15" t="n">
        <f aca="false">IF(INDEX('Расчет Кплотн'!$D:$D,MATCH(D202,'Расчет Кплотн'!$A:$A,0))="район",IFERROR(VLOOKUP(INDEX('Расчет Кплотн'!$B:$B,MATCH(D202,'Расчет Кплотн'!$A:$A,0)),'БКПН (приказ 170)'!$A$4:$C$10,3,FALSE()),Моделирование!$F$2),Моделирование!$F$2)</f>
        <v>1686.17</v>
      </c>
    </row>
    <row r="203" customFormat="false" ht="15" hidden="false" customHeight="false" outlineLevel="0" collapsed="false">
      <c r="A203" s="12" t="n">
        <v>198</v>
      </c>
      <c r="B203" s="12" t="str">
        <f aca="false">'РПН 01.08 по МО'!B201</f>
        <v>АЛМАТЫ</v>
      </c>
      <c r="C203" s="12" t="str">
        <f aca="false">'РПН 01.08 по МО'!C201</f>
        <v>Коммунальное государственное предприятие на праве хозяйственного ведения "Городская поликлиника №30" Управления общественного здравоохранения города Алматы</v>
      </c>
      <c r="D203" s="12" t="str">
        <f aca="false">'РПН 01.08 по МО'!E201</f>
        <v>7500</v>
      </c>
      <c r="E203" s="12" t="str">
        <f aca="false">'РПН 01.08 по МО'!F201</f>
        <v>г. Алматы</v>
      </c>
      <c r="F203" s="13" t="n">
        <f aca="false">'РПН 01.08 по МО'!D201</f>
        <v>28184</v>
      </c>
      <c r="G203" s="14" t="n">
        <f aca="false">INDEX('Расчет Кплотн'!$K:$K,MATCH(D203,'Расчет Кплотн'!$A:$A,0))</f>
        <v>1</v>
      </c>
      <c r="H203" s="14" t="n">
        <f aca="false">INDEX('Расчет Кплотн'!$J:$J,MATCH(D203,'Расчет Кплотн'!$A:$A,0))</f>
        <v>1</v>
      </c>
      <c r="I203" s="3" t="n">
        <f aca="false">F203*Моделирование!$F$3*M203*G203/1000</f>
        <v>570276.18336</v>
      </c>
      <c r="J203" s="3" t="n">
        <f aca="false">F203*Моделирование!$F$3*M203*H203/1000</f>
        <v>570276.18336</v>
      </c>
      <c r="K203" s="3" t="n">
        <f aca="false">J203-I203</f>
        <v>0</v>
      </c>
      <c r="L203" s="4" t="n">
        <f aca="false">IFERROR(K203/I203,0)</f>
        <v>0</v>
      </c>
      <c r="M203" s="15" t="n">
        <f aca="false">IF(INDEX('Расчет Кплотн'!$D:$D,MATCH(D203,'Расчет Кплотн'!$A:$A,0))="район",IFERROR(VLOOKUP(INDEX('Расчет Кплотн'!$B:$B,MATCH(D203,'Расчет Кплотн'!$A:$A,0)),'БКПН (приказ 170)'!$A$4:$C$10,3,FALSE()),Моделирование!$F$2),Моделирование!$F$2)</f>
        <v>1686.17</v>
      </c>
    </row>
    <row r="204" customFormat="false" ht="15" hidden="false" customHeight="false" outlineLevel="0" collapsed="false">
      <c r="A204" s="12" t="n">
        <v>199</v>
      </c>
      <c r="B204" s="12" t="str">
        <f aca="false">'РПН 01.08 по МО'!B202</f>
        <v>АЛМАТЫ</v>
      </c>
      <c r="C204" s="12" t="str">
        <f aca="false">'РПН 01.08 по МО'!C202</f>
        <v>Коммунальное государственное предприятие на праве хозяйственного ведения "Городская поликлиника №29" Управления общественного здравоохранения города Алматы</v>
      </c>
      <c r="D204" s="12" t="str">
        <f aca="false">'РПН 01.08 по МО'!E202</f>
        <v>7500</v>
      </c>
      <c r="E204" s="12" t="str">
        <f aca="false">'РПН 01.08 по МО'!F202</f>
        <v>г. Алматы</v>
      </c>
      <c r="F204" s="13" t="n">
        <f aca="false">'РПН 01.08 по МО'!D202</f>
        <v>71319</v>
      </c>
      <c r="G204" s="14" t="n">
        <f aca="false">INDEX('Расчет Кплотн'!$K:$K,MATCH(D204,'Расчет Кплотн'!$A:$A,0))</f>
        <v>1</v>
      </c>
      <c r="H204" s="14" t="n">
        <f aca="false">INDEX('Расчет Кплотн'!$J:$J,MATCH(D204,'Расчет Кплотн'!$A:$A,0))</f>
        <v>1</v>
      </c>
      <c r="I204" s="3" t="n">
        <f aca="false">F204*Моделирование!$F$3*M204*G204/1000</f>
        <v>1443071.49876</v>
      </c>
      <c r="J204" s="3" t="n">
        <f aca="false">F204*Моделирование!$F$3*M204*H204/1000</f>
        <v>1443071.49876</v>
      </c>
      <c r="K204" s="3" t="n">
        <f aca="false">J204-I204</f>
        <v>0</v>
      </c>
      <c r="L204" s="4" t="n">
        <f aca="false">IFERROR(K204/I204,0)</f>
        <v>0</v>
      </c>
      <c r="M204" s="15" t="n">
        <f aca="false">IF(INDEX('Расчет Кплотн'!$D:$D,MATCH(D204,'Расчет Кплотн'!$A:$A,0))="район",IFERROR(VLOOKUP(INDEX('Расчет Кплотн'!$B:$B,MATCH(D204,'Расчет Кплотн'!$A:$A,0)),'БКПН (приказ 170)'!$A$4:$C$10,3,FALSE()),Моделирование!$F$2),Моделирование!$F$2)</f>
        <v>1686.17</v>
      </c>
    </row>
    <row r="205" customFormat="false" ht="15" hidden="false" customHeight="false" outlineLevel="0" collapsed="false">
      <c r="A205" s="12" t="n">
        <v>200</v>
      </c>
      <c r="B205" s="12" t="str">
        <f aca="false">'РПН 01.08 по МО'!B203</f>
        <v>АЛМАТЫ</v>
      </c>
      <c r="C205" s="12" t="str">
        <f aca="false">'РПН 01.08 по МО'!C203</f>
        <v>Коммунальное государственное предприятие на праве хозяйственного ведения "Городская поликлиника №27" Управления общественного здравоохранения города Алматы</v>
      </c>
      <c r="D205" s="12" t="str">
        <f aca="false">'РПН 01.08 по МО'!E203</f>
        <v>7500</v>
      </c>
      <c r="E205" s="12" t="str">
        <f aca="false">'РПН 01.08 по МО'!F203</f>
        <v>г. Алматы</v>
      </c>
      <c r="F205" s="13" t="n">
        <f aca="false">'РПН 01.08 по МО'!D203</f>
        <v>17662</v>
      </c>
      <c r="G205" s="14" t="n">
        <f aca="false">INDEX('Расчет Кплотн'!$K:$K,MATCH(D205,'Расчет Кплотн'!$A:$A,0))</f>
        <v>1</v>
      </c>
      <c r="H205" s="14" t="n">
        <f aca="false">INDEX('Расчет Кплотн'!$J:$J,MATCH(D205,'Расчет Кплотн'!$A:$A,0))</f>
        <v>1</v>
      </c>
      <c r="I205" s="3" t="n">
        <f aca="false">F205*Моделирование!$F$3*M205*G205/1000</f>
        <v>357373.61448</v>
      </c>
      <c r="J205" s="3" t="n">
        <f aca="false">F205*Моделирование!$F$3*M205*H205/1000</f>
        <v>357373.61448</v>
      </c>
      <c r="K205" s="3" t="n">
        <f aca="false">J205-I205</f>
        <v>0</v>
      </c>
      <c r="L205" s="4" t="n">
        <f aca="false">IFERROR(K205/I205,0)</f>
        <v>0</v>
      </c>
      <c r="M205" s="15" t="n">
        <f aca="false">IF(INDEX('Расчет Кплотн'!$D:$D,MATCH(D205,'Расчет Кплотн'!$A:$A,0))="район",IFERROR(VLOOKUP(INDEX('Расчет Кплотн'!$B:$B,MATCH(D205,'Расчет Кплотн'!$A:$A,0)),'БКПН (приказ 170)'!$A$4:$C$10,3,FALSE()),Моделирование!$F$2),Моделирование!$F$2)</f>
        <v>1686.17</v>
      </c>
    </row>
    <row r="206" customFormat="false" ht="15" hidden="false" customHeight="false" outlineLevel="0" collapsed="false">
      <c r="A206" s="12" t="n">
        <v>201</v>
      </c>
      <c r="B206" s="12" t="str">
        <f aca="false">'РПН 01.08 по МО'!B204</f>
        <v>АЛМАТЫ</v>
      </c>
      <c r="C206" s="12" t="str">
        <f aca="false">'РПН 01.08 по МО'!C204</f>
        <v>Коммунальное государственное предприятие на праве хозяйственного ведения "Городская поликлиника №28" Управления общественного здравоохранения города Алматы.</v>
      </c>
      <c r="D206" s="12" t="str">
        <f aca="false">'РПН 01.08 по МО'!E204</f>
        <v>7500</v>
      </c>
      <c r="E206" s="12" t="str">
        <f aca="false">'РПН 01.08 по МО'!F204</f>
        <v>г. Алматы</v>
      </c>
      <c r="F206" s="13" t="n">
        <f aca="false">'РПН 01.08 по МО'!D204</f>
        <v>43791</v>
      </c>
      <c r="G206" s="14" t="n">
        <f aca="false">INDEX('Расчет Кплотн'!$K:$K,MATCH(D206,'Расчет Кплотн'!$A:$A,0))</f>
        <v>1</v>
      </c>
      <c r="H206" s="14" t="n">
        <f aca="false">INDEX('Расчет Кплотн'!$J:$J,MATCH(D206,'Расчет Кплотн'!$A:$A,0))</f>
        <v>1</v>
      </c>
      <c r="I206" s="3" t="n">
        <f aca="false">F206*Моделирование!$F$3*M206*G206/1000</f>
        <v>886068.84564</v>
      </c>
      <c r="J206" s="3" t="n">
        <f aca="false">F206*Моделирование!$F$3*M206*H206/1000</f>
        <v>886068.84564</v>
      </c>
      <c r="K206" s="3" t="n">
        <f aca="false">J206-I206</f>
        <v>0</v>
      </c>
      <c r="L206" s="4" t="n">
        <f aca="false">IFERROR(K206/I206,0)</f>
        <v>0</v>
      </c>
      <c r="M206" s="15" t="n">
        <f aca="false">IF(INDEX('Расчет Кплотн'!$D:$D,MATCH(D206,'Расчет Кплотн'!$A:$A,0))="район",IFERROR(VLOOKUP(INDEX('Расчет Кплотн'!$B:$B,MATCH(D206,'Расчет Кплотн'!$A:$A,0)),'БКПН (приказ 170)'!$A$4:$C$10,3,FALSE()),Моделирование!$F$2),Моделирование!$F$2)</f>
        <v>1686.17</v>
      </c>
    </row>
    <row r="207" customFormat="false" ht="15" hidden="false" customHeight="false" outlineLevel="0" collapsed="false">
      <c r="A207" s="12" t="n">
        <v>202</v>
      </c>
      <c r="B207" s="12" t="str">
        <f aca="false">'РПН 01.08 по МО'!B205</f>
        <v>АЛМАТЫ</v>
      </c>
      <c r="C207" s="12" t="str">
        <f aca="false">'РПН 01.08 по МО'!C205</f>
        <v>Коммунальное государственное предприятие на праве хозяйственного ведения "Городская поликлиника №25" Управления общественного здравоохранения города Алматы</v>
      </c>
      <c r="D207" s="12" t="str">
        <f aca="false">'РПН 01.08 по МО'!E205</f>
        <v>7500</v>
      </c>
      <c r="E207" s="12" t="str">
        <f aca="false">'РПН 01.08 по МО'!F205</f>
        <v>г. Алматы</v>
      </c>
      <c r="F207" s="13" t="n">
        <f aca="false">'РПН 01.08 по МО'!D205</f>
        <v>46119</v>
      </c>
      <c r="G207" s="14" t="n">
        <f aca="false">INDEX('Расчет Кплотн'!$K:$K,MATCH(D207,'Расчет Кплотн'!$A:$A,0))</f>
        <v>1</v>
      </c>
      <c r="H207" s="14" t="n">
        <f aca="false">INDEX('Расчет Кплотн'!$J:$J,MATCH(D207,'Расчет Кплотн'!$A:$A,0))</f>
        <v>1</v>
      </c>
      <c r="I207" s="3" t="n">
        <f aca="false">F207*Моделирование!$F$3*M207*G207/1000</f>
        <v>933173.69076</v>
      </c>
      <c r="J207" s="3" t="n">
        <f aca="false">F207*Моделирование!$F$3*M207*H207/1000</f>
        <v>933173.69076</v>
      </c>
      <c r="K207" s="3" t="n">
        <f aca="false">J207-I207</f>
        <v>0</v>
      </c>
      <c r="L207" s="4" t="n">
        <f aca="false">IFERROR(K207/I207,0)</f>
        <v>0</v>
      </c>
      <c r="M207" s="15" t="n">
        <f aca="false">IF(INDEX('Расчет Кплотн'!$D:$D,MATCH(D207,'Расчет Кплотн'!$A:$A,0))="район",IFERROR(VLOOKUP(INDEX('Расчет Кплотн'!$B:$B,MATCH(D207,'Расчет Кплотн'!$A:$A,0)),'БКПН (приказ 170)'!$A$4:$C$10,3,FALSE()),Моделирование!$F$2),Моделирование!$F$2)</f>
        <v>1686.17</v>
      </c>
    </row>
    <row r="208" customFormat="false" ht="15" hidden="false" customHeight="false" outlineLevel="0" collapsed="false">
      <c r="A208" s="12" t="n">
        <v>203</v>
      </c>
      <c r="B208" s="12" t="str">
        <f aca="false">'РПН 01.08 по МО'!B206</f>
        <v>АЛМАТЫ</v>
      </c>
      <c r="C208" s="12" t="str">
        <f aca="false">'РПН 01.08 по МО'!C206</f>
        <v>Коммунальное государственное предприятие на праве хозяйственного ведения "Городская поликлиника №23" Управления общественного здравоохранения города Алматы</v>
      </c>
      <c r="D208" s="12" t="str">
        <f aca="false">'РПН 01.08 по МО'!E206</f>
        <v>7500</v>
      </c>
      <c r="E208" s="12" t="str">
        <f aca="false">'РПН 01.08 по МО'!F206</f>
        <v>г. Алматы</v>
      </c>
      <c r="F208" s="13" t="n">
        <f aca="false">'РПН 01.08 по МО'!D206</f>
        <v>44812</v>
      </c>
      <c r="G208" s="14" t="n">
        <f aca="false">INDEX('Расчет Кплотн'!$K:$K,MATCH(D208,'Расчет Кплотн'!$A:$A,0))</f>
        <v>1</v>
      </c>
      <c r="H208" s="14" t="n">
        <f aca="false">INDEX('Расчет Кплотн'!$J:$J,MATCH(D208,'Расчет Кплотн'!$A:$A,0))</f>
        <v>1</v>
      </c>
      <c r="I208" s="3" t="n">
        <f aca="false">F208*Моделирование!$F$3*M208*G208/1000</f>
        <v>906727.80048</v>
      </c>
      <c r="J208" s="3" t="n">
        <f aca="false">F208*Моделирование!$F$3*M208*H208/1000</f>
        <v>906727.80048</v>
      </c>
      <c r="K208" s="3" t="n">
        <f aca="false">J208-I208</f>
        <v>0</v>
      </c>
      <c r="L208" s="4" t="n">
        <f aca="false">IFERROR(K208/I208,0)</f>
        <v>0</v>
      </c>
      <c r="M208" s="15" t="n">
        <f aca="false">IF(INDEX('Расчет Кплотн'!$D:$D,MATCH(D208,'Расчет Кплотн'!$A:$A,0))="район",IFERROR(VLOOKUP(INDEX('Расчет Кплотн'!$B:$B,MATCH(D208,'Расчет Кплотн'!$A:$A,0)),'БКПН (приказ 170)'!$A$4:$C$10,3,FALSE()),Моделирование!$F$2),Моделирование!$F$2)</f>
        <v>1686.17</v>
      </c>
    </row>
    <row r="209" customFormat="false" ht="15" hidden="false" customHeight="false" outlineLevel="0" collapsed="false">
      <c r="A209" s="12" t="n">
        <v>204</v>
      </c>
      <c r="B209" s="12" t="str">
        <f aca="false">'РПН 01.08 по МО'!B207</f>
        <v>АЛМАТЫ</v>
      </c>
      <c r="C209" s="12" t="str">
        <f aca="false">'РПН 01.08 по МО'!C207</f>
        <v>Коммунальное государственное предприятие на праве хозяйственного ведения "Городская поликлиника №21" Управления общественного здравоохранения города Алматы</v>
      </c>
      <c r="D209" s="12" t="str">
        <f aca="false">'РПН 01.08 по МО'!E207</f>
        <v>7500</v>
      </c>
      <c r="E209" s="12" t="str">
        <f aca="false">'РПН 01.08 по МО'!F207</f>
        <v>г. Алматы</v>
      </c>
      <c r="F209" s="13" t="n">
        <f aca="false">'РПН 01.08 по МО'!D207</f>
        <v>29452</v>
      </c>
      <c r="G209" s="14" t="n">
        <f aca="false">INDEX('Расчет Кплотн'!$K:$K,MATCH(D209,'Расчет Кплотн'!$A:$A,0))</f>
        <v>1</v>
      </c>
      <c r="H209" s="14" t="n">
        <f aca="false">INDEX('Расчет Кплотн'!$J:$J,MATCH(D209,'Расчет Кплотн'!$A:$A,0))</f>
        <v>1</v>
      </c>
      <c r="I209" s="3" t="n">
        <f aca="false">F209*Моделирование!$F$3*M209*G209/1000</f>
        <v>595932.94608</v>
      </c>
      <c r="J209" s="3" t="n">
        <f aca="false">F209*Моделирование!$F$3*M209*H209/1000</f>
        <v>595932.94608</v>
      </c>
      <c r="K209" s="3" t="n">
        <f aca="false">J209-I209</f>
        <v>0</v>
      </c>
      <c r="L209" s="4" t="n">
        <f aca="false">IFERROR(K209/I209,0)</f>
        <v>0</v>
      </c>
      <c r="M209" s="15" t="n">
        <f aca="false">IF(INDEX('Расчет Кплотн'!$D:$D,MATCH(D209,'Расчет Кплотн'!$A:$A,0))="район",IFERROR(VLOOKUP(INDEX('Расчет Кплотн'!$B:$B,MATCH(D209,'Расчет Кплотн'!$A:$A,0)),'БКПН (приказ 170)'!$A$4:$C$10,3,FALSE()),Моделирование!$F$2),Моделирование!$F$2)</f>
        <v>1686.17</v>
      </c>
    </row>
    <row r="210" customFormat="false" ht="15" hidden="false" customHeight="false" outlineLevel="0" collapsed="false">
      <c r="A210" s="12" t="n">
        <v>205</v>
      </c>
      <c r="B210" s="12" t="str">
        <f aca="false">'РПН 01.08 по МО'!B208</f>
        <v>АЛМАТЫ</v>
      </c>
      <c r="C210" s="12" t="str">
        <f aca="false">'РПН 01.08 по МО'!C208</f>
        <v>Коммунальное государственное предприятие на праве хозяйственного ведения "Городская поликлиника №20" Управления общественного здравоохранения города Алматы"</v>
      </c>
      <c r="D210" s="12" t="str">
        <f aca="false">'РПН 01.08 по МО'!E208</f>
        <v>7500</v>
      </c>
      <c r="E210" s="12" t="str">
        <f aca="false">'РПН 01.08 по МО'!F208</f>
        <v>г. Алматы</v>
      </c>
      <c r="F210" s="13" t="n">
        <f aca="false">'РПН 01.08 по МО'!D208</f>
        <v>36965</v>
      </c>
      <c r="G210" s="14" t="n">
        <f aca="false">INDEX('Расчет Кплотн'!$K:$K,MATCH(D210,'Расчет Кплотн'!$A:$A,0))</f>
        <v>1</v>
      </c>
      <c r="H210" s="14" t="n">
        <f aca="false">INDEX('Расчет Кплотн'!$J:$J,MATCH(D210,'Расчет Кплотн'!$A:$A,0))</f>
        <v>1</v>
      </c>
      <c r="I210" s="3" t="n">
        <f aca="false">F210*Моделирование!$F$3*M210*G210/1000</f>
        <v>747951.2886</v>
      </c>
      <c r="J210" s="3" t="n">
        <f aca="false">F210*Моделирование!$F$3*M210*H210/1000</f>
        <v>747951.2886</v>
      </c>
      <c r="K210" s="3" t="n">
        <f aca="false">J210-I210</f>
        <v>0</v>
      </c>
      <c r="L210" s="4" t="n">
        <f aca="false">IFERROR(K210/I210,0)</f>
        <v>0</v>
      </c>
      <c r="M210" s="15" t="n">
        <f aca="false">IF(INDEX('Расчет Кплотн'!$D:$D,MATCH(D210,'Расчет Кплотн'!$A:$A,0))="район",IFERROR(VLOOKUP(INDEX('Расчет Кплотн'!$B:$B,MATCH(D210,'Расчет Кплотн'!$A:$A,0)),'БКПН (приказ 170)'!$A$4:$C$10,3,FALSE()),Моделирование!$F$2),Моделирование!$F$2)</f>
        <v>1686.17</v>
      </c>
    </row>
    <row r="211" customFormat="false" ht="15" hidden="false" customHeight="false" outlineLevel="0" collapsed="false">
      <c r="A211" s="12" t="n">
        <v>206</v>
      </c>
      <c r="B211" s="12" t="str">
        <f aca="false">'РПН 01.08 по МО'!B209</f>
        <v>АЛМАТЫ</v>
      </c>
      <c r="C211" s="12" t="str">
        <f aca="false">'РПН 01.08 по МО'!C209</f>
        <v>Коммунальное государственное предприятие на праве хозяйственного ведения "Городская поликлиника №2" Управления общественного здравоохранения города Алматы</v>
      </c>
      <c r="D211" s="12" t="str">
        <f aca="false">'РПН 01.08 по МО'!E209</f>
        <v>7500</v>
      </c>
      <c r="E211" s="12" t="str">
        <f aca="false">'РПН 01.08 по МО'!F209</f>
        <v>г. Алматы</v>
      </c>
      <c r="F211" s="13" t="n">
        <f aca="false">'РПН 01.08 по МО'!D209</f>
        <v>67578</v>
      </c>
      <c r="G211" s="14" t="n">
        <f aca="false">INDEX('Расчет Кплотн'!$K:$K,MATCH(D211,'Расчет Кплотн'!$A:$A,0))</f>
        <v>1</v>
      </c>
      <c r="H211" s="14" t="n">
        <f aca="false">INDEX('Расчет Кплотн'!$J:$J,MATCH(D211,'Расчет Кплотн'!$A:$A,0))</f>
        <v>1</v>
      </c>
      <c r="I211" s="3" t="n">
        <f aca="false">F211*Моделирование!$F$3*M211*G211/1000</f>
        <v>1367375.95512</v>
      </c>
      <c r="J211" s="3" t="n">
        <f aca="false">F211*Моделирование!$F$3*M211*H211/1000</f>
        <v>1367375.95512</v>
      </c>
      <c r="K211" s="3" t="n">
        <f aca="false">J211-I211</f>
        <v>0</v>
      </c>
      <c r="L211" s="4" t="n">
        <f aca="false">IFERROR(K211/I211,0)</f>
        <v>0</v>
      </c>
      <c r="M211" s="15" t="n">
        <f aca="false">IF(INDEX('Расчет Кплотн'!$D:$D,MATCH(D211,'Расчет Кплотн'!$A:$A,0))="район",IFERROR(VLOOKUP(INDEX('Расчет Кплотн'!$B:$B,MATCH(D211,'Расчет Кплотн'!$A:$A,0)),'БКПН (приказ 170)'!$A$4:$C$10,3,FALSE()),Моделирование!$F$2),Моделирование!$F$2)</f>
        <v>1686.17</v>
      </c>
    </row>
    <row r="212" customFormat="false" ht="15" hidden="false" customHeight="false" outlineLevel="0" collapsed="false">
      <c r="A212" s="12" t="n">
        <v>207</v>
      </c>
      <c r="B212" s="12" t="str">
        <f aca="false">'РПН 01.08 по МО'!B210</f>
        <v>АЛМАТЫ</v>
      </c>
      <c r="C212" s="12" t="str">
        <f aca="false">'РПН 01.08 по МО'!C210</f>
        <v>Коммунальное государственное предприятие на праве хозяйственного ведения "Городская поликлиника №19" Управления общественного здравоохранения города Алматы</v>
      </c>
      <c r="D212" s="12" t="str">
        <f aca="false">'РПН 01.08 по МО'!E210</f>
        <v>7500</v>
      </c>
      <c r="E212" s="12" t="str">
        <f aca="false">'РПН 01.08 по МО'!F210</f>
        <v>г. Алматы</v>
      </c>
      <c r="F212" s="13" t="n">
        <f aca="false">'РПН 01.08 по МО'!D210</f>
        <v>34490</v>
      </c>
      <c r="G212" s="14" t="n">
        <f aca="false">INDEX('Расчет Кплотн'!$K:$K,MATCH(D212,'Расчет Кплотн'!$A:$A,0))</f>
        <v>1</v>
      </c>
      <c r="H212" s="14" t="n">
        <f aca="false">INDEX('Расчет Кплотн'!$J:$J,MATCH(D212,'Расчет Кплотн'!$A:$A,0))</f>
        <v>1</v>
      </c>
      <c r="I212" s="3" t="n">
        <f aca="false">F212*Моделирование!$F$3*M212*G212/1000</f>
        <v>697872.0396</v>
      </c>
      <c r="J212" s="3" t="n">
        <f aca="false">F212*Моделирование!$F$3*M212*H212/1000</f>
        <v>697872.0396</v>
      </c>
      <c r="K212" s="3" t="n">
        <f aca="false">J212-I212</f>
        <v>0</v>
      </c>
      <c r="L212" s="4" t="n">
        <f aca="false">IFERROR(K212/I212,0)</f>
        <v>0</v>
      </c>
      <c r="M212" s="15" t="n">
        <f aca="false">IF(INDEX('Расчет Кплотн'!$D:$D,MATCH(D212,'Расчет Кплотн'!$A:$A,0))="район",IFERROR(VLOOKUP(INDEX('Расчет Кплотн'!$B:$B,MATCH(D212,'Расчет Кплотн'!$A:$A,0)),'БКПН (приказ 170)'!$A$4:$C$10,3,FALSE()),Моделирование!$F$2),Моделирование!$F$2)</f>
        <v>1686.17</v>
      </c>
    </row>
    <row r="213" customFormat="false" ht="15" hidden="false" customHeight="false" outlineLevel="0" collapsed="false">
      <c r="A213" s="12" t="n">
        <v>208</v>
      </c>
      <c r="B213" s="12" t="str">
        <f aca="false">'РПН 01.08 по МО'!B211</f>
        <v>АЛМАТЫ</v>
      </c>
      <c r="C213" s="12" t="str">
        <f aca="false">'РПН 01.08 по МО'!C211</f>
        <v>Коммунальное государственное предприятие на праве хозяйственного ведения "Городская поликлиника №17" Управления общественного здравоохранения города Алматы</v>
      </c>
      <c r="D213" s="12" t="str">
        <f aca="false">'РПН 01.08 по МО'!E211</f>
        <v>7500</v>
      </c>
      <c r="E213" s="12" t="str">
        <f aca="false">'РПН 01.08 по МО'!F211</f>
        <v>г. Алматы</v>
      </c>
      <c r="F213" s="13" t="n">
        <f aca="false">'РПН 01.08 по МО'!D211</f>
        <v>53533</v>
      </c>
      <c r="G213" s="14" t="n">
        <f aca="false">INDEX('Расчет Кплотн'!$K:$K,MATCH(D213,'Расчет Кплотн'!$A:$A,0))</f>
        <v>1</v>
      </c>
      <c r="H213" s="14" t="n">
        <f aca="false">INDEX('Расчет Кплотн'!$J:$J,MATCH(D213,'Расчет Кплотн'!$A:$A,0))</f>
        <v>1</v>
      </c>
      <c r="I213" s="3" t="n">
        <f aca="false">F213*Моделирование!$F$3*M213*G213/1000</f>
        <v>1083188.86332</v>
      </c>
      <c r="J213" s="3" t="n">
        <f aca="false">F213*Моделирование!$F$3*M213*H213/1000</f>
        <v>1083188.86332</v>
      </c>
      <c r="K213" s="3" t="n">
        <f aca="false">J213-I213</f>
        <v>0</v>
      </c>
      <c r="L213" s="4" t="n">
        <f aca="false">IFERROR(K213/I213,0)</f>
        <v>0</v>
      </c>
      <c r="M213" s="15" t="n">
        <f aca="false">IF(INDEX('Расчет Кплотн'!$D:$D,MATCH(D213,'Расчет Кплотн'!$A:$A,0))="район",IFERROR(VLOOKUP(INDEX('Расчет Кплотн'!$B:$B,MATCH(D213,'Расчет Кплотн'!$A:$A,0)),'БКПН (приказ 170)'!$A$4:$C$10,3,FALSE()),Моделирование!$F$2),Моделирование!$F$2)</f>
        <v>1686.17</v>
      </c>
    </row>
    <row r="214" customFormat="false" ht="15" hidden="false" customHeight="false" outlineLevel="0" collapsed="false">
      <c r="A214" s="12" t="n">
        <v>209</v>
      </c>
      <c r="B214" s="12" t="str">
        <f aca="false">'РПН 01.08 по МО'!B212</f>
        <v>АЛМАТЫ</v>
      </c>
      <c r="C214" s="12" t="str">
        <f aca="false">'РПН 01.08 по МО'!C212</f>
        <v>Коммунальное государственное предприятие на праве хозяйственного ведения "Городская поликлиника №26" Управления общественного здравоохранения города Алматы</v>
      </c>
      <c r="D214" s="12" t="str">
        <f aca="false">'РПН 01.08 по МО'!E212</f>
        <v>7500</v>
      </c>
      <c r="E214" s="12" t="str">
        <f aca="false">'РПН 01.08 по МО'!F212</f>
        <v>г. Алматы</v>
      </c>
      <c r="F214" s="13" t="n">
        <f aca="false">'РПН 01.08 по МО'!D212</f>
        <v>47406</v>
      </c>
      <c r="G214" s="14" t="n">
        <f aca="false">INDEX('Расчет Кплотн'!$K:$K,MATCH(D214,'Расчет Кплотн'!$A:$A,0))</f>
        <v>1</v>
      </c>
      <c r="H214" s="14" t="n">
        <f aca="false">INDEX('Расчет Кплотн'!$J:$J,MATCH(D214,'Расчет Кплотн'!$A:$A,0))</f>
        <v>1</v>
      </c>
      <c r="I214" s="3" t="n">
        <f aca="false">F214*Моделирование!$F$3*M214*G214/1000</f>
        <v>959214.90024</v>
      </c>
      <c r="J214" s="3" t="n">
        <f aca="false">F214*Моделирование!$F$3*M214*H214/1000</f>
        <v>959214.90024</v>
      </c>
      <c r="K214" s="3" t="n">
        <f aca="false">J214-I214</f>
        <v>0</v>
      </c>
      <c r="L214" s="4" t="n">
        <f aca="false">IFERROR(K214/I214,0)</f>
        <v>0</v>
      </c>
      <c r="M214" s="15" t="n">
        <f aca="false">IF(INDEX('Расчет Кплотн'!$D:$D,MATCH(D214,'Расчет Кплотн'!$A:$A,0))="район",IFERROR(VLOOKUP(INDEX('Расчет Кплотн'!$B:$B,MATCH(D214,'Расчет Кплотн'!$A:$A,0)),'БКПН (приказ 170)'!$A$4:$C$10,3,FALSE()),Моделирование!$F$2),Моделирование!$F$2)</f>
        <v>1686.17</v>
      </c>
    </row>
    <row r="215" customFormat="false" ht="15" hidden="false" customHeight="false" outlineLevel="0" collapsed="false">
      <c r="A215" s="12" t="n">
        <v>210</v>
      </c>
      <c r="B215" s="12" t="str">
        <f aca="false">'РПН 01.08 по МО'!B213</f>
        <v>АСТАНА</v>
      </c>
      <c r="C215" s="12" t="str">
        <f aca="false">'РПН 01.08 по МО'!C213</f>
        <v>ТОО "Uveik Qazaqstan"</v>
      </c>
      <c r="D215" s="12" t="str">
        <f aca="false">'РПН 01.08 по МО'!E213</f>
        <v>7100</v>
      </c>
      <c r="E215" s="12" t="str">
        <f aca="false">'РПН 01.08 по МО'!F213</f>
        <v>г. Астана</v>
      </c>
      <c r="F215" s="13" t="n">
        <f aca="false">'РПН 01.08 по МО'!D213</f>
        <v>12827</v>
      </c>
      <c r="G215" s="14" t="n">
        <f aca="false">INDEX('Расчет Кплотн'!$K:$K,MATCH(D215,'Расчет Кплотн'!$A:$A,0))</f>
        <v>1</v>
      </c>
      <c r="H215" s="14" t="n">
        <f aca="false">INDEX('Расчет Кплотн'!$J:$J,MATCH(D215,'Расчет Кплотн'!$A:$A,0))</f>
        <v>1</v>
      </c>
      <c r="I215" s="3" t="n">
        <f aca="false">F215*Моделирование!$F$3*M215*G215/1000</f>
        <v>259542.03108</v>
      </c>
      <c r="J215" s="3" t="n">
        <f aca="false">F215*Моделирование!$F$3*M215*H215/1000</f>
        <v>259542.03108</v>
      </c>
      <c r="K215" s="3" t="n">
        <f aca="false">J215-I215</f>
        <v>0</v>
      </c>
      <c r="L215" s="4" t="n">
        <f aca="false">IFERROR(K215/I215,0)</f>
        <v>0</v>
      </c>
      <c r="M215" s="15" t="n">
        <f aca="false">IF(INDEX('Расчет Кплотн'!$D:$D,MATCH(D215,'Расчет Кплотн'!$A:$A,0))="район",IFERROR(VLOOKUP(INDEX('Расчет Кплотн'!$B:$B,MATCH(D215,'Расчет Кплотн'!$A:$A,0)),'БКПН (приказ 170)'!$A$4:$C$10,3,FALSE()),Моделирование!$F$2),Моделирование!$F$2)</f>
        <v>1686.17</v>
      </c>
    </row>
    <row r="216" customFormat="false" ht="15" hidden="false" customHeight="false" outlineLevel="0" collapsed="false">
      <c r="A216" s="12" t="n">
        <v>211</v>
      </c>
      <c r="B216" s="12" t="str">
        <f aca="false">'РПН 01.08 по МО'!B214</f>
        <v>АСТАНА</v>
      </c>
      <c r="C216" s="12" t="str">
        <f aca="false">'РПН 01.08 по МО'!C214</f>
        <v>ТОО "Городская поликлиника №15"</v>
      </c>
      <c r="D216" s="12" t="str">
        <f aca="false">'РПН 01.08 по МО'!E214</f>
        <v>7100</v>
      </c>
      <c r="E216" s="12" t="str">
        <f aca="false">'РПН 01.08 по МО'!F214</f>
        <v>г. Астана</v>
      </c>
      <c r="F216" s="13" t="n">
        <f aca="false">'РПН 01.08 по МО'!D214</f>
        <v>49392</v>
      </c>
      <c r="G216" s="14" t="n">
        <f aca="false">INDEX('Расчет Кплотн'!$K:$K,MATCH(D216,'Расчет Кплотн'!$A:$A,0))</f>
        <v>1</v>
      </c>
      <c r="H216" s="14" t="n">
        <f aca="false">INDEX('Расчет Кплотн'!$J:$J,MATCH(D216,'Расчет Кплотн'!$A:$A,0))</f>
        <v>1</v>
      </c>
      <c r="I216" s="3" t="n">
        <f aca="false">F216*Моделирование!$F$3*M216*G216/1000</f>
        <v>999399.70368</v>
      </c>
      <c r="J216" s="3" t="n">
        <f aca="false">F216*Моделирование!$F$3*M216*H216/1000</f>
        <v>999399.70368</v>
      </c>
      <c r="K216" s="3" t="n">
        <f aca="false">J216-I216</f>
        <v>0</v>
      </c>
      <c r="L216" s="4" t="n">
        <f aca="false">IFERROR(K216/I216,0)</f>
        <v>0</v>
      </c>
      <c r="M216" s="15" t="n">
        <f aca="false">IF(INDEX('Расчет Кплотн'!$D:$D,MATCH(D216,'Расчет Кплотн'!$A:$A,0))="район",IFERROR(VLOOKUP(INDEX('Расчет Кплотн'!$B:$B,MATCH(D216,'Расчет Кплотн'!$A:$A,0)),'БКПН (приказ 170)'!$A$4:$C$10,3,FALSE()),Моделирование!$F$2),Моделирование!$F$2)</f>
        <v>1686.17</v>
      </c>
    </row>
    <row r="217" customFormat="false" ht="15" hidden="false" customHeight="false" outlineLevel="0" collapsed="false">
      <c r="A217" s="12" t="n">
        <v>212</v>
      </c>
      <c r="B217" s="12" t="str">
        <f aca="false">'РПН 01.08 по МО'!B215</f>
        <v>АСТАНА</v>
      </c>
      <c r="C217" s="12" t="str">
        <f aca="false">'РПН 01.08 по МО'!C215</f>
        <v>ТОО "ULY DALA CLINIC"</v>
      </c>
      <c r="D217" s="12" t="str">
        <f aca="false">'РПН 01.08 по МО'!E215</f>
        <v>7100</v>
      </c>
      <c r="E217" s="12" t="str">
        <f aca="false">'РПН 01.08 по МО'!F215</f>
        <v>г. Астана</v>
      </c>
      <c r="F217" s="13" t="n">
        <f aca="false">'РПН 01.08 по МО'!D215</f>
        <v>21794</v>
      </c>
      <c r="G217" s="14" t="n">
        <f aca="false">INDEX('Расчет Кплотн'!$K:$K,MATCH(D217,'Расчет Кплотн'!$A:$A,0))</f>
        <v>1</v>
      </c>
      <c r="H217" s="14" t="n">
        <f aca="false">INDEX('Расчет Кплотн'!$J:$J,MATCH(D217,'Расчет Кплотн'!$A:$A,0))</f>
        <v>1</v>
      </c>
      <c r="I217" s="3" t="n">
        <f aca="false">F217*Моделирование!$F$3*M217*G217/1000</f>
        <v>440980.66776</v>
      </c>
      <c r="J217" s="3" t="n">
        <f aca="false">F217*Моделирование!$F$3*M217*H217/1000</f>
        <v>440980.66776</v>
      </c>
      <c r="K217" s="3" t="n">
        <f aca="false">J217-I217</f>
        <v>0</v>
      </c>
      <c r="L217" s="4" t="n">
        <f aca="false">IFERROR(K217/I217,0)</f>
        <v>0</v>
      </c>
      <c r="M217" s="15" t="n">
        <f aca="false">IF(INDEX('Расчет Кплотн'!$D:$D,MATCH(D217,'Расчет Кплотн'!$A:$A,0))="район",IFERROR(VLOOKUP(INDEX('Расчет Кплотн'!$B:$B,MATCH(D217,'Расчет Кплотн'!$A:$A,0)),'БКПН (приказ 170)'!$A$4:$C$10,3,FALSE()),Моделирование!$F$2),Моделирование!$F$2)</f>
        <v>1686.17</v>
      </c>
    </row>
    <row r="218" customFormat="false" ht="15" hidden="false" customHeight="false" outlineLevel="0" collapsed="false">
      <c r="A218" s="12" t="n">
        <v>213</v>
      </c>
      <c r="B218" s="12" t="str">
        <f aca="false">'РПН 01.08 по МО'!B216</f>
        <v>АСТАНА</v>
      </c>
      <c r="C218" s="12" t="str">
        <f aca="false">'РПН 01.08 по МО'!C216</f>
        <v>ТОО "Otbasy clinic"</v>
      </c>
      <c r="D218" s="12" t="str">
        <f aca="false">'РПН 01.08 по МО'!E216</f>
        <v>7100</v>
      </c>
      <c r="E218" s="12" t="str">
        <f aca="false">'РПН 01.08 по МО'!F216</f>
        <v>г. Астана</v>
      </c>
      <c r="F218" s="13" t="n">
        <f aca="false">'РПН 01.08 по МО'!D216</f>
        <v>12653</v>
      </c>
      <c r="G218" s="14" t="n">
        <f aca="false">INDEX('Расчет Кплотн'!$K:$K,MATCH(D218,'Расчет Кплотн'!$A:$A,0))</f>
        <v>1</v>
      </c>
      <c r="H218" s="14" t="n">
        <f aca="false">INDEX('Расчет Кплотн'!$J:$J,MATCH(D218,'Расчет Кплотн'!$A:$A,0))</f>
        <v>1</v>
      </c>
      <c r="I218" s="3" t="n">
        <f aca="false">F218*Моделирование!$F$3*M218*G218/1000</f>
        <v>256021.30812</v>
      </c>
      <c r="J218" s="3" t="n">
        <f aca="false">F218*Моделирование!$F$3*M218*H218/1000</f>
        <v>256021.30812</v>
      </c>
      <c r="K218" s="3" t="n">
        <f aca="false">J218-I218</f>
        <v>0</v>
      </c>
      <c r="L218" s="4" t="n">
        <f aca="false">IFERROR(K218/I218,0)</f>
        <v>0</v>
      </c>
      <c r="M218" s="15" t="n">
        <f aca="false">IF(INDEX('Расчет Кплотн'!$D:$D,MATCH(D218,'Расчет Кплотн'!$A:$A,0))="район",IFERROR(VLOOKUP(INDEX('Расчет Кплотн'!$B:$B,MATCH(D218,'Расчет Кплотн'!$A:$A,0)),'БКПН (приказ 170)'!$A$4:$C$10,3,FALSE()),Моделирование!$F$2),Моделирование!$F$2)</f>
        <v>1686.17</v>
      </c>
    </row>
    <row r="219" customFormat="false" ht="15" hidden="false" customHeight="false" outlineLevel="0" collapsed="false">
      <c r="A219" s="12" t="n">
        <v>214</v>
      </c>
      <c r="B219" s="12" t="str">
        <f aca="false">'РПН 01.08 по МО'!B217</f>
        <v>АСТАНА</v>
      </c>
      <c r="C219" s="12" t="str">
        <f aca="false">'РПН 01.08 по МО'!C217</f>
        <v>ТОО "Sana Vita clinic"</v>
      </c>
      <c r="D219" s="12" t="str">
        <f aca="false">'РПН 01.08 по МО'!E217</f>
        <v>7100</v>
      </c>
      <c r="E219" s="12" t="str">
        <f aca="false">'РПН 01.08 по МО'!F217</f>
        <v>г. Астана</v>
      </c>
      <c r="F219" s="13" t="n">
        <f aca="false">'РПН 01.08 по МО'!D217</f>
        <v>13178</v>
      </c>
      <c r="G219" s="14" t="n">
        <f aca="false">INDEX('Расчет Кплотн'!$K:$K,MATCH(D219,'Расчет Кплотн'!$A:$A,0))</f>
        <v>1</v>
      </c>
      <c r="H219" s="14" t="n">
        <f aca="false">INDEX('Расчет Кплотн'!$J:$J,MATCH(D219,'Расчет Кплотн'!$A:$A,0))</f>
        <v>1</v>
      </c>
      <c r="I219" s="3" t="n">
        <f aca="false">F219*Моделирование!$F$3*M219*G219/1000</f>
        <v>266644.17912</v>
      </c>
      <c r="J219" s="3" t="n">
        <f aca="false">F219*Моделирование!$F$3*M219*H219/1000</f>
        <v>266644.17912</v>
      </c>
      <c r="K219" s="3" t="n">
        <f aca="false">J219-I219</f>
        <v>0</v>
      </c>
      <c r="L219" s="4" t="n">
        <f aca="false">IFERROR(K219/I219,0)</f>
        <v>0</v>
      </c>
      <c r="M219" s="15" t="n">
        <f aca="false">IF(INDEX('Расчет Кплотн'!$D:$D,MATCH(D219,'Расчет Кплотн'!$A:$A,0))="район",IFERROR(VLOOKUP(INDEX('Расчет Кплотн'!$B:$B,MATCH(D219,'Расчет Кплотн'!$A:$A,0)),'БКПН (приказ 170)'!$A$4:$C$10,3,FALSE()),Моделирование!$F$2),Моделирование!$F$2)</f>
        <v>1686.17</v>
      </c>
    </row>
    <row r="220" customFormat="false" ht="15" hidden="false" customHeight="false" outlineLevel="0" collapsed="false">
      <c r="A220" s="12" t="n">
        <v>215</v>
      </c>
      <c r="B220" s="12" t="str">
        <f aca="false">'РПН 01.08 по МО'!B218</f>
        <v>АСТАНА</v>
      </c>
      <c r="C220" s="12" t="str">
        <f aca="false">'РПН 01.08 по МО'!C218</f>
        <v>ТОО "Интертич Астана Медицинский Ассистанс"</v>
      </c>
      <c r="D220" s="12" t="str">
        <f aca="false">'РПН 01.08 по МО'!E218</f>
        <v>7100</v>
      </c>
      <c r="E220" s="12" t="str">
        <f aca="false">'РПН 01.08 по МО'!F218</f>
        <v>г. Астана</v>
      </c>
      <c r="F220" s="13" t="n">
        <f aca="false">'РПН 01.08 по МО'!D218</f>
        <v>11598</v>
      </c>
      <c r="G220" s="14" t="n">
        <f aca="false">INDEX('Расчет Кплотн'!$K:$K,MATCH(D220,'Расчет Кплотн'!$A:$A,0))</f>
        <v>1</v>
      </c>
      <c r="H220" s="14" t="n">
        <f aca="false">INDEX('Расчет Кплотн'!$J:$J,MATCH(D220,'Расчет Кплотн'!$A:$A,0))</f>
        <v>1</v>
      </c>
      <c r="I220" s="3" t="n">
        <f aca="false">F220*Моделирование!$F$3*M220*G220/1000</f>
        <v>234674.39592</v>
      </c>
      <c r="J220" s="3" t="n">
        <f aca="false">F220*Моделирование!$F$3*M220*H220/1000</f>
        <v>234674.39592</v>
      </c>
      <c r="K220" s="3" t="n">
        <f aca="false">J220-I220</f>
        <v>0</v>
      </c>
      <c r="L220" s="4" t="n">
        <f aca="false">IFERROR(K220/I220,0)</f>
        <v>0</v>
      </c>
      <c r="M220" s="15" t="n">
        <f aca="false">IF(INDEX('Расчет Кплотн'!$D:$D,MATCH(D220,'Расчет Кплотн'!$A:$A,0))="район",IFERROR(VLOOKUP(INDEX('Расчет Кплотн'!$B:$B,MATCH(D220,'Расчет Кплотн'!$A:$A,0)),'БКПН (приказ 170)'!$A$4:$C$10,3,FALSE()),Моделирование!$F$2),Моделирование!$F$2)</f>
        <v>1686.17</v>
      </c>
    </row>
    <row r="221" customFormat="false" ht="15" hidden="false" customHeight="false" outlineLevel="0" collapsed="false">
      <c r="A221" s="12" t="n">
        <v>216</v>
      </c>
      <c r="B221" s="12" t="str">
        <f aca="false">'РПН 01.08 по МО'!B219</f>
        <v>АСТАНА</v>
      </c>
      <c r="C221" s="12" t="str">
        <f aca="false">'РПН 01.08 по МО'!C219</f>
        <v>ТОО "SENIM CLINIC"</v>
      </c>
      <c r="D221" s="12" t="str">
        <f aca="false">'РПН 01.08 по МО'!E219</f>
        <v>7100</v>
      </c>
      <c r="E221" s="12" t="str">
        <f aca="false">'РПН 01.08 по МО'!F219</f>
        <v>г. Астана</v>
      </c>
      <c r="F221" s="13" t="n">
        <f aca="false">'РПН 01.08 по МО'!D219</f>
        <v>3317</v>
      </c>
      <c r="G221" s="14" t="n">
        <f aca="false">INDEX('Расчет Кплотн'!$K:$K,MATCH(D221,'Расчет Кплотн'!$A:$A,0))</f>
        <v>1</v>
      </c>
      <c r="H221" s="14" t="n">
        <f aca="false">INDEX('Расчет Кплотн'!$J:$J,MATCH(D221,'Расчет Кплотн'!$A:$A,0))</f>
        <v>1</v>
      </c>
      <c r="I221" s="3" t="n">
        <f aca="false">F221*Моделирование!$F$3*M221*G221/1000</f>
        <v>67116.31068</v>
      </c>
      <c r="J221" s="3" t="n">
        <f aca="false">F221*Моделирование!$F$3*M221*H221/1000</f>
        <v>67116.31068</v>
      </c>
      <c r="K221" s="3" t="n">
        <f aca="false">J221-I221</f>
        <v>0</v>
      </c>
      <c r="L221" s="4" t="n">
        <f aca="false">IFERROR(K221/I221,0)</f>
        <v>0</v>
      </c>
      <c r="M221" s="15" t="n">
        <f aca="false">IF(INDEX('Расчет Кплотн'!$D:$D,MATCH(D221,'Расчет Кплотн'!$A:$A,0))="район",IFERROR(VLOOKUP(INDEX('Расчет Кплотн'!$B:$B,MATCH(D221,'Расчет Кплотн'!$A:$A,0)),'БКПН (приказ 170)'!$A$4:$C$10,3,FALSE()),Моделирование!$F$2),Моделирование!$F$2)</f>
        <v>1686.17</v>
      </c>
    </row>
    <row r="222" customFormat="false" ht="15" hidden="false" customHeight="false" outlineLevel="0" collapsed="false">
      <c r="A222" s="12" t="n">
        <v>217</v>
      </c>
      <c r="B222" s="12" t="str">
        <f aca="false">'РПН 01.08 по МО'!B220</f>
        <v>АСТАНА</v>
      </c>
      <c r="C222" s="12" t="str">
        <f aca="false">'РПН 01.08 по МО'!C220</f>
        <v>ТОО "Клиника семейных врачей"</v>
      </c>
      <c r="D222" s="12" t="str">
        <f aca="false">'РПН 01.08 по МО'!E220</f>
        <v>7100</v>
      </c>
      <c r="E222" s="12" t="str">
        <f aca="false">'РПН 01.08 по МО'!F220</f>
        <v>г. Астана</v>
      </c>
      <c r="F222" s="13" t="n">
        <f aca="false">'РПН 01.08 по МО'!D220</f>
        <v>25735</v>
      </c>
      <c r="G222" s="14" t="n">
        <f aca="false">INDEX('Расчет Кплотн'!$K:$K,MATCH(D222,'Расчет Кплотн'!$A:$A,0))</f>
        <v>1</v>
      </c>
      <c r="H222" s="14" t="n">
        <f aca="false">INDEX('Расчет Кплотн'!$J:$J,MATCH(D222,'Расчет Кплотн'!$A:$A,0))</f>
        <v>1</v>
      </c>
      <c r="I222" s="3" t="n">
        <f aca="false">F222*Моделирование!$F$3*M222*G222/1000</f>
        <v>520723.0194</v>
      </c>
      <c r="J222" s="3" t="n">
        <f aca="false">F222*Моделирование!$F$3*M222*H222/1000</f>
        <v>520723.0194</v>
      </c>
      <c r="K222" s="3" t="n">
        <f aca="false">J222-I222</f>
        <v>0</v>
      </c>
      <c r="L222" s="4" t="n">
        <f aca="false">IFERROR(K222/I222,0)</f>
        <v>0</v>
      </c>
      <c r="M222" s="15" t="n">
        <f aca="false">IF(INDEX('Расчет Кплотн'!$D:$D,MATCH(D222,'Расчет Кплотн'!$A:$A,0))="район",IFERROR(VLOOKUP(INDEX('Расчет Кплотн'!$B:$B,MATCH(D222,'Расчет Кплотн'!$A:$A,0)),'БКПН (приказ 170)'!$A$4:$C$10,3,FALSE()),Моделирование!$F$2),Моделирование!$F$2)</f>
        <v>1686.17</v>
      </c>
    </row>
    <row r="223" customFormat="false" ht="15" hidden="false" customHeight="false" outlineLevel="0" collapsed="false">
      <c r="A223" s="12" t="n">
        <v>218</v>
      </c>
      <c r="B223" s="12" t="str">
        <f aca="false">'РПН 01.08 по МО'!B221</f>
        <v>АСТАНА</v>
      </c>
      <c r="C223" s="12" t="str">
        <f aca="false">'РПН 01.08 по МО'!C221</f>
        <v>ТОО «Поликлиника «CITY»</v>
      </c>
      <c r="D223" s="12" t="str">
        <f aca="false">'РПН 01.08 по МО'!E221</f>
        <v>7100</v>
      </c>
      <c r="E223" s="12" t="str">
        <f aca="false">'РПН 01.08 по МО'!F221</f>
        <v>г. Астана</v>
      </c>
      <c r="F223" s="13" t="n">
        <f aca="false">'РПН 01.08 по МО'!D221</f>
        <v>126686</v>
      </c>
      <c r="G223" s="14" t="n">
        <f aca="false">INDEX('Расчет Кплотн'!$K:$K,MATCH(D223,'Расчет Кплотн'!$A:$A,0))</f>
        <v>1</v>
      </c>
      <c r="H223" s="14" t="n">
        <f aca="false">INDEX('Расчет Кплотн'!$J:$J,MATCH(D223,'Расчет Кплотн'!$A:$A,0))</f>
        <v>1</v>
      </c>
      <c r="I223" s="3" t="n">
        <f aca="false">F223*Моделирование!$F$3*M223*G223/1000</f>
        <v>2563369.59144</v>
      </c>
      <c r="J223" s="3" t="n">
        <f aca="false">F223*Моделирование!$F$3*M223*H223/1000</f>
        <v>2563369.59144</v>
      </c>
      <c r="K223" s="3" t="n">
        <f aca="false">J223-I223</f>
        <v>0</v>
      </c>
      <c r="L223" s="4" t="n">
        <f aca="false">IFERROR(K223/I223,0)</f>
        <v>0</v>
      </c>
      <c r="M223" s="15" t="n">
        <f aca="false">IF(INDEX('Расчет Кплотн'!$D:$D,MATCH(D223,'Расчет Кплотн'!$A:$A,0))="район",IFERROR(VLOOKUP(INDEX('Расчет Кплотн'!$B:$B,MATCH(D223,'Расчет Кплотн'!$A:$A,0)),'БКПН (приказ 170)'!$A$4:$C$10,3,FALSE()),Моделирование!$F$2),Моделирование!$F$2)</f>
        <v>1686.17</v>
      </c>
    </row>
    <row r="224" customFormat="false" ht="15" hidden="false" customHeight="false" outlineLevel="0" collapsed="false">
      <c r="A224" s="12" t="n">
        <v>219</v>
      </c>
      <c r="B224" s="12" t="str">
        <f aca="false">'РПН 01.08 по МО'!B222</f>
        <v>АСТАНА</v>
      </c>
      <c r="C224" s="12" t="str">
        <f aca="false">'РПН 01.08 по МО'!C222</f>
        <v>ТОО "Медикер Астана"</v>
      </c>
      <c r="D224" s="12" t="str">
        <f aca="false">'РПН 01.08 по МО'!E222</f>
        <v>7100</v>
      </c>
      <c r="E224" s="12" t="str">
        <f aca="false">'РПН 01.08 по МО'!F222</f>
        <v>г. Астана</v>
      </c>
      <c r="F224" s="13" t="n">
        <f aca="false">'РПН 01.08 по МО'!D222</f>
        <v>28168</v>
      </c>
      <c r="G224" s="14" t="n">
        <f aca="false">INDEX('Расчет Кплотн'!$K:$K,MATCH(D224,'Расчет Кплотн'!$A:$A,0))</f>
        <v>1</v>
      </c>
      <c r="H224" s="14" t="n">
        <f aca="false">INDEX('Расчет Кплотн'!$J:$J,MATCH(D224,'Расчет Кплотн'!$A:$A,0))</f>
        <v>1</v>
      </c>
      <c r="I224" s="3" t="n">
        <f aca="false">F224*Моделирование!$F$3*M224*G224/1000</f>
        <v>569952.43872</v>
      </c>
      <c r="J224" s="3" t="n">
        <f aca="false">F224*Моделирование!$F$3*M224*H224/1000</f>
        <v>569952.43872</v>
      </c>
      <c r="K224" s="3" t="n">
        <f aca="false">J224-I224</f>
        <v>0</v>
      </c>
      <c r="L224" s="4" t="n">
        <f aca="false">IFERROR(K224/I224,0)</f>
        <v>0</v>
      </c>
      <c r="M224" s="15" t="n">
        <f aca="false">IF(INDEX('Расчет Кплотн'!$D:$D,MATCH(D224,'Расчет Кплотн'!$A:$A,0))="район",IFERROR(VLOOKUP(INDEX('Расчет Кплотн'!$B:$B,MATCH(D224,'Расчет Кплотн'!$A:$A,0)),'БКПН (приказ 170)'!$A$4:$C$10,3,FALSE()),Моделирование!$F$2),Моделирование!$F$2)</f>
        <v>1686.17</v>
      </c>
    </row>
    <row r="225" customFormat="false" ht="15" hidden="false" customHeight="false" outlineLevel="0" collapsed="false">
      <c r="A225" s="12" t="n">
        <v>220</v>
      </c>
      <c r="B225" s="12" t="str">
        <f aca="false">'РПН 01.08 по МО'!B223</f>
        <v>АСТАНА</v>
      </c>
      <c r="C225" s="12" t="str">
        <f aca="false">'РПН 01.08 по МО'!C223</f>
        <v>ТОО "Медицинский центр МУА"</v>
      </c>
      <c r="D225" s="12" t="str">
        <f aca="false">'РПН 01.08 по МО'!E223</f>
        <v>7100</v>
      </c>
      <c r="E225" s="12" t="str">
        <f aca="false">'РПН 01.08 по МО'!F223</f>
        <v>г. Астана</v>
      </c>
      <c r="F225" s="13" t="n">
        <f aca="false">'РПН 01.08 по МО'!D223</f>
        <v>11474</v>
      </c>
      <c r="G225" s="14" t="n">
        <f aca="false">INDEX('Расчет Кплотн'!$K:$K,MATCH(D225,'Расчет Кплотн'!$A:$A,0))</f>
        <v>1</v>
      </c>
      <c r="H225" s="14" t="n">
        <f aca="false">INDEX('Расчет Кплотн'!$J:$J,MATCH(D225,'Расчет Кплотн'!$A:$A,0))</f>
        <v>1</v>
      </c>
      <c r="I225" s="3" t="n">
        <f aca="false">F225*Моделирование!$F$3*M225*G225/1000</f>
        <v>232165.37496</v>
      </c>
      <c r="J225" s="3" t="n">
        <f aca="false">F225*Моделирование!$F$3*M225*H225/1000</f>
        <v>232165.37496</v>
      </c>
      <c r="K225" s="3" t="n">
        <f aca="false">J225-I225</f>
        <v>0</v>
      </c>
      <c r="L225" s="4" t="n">
        <f aca="false">IFERROR(K225/I225,0)</f>
        <v>0</v>
      </c>
      <c r="M225" s="15" t="n">
        <f aca="false">IF(INDEX('Расчет Кплотн'!$D:$D,MATCH(D225,'Расчет Кплотн'!$A:$A,0))="район",IFERROR(VLOOKUP(INDEX('Расчет Кплотн'!$B:$B,MATCH(D225,'Расчет Кплотн'!$A:$A,0)),'БКПН (приказ 170)'!$A$4:$C$10,3,FALSE()),Моделирование!$F$2),Моделирование!$F$2)</f>
        <v>1686.17</v>
      </c>
    </row>
    <row r="226" customFormat="false" ht="15" hidden="false" customHeight="false" outlineLevel="0" collapsed="false">
      <c r="A226" s="12" t="n">
        <v>221</v>
      </c>
      <c r="B226" s="12" t="str">
        <f aca="false">'РПН 01.08 по МО'!B224</f>
        <v>АСТАНА</v>
      </c>
      <c r="C226" s="12" t="str">
        <f aca="false">'РПН 01.08 по МО'!C224</f>
        <v>ТОО "Ортопедический центр "Экстра комфорт"</v>
      </c>
      <c r="D226" s="12" t="str">
        <f aca="false">'РПН 01.08 по МО'!E224</f>
        <v>7100</v>
      </c>
      <c r="E226" s="12" t="str">
        <f aca="false">'РПН 01.08 по МО'!F224</f>
        <v>г. Астана</v>
      </c>
      <c r="F226" s="13" t="n">
        <f aca="false">'РПН 01.08 по МО'!D224</f>
        <v>4273</v>
      </c>
      <c r="G226" s="14" t="n">
        <f aca="false">INDEX('Расчет Кплотн'!$K:$K,MATCH(D226,'Расчет Кплотн'!$A:$A,0))</f>
        <v>1</v>
      </c>
      <c r="H226" s="14" t="n">
        <f aca="false">INDEX('Расчет Кплотн'!$J:$J,MATCH(D226,'Расчет Кплотн'!$A:$A,0))</f>
        <v>1</v>
      </c>
      <c r="I226" s="3" t="n">
        <f aca="false">F226*Моделирование!$F$3*M226*G226/1000</f>
        <v>86460.05292</v>
      </c>
      <c r="J226" s="3" t="n">
        <f aca="false">F226*Моделирование!$F$3*M226*H226/1000</f>
        <v>86460.05292</v>
      </c>
      <c r="K226" s="3" t="n">
        <f aca="false">J226-I226</f>
        <v>0</v>
      </c>
      <c r="L226" s="4" t="n">
        <f aca="false">IFERROR(K226/I226,0)</f>
        <v>0</v>
      </c>
      <c r="M226" s="15" t="n">
        <f aca="false">IF(INDEX('Расчет Кплотн'!$D:$D,MATCH(D226,'Расчет Кплотн'!$A:$A,0))="район",IFERROR(VLOOKUP(INDEX('Расчет Кплотн'!$B:$B,MATCH(D226,'Расчет Кплотн'!$A:$A,0)),'БКПН (приказ 170)'!$A$4:$C$10,3,FALSE()),Моделирование!$F$2),Моделирование!$F$2)</f>
        <v>1686.17</v>
      </c>
    </row>
    <row r="227" customFormat="false" ht="15" hidden="false" customHeight="false" outlineLevel="0" collapsed="false">
      <c r="A227" s="12" t="n">
        <v>222</v>
      </c>
      <c r="B227" s="12" t="str">
        <f aca="false">'РПН 01.08 по МО'!B225</f>
        <v>АСТАНА</v>
      </c>
      <c r="C227" s="12" t="str">
        <f aca="false">'РПН 01.08 по МО'!C225</f>
        <v>ТОО "Поликлиника Аспан"</v>
      </c>
      <c r="D227" s="12" t="str">
        <f aca="false">'РПН 01.08 по МО'!E225</f>
        <v>7100</v>
      </c>
      <c r="E227" s="12" t="str">
        <f aca="false">'РПН 01.08 по МО'!F225</f>
        <v>г. Астана</v>
      </c>
      <c r="F227" s="13" t="n">
        <f aca="false">'РПН 01.08 по МО'!D225</f>
        <v>28955</v>
      </c>
      <c r="G227" s="14" t="n">
        <f aca="false">INDEX('Расчет Кплотн'!$K:$K,MATCH(D227,'Расчет Кплотн'!$A:$A,0))</f>
        <v>1</v>
      </c>
      <c r="H227" s="14" t="n">
        <f aca="false">INDEX('Расчет Кплотн'!$J:$J,MATCH(D227,'Расчет Кплотн'!$A:$A,0))</f>
        <v>1</v>
      </c>
      <c r="I227" s="3" t="n">
        <f aca="false">F227*Моделирование!$F$3*M227*G227/1000</f>
        <v>585876.6282</v>
      </c>
      <c r="J227" s="3" t="n">
        <f aca="false">F227*Моделирование!$F$3*M227*H227/1000</f>
        <v>585876.6282</v>
      </c>
      <c r="K227" s="3" t="n">
        <f aca="false">J227-I227</f>
        <v>0</v>
      </c>
      <c r="L227" s="4" t="n">
        <f aca="false">IFERROR(K227/I227,0)</f>
        <v>0</v>
      </c>
      <c r="M227" s="15" t="n">
        <f aca="false">IF(INDEX('Расчет Кплотн'!$D:$D,MATCH(D227,'Расчет Кплотн'!$A:$A,0))="район",IFERROR(VLOOKUP(INDEX('Расчет Кплотн'!$B:$B,MATCH(D227,'Расчет Кплотн'!$A:$A,0)),'БКПН (приказ 170)'!$A$4:$C$10,3,FALSE()),Моделирование!$F$2),Моделирование!$F$2)</f>
        <v>1686.17</v>
      </c>
    </row>
    <row r="228" customFormat="false" ht="15" hidden="false" customHeight="false" outlineLevel="0" collapsed="false">
      <c r="A228" s="12" t="n">
        <v>223</v>
      </c>
      <c r="B228" s="12" t="str">
        <f aca="false">'РПН 01.08 по МО'!B226</f>
        <v>АСТАНА</v>
      </c>
      <c r="C228" s="12" t="str">
        <f aca="false">'РПН 01.08 по МО'!C226</f>
        <v>ТОО "Салауатты Астана"</v>
      </c>
      <c r="D228" s="12" t="str">
        <f aca="false">'РПН 01.08 по МО'!E226</f>
        <v>7100</v>
      </c>
      <c r="E228" s="12" t="str">
        <f aca="false">'РПН 01.08 по МО'!F226</f>
        <v>г. Астана</v>
      </c>
      <c r="F228" s="13" t="n">
        <f aca="false">'РПН 01.08 по МО'!D226</f>
        <v>106033</v>
      </c>
      <c r="G228" s="14" t="n">
        <f aca="false">INDEX('Расчет Кплотн'!$K:$K,MATCH(D228,'Расчет Кплотн'!$A:$A,0))</f>
        <v>1</v>
      </c>
      <c r="H228" s="14" t="n">
        <f aca="false">INDEX('Расчет Кплотн'!$J:$J,MATCH(D228,'Расчет Кплотн'!$A:$A,0))</f>
        <v>1</v>
      </c>
      <c r="I228" s="3" t="n">
        <f aca="false">F228*Моделирование!$F$3*M228*G228/1000</f>
        <v>2145475.96332</v>
      </c>
      <c r="J228" s="3" t="n">
        <f aca="false">F228*Моделирование!$F$3*M228*H228/1000</f>
        <v>2145475.96332</v>
      </c>
      <c r="K228" s="3" t="n">
        <f aca="false">J228-I228</f>
        <v>0</v>
      </c>
      <c r="L228" s="4" t="n">
        <f aca="false">IFERROR(K228/I228,0)</f>
        <v>0</v>
      </c>
      <c r="M228" s="15" t="n">
        <f aca="false">IF(INDEX('Расчет Кплотн'!$D:$D,MATCH(D228,'Расчет Кплотн'!$A:$A,0))="район",IFERROR(VLOOKUP(INDEX('Расчет Кплотн'!$B:$B,MATCH(D228,'Расчет Кплотн'!$A:$A,0)),'БКПН (приказ 170)'!$A$4:$C$10,3,FALSE()),Моделирование!$F$2),Моделирование!$F$2)</f>
        <v>1686.17</v>
      </c>
    </row>
    <row r="229" customFormat="false" ht="15" hidden="false" customHeight="false" outlineLevel="0" collapsed="false">
      <c r="A229" s="12" t="n">
        <v>224</v>
      </c>
      <c r="B229" s="12" t="str">
        <f aca="false">'РПН 01.08 по МО'!B227</f>
        <v>АСТАНА</v>
      </c>
      <c r="C229" s="12" t="str">
        <f aca="false">'РПН 01.08 по МО'!C227</f>
        <v>ТОО "ЦЕНТР СЕМЕЙНОГО ЗДОРОВЬЯ И СЧАСТЬЯ "ОНЕГЕ"</v>
      </c>
      <c r="D229" s="12" t="str">
        <f aca="false">'РПН 01.08 по МО'!E227</f>
        <v>7100</v>
      </c>
      <c r="E229" s="12" t="str">
        <f aca="false">'РПН 01.08 по МО'!F227</f>
        <v>г. Астана</v>
      </c>
      <c r="F229" s="13" t="n">
        <f aca="false">'РПН 01.08 по МО'!D227</f>
        <v>15075</v>
      </c>
      <c r="G229" s="14" t="n">
        <f aca="false">INDEX('Расчет Кплотн'!$K:$K,MATCH(D229,'Расчет Кплотн'!$A:$A,0))</f>
        <v>1</v>
      </c>
      <c r="H229" s="14" t="n">
        <f aca="false">INDEX('Расчет Кплотн'!$J:$J,MATCH(D229,'Расчет Кплотн'!$A:$A,0))</f>
        <v>1</v>
      </c>
      <c r="I229" s="3" t="n">
        <f aca="false">F229*Моделирование!$F$3*M229*G229/1000</f>
        <v>305028.153</v>
      </c>
      <c r="J229" s="3" t="n">
        <f aca="false">F229*Моделирование!$F$3*M229*H229/1000</f>
        <v>305028.153</v>
      </c>
      <c r="K229" s="3" t="n">
        <f aca="false">J229-I229</f>
        <v>0</v>
      </c>
      <c r="L229" s="4" t="n">
        <f aca="false">IFERROR(K229/I229,0)</f>
        <v>0</v>
      </c>
      <c r="M229" s="15" t="n">
        <f aca="false">IF(INDEX('Расчет Кплотн'!$D:$D,MATCH(D229,'Расчет Кплотн'!$A:$A,0))="район",IFERROR(VLOOKUP(INDEX('Расчет Кплотн'!$B:$B,MATCH(D229,'Расчет Кплотн'!$A:$A,0)),'БКПН (приказ 170)'!$A$4:$C$10,3,FALSE()),Моделирование!$F$2),Моделирование!$F$2)</f>
        <v>1686.17</v>
      </c>
    </row>
    <row r="230" customFormat="false" ht="15" hidden="false" customHeight="false" outlineLevel="0" collapsed="false">
      <c r="A230" s="12" t="n">
        <v>225</v>
      </c>
      <c r="B230" s="12" t="str">
        <f aca="false">'РПН 01.08 по МО'!B228</f>
        <v>АСТАНА</v>
      </c>
      <c r="C230" s="12" t="str">
        <f aca="false">'РПН 01.08 по МО'!C228</f>
        <v>ТОО "ЦСЗ Шипагер"</v>
      </c>
      <c r="D230" s="12" t="str">
        <f aca="false">'РПН 01.08 по МО'!E228</f>
        <v>7100</v>
      </c>
      <c r="E230" s="12" t="str">
        <f aca="false">'РПН 01.08 по МО'!F228</f>
        <v>г. Астана</v>
      </c>
      <c r="F230" s="13" t="n">
        <f aca="false">'РПН 01.08 по МО'!D228</f>
        <v>103673</v>
      </c>
      <c r="G230" s="14" t="n">
        <f aca="false">INDEX('Расчет Кплотн'!$K:$K,MATCH(D230,'Расчет Кплотн'!$A:$A,0))</f>
        <v>1</v>
      </c>
      <c r="H230" s="14" t="n">
        <f aca="false">INDEX('Расчет Кплотн'!$J:$J,MATCH(D230,'Расчет Кплотн'!$A:$A,0))</f>
        <v>1</v>
      </c>
      <c r="I230" s="3" t="n">
        <f aca="false">F230*Моделирование!$F$3*M230*G230/1000</f>
        <v>2097723.62892</v>
      </c>
      <c r="J230" s="3" t="n">
        <f aca="false">F230*Моделирование!$F$3*M230*H230/1000</f>
        <v>2097723.62892</v>
      </c>
      <c r="K230" s="3" t="n">
        <f aca="false">J230-I230</f>
        <v>0</v>
      </c>
      <c r="L230" s="4" t="n">
        <f aca="false">IFERROR(K230/I230,0)</f>
        <v>0</v>
      </c>
      <c r="M230" s="15" t="n">
        <f aca="false">IF(INDEX('Расчет Кплотн'!$D:$D,MATCH(D230,'Расчет Кплотн'!$A:$A,0))="район",IFERROR(VLOOKUP(INDEX('Расчет Кплотн'!$B:$B,MATCH(D230,'Расчет Кплотн'!$A:$A,0)),'БКПН (приказ 170)'!$A$4:$C$10,3,FALSE()),Моделирование!$F$2),Моделирование!$F$2)</f>
        <v>1686.17</v>
      </c>
    </row>
    <row r="231" customFormat="false" ht="15" hidden="false" customHeight="false" outlineLevel="0" collapsed="false">
      <c r="A231" s="12" t="n">
        <v>226</v>
      </c>
      <c r="B231" s="12" t="str">
        <f aca="false">'РПН 01.08 по МО'!B229</f>
        <v>АСТАНА</v>
      </c>
      <c r="C231" s="12" t="str">
        <f aca="false">'РПН 01.08 по МО'!C229</f>
        <v>ТОО "ONEGE Емдеу"</v>
      </c>
      <c r="D231" s="12" t="str">
        <f aca="false">'РПН 01.08 по МО'!E229</f>
        <v>7100</v>
      </c>
      <c r="E231" s="12" t="str">
        <f aca="false">'РПН 01.08 по МО'!F229</f>
        <v>г. Астана</v>
      </c>
      <c r="F231" s="13" t="n">
        <f aca="false">'РПН 01.08 по МО'!D229</f>
        <v>6961</v>
      </c>
      <c r="G231" s="14" t="n">
        <f aca="false">INDEX('Расчет Кплотн'!$K:$K,MATCH(D231,'Расчет Кплотн'!$A:$A,0))</f>
        <v>1</v>
      </c>
      <c r="H231" s="14" t="n">
        <f aca="false">INDEX('Расчет Кплотн'!$J:$J,MATCH(D231,'Расчет Кплотн'!$A:$A,0))</f>
        <v>1</v>
      </c>
      <c r="I231" s="3" t="n">
        <f aca="false">F231*Моделирование!$F$3*M231*G231/1000</f>
        <v>140849.15244</v>
      </c>
      <c r="J231" s="3" t="n">
        <f aca="false">F231*Моделирование!$F$3*M231*H231/1000</f>
        <v>140849.15244</v>
      </c>
      <c r="K231" s="3" t="n">
        <f aca="false">J231-I231</f>
        <v>0</v>
      </c>
      <c r="L231" s="4" t="n">
        <f aca="false">IFERROR(K231/I231,0)</f>
        <v>0</v>
      </c>
      <c r="M231" s="15" t="n">
        <f aca="false">IF(INDEX('Расчет Кплотн'!$D:$D,MATCH(D231,'Расчет Кплотн'!$A:$A,0))="район",IFERROR(VLOOKUP(INDEX('Расчет Кплотн'!$B:$B,MATCH(D231,'Расчет Кплотн'!$A:$A,0)),'БКПН (приказ 170)'!$A$4:$C$10,3,FALSE()),Моделирование!$F$2),Моделирование!$F$2)</f>
        <v>1686.17</v>
      </c>
    </row>
    <row r="232" customFormat="false" ht="15" hidden="false" customHeight="false" outlineLevel="0" collapsed="false">
      <c r="A232" s="12" t="n">
        <v>227</v>
      </c>
      <c r="B232" s="12" t="str">
        <f aca="false">'РПН 01.08 по МО'!B230</f>
        <v>АСТАНА</v>
      </c>
      <c r="C232" s="12" t="str">
        <f aca="false">'РПН 01.08 по МО'!C230</f>
        <v>Учреждение "Кировская семейная врачебная амбулатория"</v>
      </c>
      <c r="D232" s="12" t="str">
        <f aca="false">'РПН 01.08 по МО'!E230</f>
        <v>7100</v>
      </c>
      <c r="E232" s="12" t="str">
        <f aca="false">'РПН 01.08 по МО'!F230</f>
        <v>г. Астана</v>
      </c>
      <c r="F232" s="13" t="n">
        <f aca="false">'РПН 01.08 по МО'!D230</f>
        <v>10275</v>
      </c>
      <c r="G232" s="14" t="n">
        <f aca="false">INDEX('Расчет Кплотн'!$K:$K,MATCH(D232,'Расчет Кплотн'!$A:$A,0))</f>
        <v>1</v>
      </c>
      <c r="H232" s="14" t="n">
        <f aca="false">INDEX('Расчет Кплотн'!$J:$J,MATCH(D232,'Расчет Кплотн'!$A:$A,0))</f>
        <v>1</v>
      </c>
      <c r="I232" s="3" t="n">
        <f aca="false">F232*Моделирование!$F$3*M232*G232/1000</f>
        <v>207904.761</v>
      </c>
      <c r="J232" s="3" t="n">
        <f aca="false">F232*Моделирование!$F$3*M232*H232/1000</f>
        <v>207904.761</v>
      </c>
      <c r="K232" s="3" t="n">
        <f aca="false">J232-I232</f>
        <v>0</v>
      </c>
      <c r="L232" s="4" t="n">
        <f aca="false">IFERROR(K232/I232,0)</f>
        <v>0</v>
      </c>
      <c r="M232" s="15" t="n">
        <f aca="false">IF(INDEX('Расчет Кплотн'!$D:$D,MATCH(D232,'Расчет Кплотн'!$A:$A,0))="район",IFERROR(VLOOKUP(INDEX('Расчет Кплотн'!$B:$B,MATCH(D232,'Расчет Кплотн'!$A:$A,0)),'БКПН (приказ 170)'!$A$4:$C$10,3,FALSE()),Моделирование!$F$2),Моделирование!$F$2)</f>
        <v>1686.17</v>
      </c>
    </row>
    <row r="233" customFormat="false" ht="15" hidden="false" customHeight="false" outlineLevel="0" collapsed="false">
      <c r="A233" s="12" t="n">
        <v>228</v>
      </c>
      <c r="B233" s="12" t="str">
        <f aca="false">'РПН 01.08 по МО'!B231</f>
        <v>АСТАНА</v>
      </c>
      <c r="C233" s="12" t="str">
        <f aca="false">'РПН 01.08 по МО'!C231</f>
        <v>ТОО "КСМК "ЖАНҰЯ"</v>
      </c>
      <c r="D233" s="12" t="str">
        <f aca="false">'РПН 01.08 по МО'!E231</f>
        <v>7100</v>
      </c>
      <c r="E233" s="12" t="str">
        <f aca="false">'РПН 01.08 по МО'!F231</f>
        <v>г. Астана</v>
      </c>
      <c r="F233" s="13" t="n">
        <f aca="false">'РПН 01.08 по МО'!D231</f>
        <v>88315</v>
      </c>
      <c r="G233" s="14" t="n">
        <f aca="false">INDEX('Расчет Кплотн'!$K:$K,MATCH(D233,'Расчет Кплотн'!$A:$A,0))</f>
        <v>1</v>
      </c>
      <c r="H233" s="14" t="n">
        <f aca="false">INDEX('Расчет Кплотн'!$J:$J,MATCH(D233,'Расчет Кплотн'!$A:$A,0))</f>
        <v>1</v>
      </c>
      <c r="I233" s="3" t="n">
        <f aca="false">F233*Моделирование!$F$3*M233*G233/1000</f>
        <v>1786969.2426</v>
      </c>
      <c r="J233" s="3" t="n">
        <f aca="false">F233*Моделирование!$F$3*M233*H233/1000</f>
        <v>1786969.2426</v>
      </c>
      <c r="K233" s="3" t="n">
        <f aca="false">J233-I233</f>
        <v>0</v>
      </c>
      <c r="L233" s="4" t="n">
        <f aca="false">IFERROR(K233/I233,0)</f>
        <v>0</v>
      </c>
      <c r="M233" s="15" t="n">
        <f aca="false">IF(INDEX('Расчет Кплотн'!$D:$D,MATCH(D233,'Расчет Кплотн'!$A:$A,0))="район",IFERROR(VLOOKUP(INDEX('Расчет Кплотн'!$B:$B,MATCH(D233,'Расчет Кплотн'!$A:$A,0)),'БКПН (приказ 170)'!$A$4:$C$10,3,FALSE()),Моделирование!$F$2),Моделирование!$F$2)</f>
        <v>1686.17</v>
      </c>
    </row>
    <row r="234" customFormat="false" ht="15" hidden="false" customHeight="false" outlineLevel="0" collapsed="false">
      <c r="A234" s="12" t="n">
        <v>229</v>
      </c>
      <c r="B234" s="12" t="str">
        <f aca="false">'РПН 01.08 по МО'!B232</f>
        <v>АСТАНА</v>
      </c>
      <c r="C234" s="12" t="str">
        <f aca="false">'РПН 01.08 по МО'!C232</f>
        <v>ТОО "ONEGE KOKTAL"</v>
      </c>
      <c r="D234" s="12" t="str">
        <f aca="false">'РПН 01.08 по МО'!E232</f>
        <v>7100</v>
      </c>
      <c r="E234" s="12" t="str">
        <f aca="false">'РПН 01.08 по МО'!F232</f>
        <v>г. Астана</v>
      </c>
      <c r="F234" s="13" t="n">
        <f aca="false">'РПН 01.08 по МО'!D232</f>
        <v>5735</v>
      </c>
      <c r="G234" s="14" t="n">
        <f aca="false">INDEX('Расчет Кплотн'!$K:$K,MATCH(D234,'Расчет Кплотн'!$A:$A,0))</f>
        <v>1</v>
      </c>
      <c r="H234" s="14" t="n">
        <f aca="false">INDEX('Расчет Кплотн'!$J:$J,MATCH(D234,'Расчет Кплотн'!$A:$A,0))</f>
        <v>1</v>
      </c>
      <c r="I234" s="3" t="n">
        <f aca="false">F234*Моделирование!$F$3*M234*G234/1000</f>
        <v>116042.2194</v>
      </c>
      <c r="J234" s="3" t="n">
        <f aca="false">F234*Моделирование!$F$3*M234*H234/1000</f>
        <v>116042.2194</v>
      </c>
      <c r="K234" s="3" t="n">
        <f aca="false">J234-I234</f>
        <v>0</v>
      </c>
      <c r="L234" s="4" t="n">
        <f aca="false">IFERROR(K234/I234,0)</f>
        <v>0</v>
      </c>
      <c r="M234" s="15" t="n">
        <f aca="false">IF(INDEX('Расчет Кплотн'!$D:$D,MATCH(D234,'Расчет Кплотн'!$A:$A,0))="район",IFERROR(VLOOKUP(INDEX('Расчет Кплотн'!$B:$B,MATCH(D234,'Расчет Кплотн'!$A:$A,0)),'БКПН (приказ 170)'!$A$4:$C$10,3,FALSE()),Моделирование!$F$2),Моделирование!$F$2)</f>
        <v>1686.17</v>
      </c>
    </row>
    <row r="235" customFormat="false" ht="15" hidden="false" customHeight="false" outlineLevel="0" collapsed="false">
      <c r="A235" s="12" t="n">
        <v>230</v>
      </c>
      <c r="B235" s="12" t="str">
        <f aca="false">'РПН 01.08 по МО'!B233</f>
        <v>АСТАНА</v>
      </c>
      <c r="C235" s="12" t="str">
        <f aca="false">'РПН 01.08 по МО'!C233</f>
        <v>РГП на ПХВ "РЦПМСП" МЗ РК</v>
      </c>
      <c r="D235" s="12" t="str">
        <f aca="false">'РПН 01.08 по МО'!E233</f>
        <v>7100</v>
      </c>
      <c r="E235" s="12" t="str">
        <f aca="false">'РПН 01.08 по МО'!F233</f>
        <v>г. Астана</v>
      </c>
      <c r="F235" s="13" t="n">
        <f aca="false">'РПН 01.08 по МО'!D233</f>
        <v>75298</v>
      </c>
      <c r="G235" s="14" t="n">
        <f aca="false">INDEX('Расчет Кплотн'!$K:$K,MATCH(D235,'Расчет Кплотн'!$A:$A,0))</f>
        <v>1</v>
      </c>
      <c r="H235" s="14" t="n">
        <f aca="false">INDEX('Расчет Кплотн'!$J:$J,MATCH(D235,'Расчет Кплотн'!$A:$A,0))</f>
        <v>1</v>
      </c>
      <c r="I235" s="3" t="n">
        <f aca="false">F235*Моделирование!$F$3*M235*G235/1000</f>
        <v>1523582.74392</v>
      </c>
      <c r="J235" s="3" t="n">
        <f aca="false">F235*Моделирование!$F$3*M235*H235/1000</f>
        <v>1523582.74392</v>
      </c>
      <c r="K235" s="3" t="n">
        <f aca="false">J235-I235</f>
        <v>0</v>
      </c>
      <c r="L235" s="4" t="n">
        <f aca="false">IFERROR(K235/I235,0)</f>
        <v>0</v>
      </c>
      <c r="M235" s="15" t="n">
        <f aca="false">IF(INDEX('Расчет Кплотн'!$D:$D,MATCH(D235,'Расчет Кплотн'!$A:$A,0))="район",IFERROR(VLOOKUP(INDEX('Расчет Кплотн'!$B:$B,MATCH(D235,'Расчет Кплотн'!$A:$A,0)),'БКПН (приказ 170)'!$A$4:$C$10,3,FALSE()),Моделирование!$F$2),Моделирование!$F$2)</f>
        <v>1686.17</v>
      </c>
    </row>
    <row r="236" customFormat="false" ht="15" hidden="false" customHeight="false" outlineLevel="0" collapsed="false">
      <c r="A236" s="12" t="n">
        <v>231</v>
      </c>
      <c r="B236" s="12" t="str">
        <f aca="false">'РПН 01.08 по МО'!B234</f>
        <v>АСТАНА</v>
      </c>
      <c r="C236" s="12" t="str">
        <f aca="false">'РПН 01.08 по МО'!C234</f>
        <v>ТОО "Green clinic"</v>
      </c>
      <c r="D236" s="12" t="str">
        <f aca="false">'РПН 01.08 по МО'!E234</f>
        <v>7100</v>
      </c>
      <c r="E236" s="12" t="str">
        <f aca="false">'РПН 01.08 по МО'!F234</f>
        <v>г. Астана</v>
      </c>
      <c r="F236" s="13" t="n">
        <f aca="false">'РПН 01.08 по МО'!D234</f>
        <v>47713</v>
      </c>
      <c r="G236" s="14" t="n">
        <f aca="false">INDEX('Расчет Кплотн'!$K:$K,MATCH(D236,'Расчет Кплотн'!$A:$A,0))</f>
        <v>1</v>
      </c>
      <c r="H236" s="14" t="n">
        <f aca="false">INDEX('Расчет Кплотн'!$J:$J,MATCH(D236,'Расчет Кплотн'!$A:$A,0))</f>
        <v>1</v>
      </c>
      <c r="I236" s="3" t="n">
        <f aca="false">F236*Моделирование!$F$3*M236*G236/1000</f>
        <v>965426.75052</v>
      </c>
      <c r="J236" s="3" t="n">
        <f aca="false">F236*Моделирование!$F$3*M236*H236/1000</f>
        <v>965426.75052</v>
      </c>
      <c r="K236" s="3" t="n">
        <f aca="false">J236-I236</f>
        <v>0</v>
      </c>
      <c r="L236" s="4" t="n">
        <f aca="false">IFERROR(K236/I236,0)</f>
        <v>0</v>
      </c>
      <c r="M236" s="15" t="n">
        <f aca="false">IF(INDEX('Расчет Кплотн'!$D:$D,MATCH(D236,'Расчет Кплотн'!$A:$A,0))="район",IFERROR(VLOOKUP(INDEX('Расчет Кплотн'!$B:$B,MATCH(D236,'Расчет Кплотн'!$A:$A,0)),'БКПН (приказ 170)'!$A$4:$C$10,3,FALSE()),Моделирование!$F$2),Моделирование!$F$2)</f>
        <v>1686.17</v>
      </c>
    </row>
    <row r="237" customFormat="false" ht="15" hidden="false" customHeight="false" outlineLevel="0" collapsed="false">
      <c r="A237" s="12" t="n">
        <v>232</v>
      </c>
      <c r="B237" s="12" t="str">
        <f aca="false">'РПН 01.08 по МО'!B235</f>
        <v>АСТАНА</v>
      </c>
      <c r="C237" s="12" t="str">
        <f aca="false">'РПН 01.08 по МО'!C235</f>
        <v>ГКП на ПХВ "Городская поликлиника № 1" акимата города Астаны</v>
      </c>
      <c r="D237" s="12" t="str">
        <f aca="false">'РПН 01.08 по МО'!E235</f>
        <v>7100</v>
      </c>
      <c r="E237" s="12" t="str">
        <f aca="false">'РПН 01.08 по МО'!F235</f>
        <v>г. Астана</v>
      </c>
      <c r="F237" s="13" t="n">
        <f aca="false">'РПН 01.08 по МО'!D235</f>
        <v>42100</v>
      </c>
      <c r="G237" s="14" t="n">
        <f aca="false">INDEX('Расчет Кплотн'!$K:$K,MATCH(D237,'Расчет Кплотн'!$A:$A,0))</f>
        <v>1</v>
      </c>
      <c r="H237" s="14" t="n">
        <f aca="false">INDEX('Расчет Кплотн'!$J:$J,MATCH(D237,'Расчет Кплотн'!$A:$A,0))</f>
        <v>1</v>
      </c>
      <c r="I237" s="3" t="n">
        <f aca="false">F237*Моделирование!$F$3*M237*G237/1000</f>
        <v>851853.084</v>
      </c>
      <c r="J237" s="3" t="n">
        <f aca="false">F237*Моделирование!$F$3*M237*H237/1000</f>
        <v>851853.084</v>
      </c>
      <c r="K237" s="3" t="n">
        <f aca="false">J237-I237</f>
        <v>0</v>
      </c>
      <c r="L237" s="4" t="n">
        <f aca="false">IFERROR(K237/I237,0)</f>
        <v>0</v>
      </c>
      <c r="M237" s="15" t="n">
        <f aca="false">IF(INDEX('Расчет Кплотн'!$D:$D,MATCH(D237,'Расчет Кплотн'!$A:$A,0))="район",IFERROR(VLOOKUP(INDEX('Расчет Кплотн'!$B:$B,MATCH(D237,'Расчет Кплотн'!$A:$A,0)),'БКПН (приказ 170)'!$A$4:$C$10,3,FALSE()),Моделирование!$F$2),Моделирование!$F$2)</f>
        <v>1686.17</v>
      </c>
    </row>
    <row r="238" customFormat="false" ht="15" hidden="false" customHeight="false" outlineLevel="0" collapsed="false">
      <c r="A238" s="12" t="n">
        <v>233</v>
      </c>
      <c r="B238" s="12" t="str">
        <f aca="false">'РПН 01.08 по МО'!B236</f>
        <v>АСТАНА</v>
      </c>
      <c r="C238" s="12" t="str">
        <f aca="false">'РПН 01.08 по МО'!C236</f>
        <v>ГКП на ПХВ "Городская поликлиника № 13" акимата города Астаны</v>
      </c>
      <c r="D238" s="12" t="str">
        <f aca="false">'РПН 01.08 по МО'!E236</f>
        <v>7100</v>
      </c>
      <c r="E238" s="12" t="str">
        <f aca="false">'РПН 01.08 по МО'!F236</f>
        <v>г. Астана</v>
      </c>
      <c r="F238" s="13" t="n">
        <f aca="false">'РПН 01.08 по МО'!D236</f>
        <v>52917</v>
      </c>
      <c r="G238" s="14" t="n">
        <f aca="false">INDEX('Расчет Кплотн'!$K:$K,MATCH(D238,'Расчет Кплотн'!$A:$A,0))</f>
        <v>1</v>
      </c>
      <c r="H238" s="14" t="n">
        <f aca="false">INDEX('Расчет Кплотн'!$J:$J,MATCH(D238,'Расчет Кплотн'!$A:$A,0))</f>
        <v>1</v>
      </c>
      <c r="I238" s="3" t="n">
        <f aca="false">F238*Моделирование!$F$3*M238*G238/1000</f>
        <v>1070724.69468</v>
      </c>
      <c r="J238" s="3" t="n">
        <f aca="false">F238*Моделирование!$F$3*M238*H238/1000</f>
        <v>1070724.69468</v>
      </c>
      <c r="K238" s="3" t="n">
        <f aca="false">J238-I238</f>
        <v>0</v>
      </c>
      <c r="L238" s="4" t="n">
        <f aca="false">IFERROR(K238/I238,0)</f>
        <v>0</v>
      </c>
      <c r="M238" s="15" t="n">
        <f aca="false">IF(INDEX('Расчет Кплотн'!$D:$D,MATCH(D238,'Расчет Кплотн'!$A:$A,0))="район",IFERROR(VLOOKUP(INDEX('Расчет Кплотн'!$B:$B,MATCH(D238,'Расчет Кплотн'!$A:$A,0)),'БКПН (приказ 170)'!$A$4:$C$10,3,FALSE()),Моделирование!$F$2),Моделирование!$F$2)</f>
        <v>1686.17</v>
      </c>
    </row>
    <row r="239" customFormat="false" ht="15" hidden="false" customHeight="false" outlineLevel="0" collapsed="false">
      <c r="A239" s="12" t="n">
        <v>234</v>
      </c>
      <c r="B239" s="12" t="str">
        <f aca="false">'РПН 01.08 по МО'!B237</f>
        <v>АСТАНА</v>
      </c>
      <c r="C239" s="12" t="str">
        <f aca="false">'РПН 01.08 по МО'!C237</f>
        <v>ГКП на ПХВ "Городская поликлиника № 2" акимата города Астана</v>
      </c>
      <c r="D239" s="12" t="str">
        <f aca="false">'РПН 01.08 по МО'!E237</f>
        <v>7100</v>
      </c>
      <c r="E239" s="12" t="str">
        <f aca="false">'РПН 01.08 по МО'!F237</f>
        <v>г. Астана</v>
      </c>
      <c r="F239" s="13" t="n">
        <f aca="false">'РПН 01.08 по МО'!D237</f>
        <v>56489</v>
      </c>
      <c r="G239" s="14" t="n">
        <f aca="false">INDEX('Расчет Кплотн'!$K:$K,MATCH(D239,'Расчет Кплотн'!$A:$A,0))</f>
        <v>1</v>
      </c>
      <c r="H239" s="14" t="n">
        <f aca="false">INDEX('Расчет Кплотн'!$J:$J,MATCH(D239,'Расчет Кплотн'!$A:$A,0))</f>
        <v>1</v>
      </c>
      <c r="I239" s="3" t="n">
        <f aca="false">F239*Моделирование!$F$3*M239*G239/1000</f>
        <v>1143000.68556</v>
      </c>
      <c r="J239" s="3" t="n">
        <f aca="false">F239*Моделирование!$F$3*M239*H239/1000</f>
        <v>1143000.68556</v>
      </c>
      <c r="K239" s="3" t="n">
        <f aca="false">J239-I239</f>
        <v>0</v>
      </c>
      <c r="L239" s="4" t="n">
        <f aca="false">IFERROR(K239/I239,0)</f>
        <v>0</v>
      </c>
      <c r="M239" s="15" t="n">
        <f aca="false">IF(INDEX('Расчет Кплотн'!$D:$D,MATCH(D239,'Расчет Кплотн'!$A:$A,0))="район",IFERROR(VLOOKUP(INDEX('Расчет Кплотн'!$B:$B,MATCH(D239,'Расчет Кплотн'!$A:$A,0)),'БКПН (приказ 170)'!$A$4:$C$10,3,FALSE()),Моделирование!$F$2),Моделирование!$F$2)</f>
        <v>1686.17</v>
      </c>
    </row>
    <row r="240" customFormat="false" ht="15" hidden="false" customHeight="false" outlineLevel="0" collapsed="false">
      <c r="A240" s="12" t="n">
        <v>235</v>
      </c>
      <c r="B240" s="12" t="str">
        <f aca="false">'РПН 01.08 по МО'!B238</f>
        <v>АСТАНА</v>
      </c>
      <c r="C240" s="12" t="str">
        <f aca="false">'РПН 01.08 по МО'!C238</f>
        <v>ГКП на ПХВ "Городская поликлиника № 4" акимата города Астана</v>
      </c>
      <c r="D240" s="12" t="str">
        <f aca="false">'РПН 01.08 по МО'!E238</f>
        <v>7100</v>
      </c>
      <c r="E240" s="12" t="str">
        <f aca="false">'РПН 01.08 по МО'!F238</f>
        <v>г. Астана</v>
      </c>
      <c r="F240" s="13" t="n">
        <f aca="false">'РПН 01.08 по МО'!D238</f>
        <v>85257</v>
      </c>
      <c r="G240" s="14" t="n">
        <f aca="false">INDEX('Расчет Кплотн'!$K:$K,MATCH(D240,'Расчет Кплотн'!$A:$A,0))</f>
        <v>1</v>
      </c>
      <c r="H240" s="14" t="n">
        <f aca="false">INDEX('Расчет Кплотн'!$J:$J,MATCH(D240,'Расчет Кплотн'!$A:$A,0))</f>
        <v>1</v>
      </c>
      <c r="I240" s="3" t="n">
        <f aca="false">F240*Моделирование!$F$3*M240*G240/1000</f>
        <v>1725093.54828</v>
      </c>
      <c r="J240" s="3" t="n">
        <f aca="false">F240*Моделирование!$F$3*M240*H240/1000</f>
        <v>1725093.54828</v>
      </c>
      <c r="K240" s="3" t="n">
        <f aca="false">J240-I240</f>
        <v>0</v>
      </c>
      <c r="L240" s="4" t="n">
        <f aca="false">IFERROR(K240/I240,0)</f>
        <v>0</v>
      </c>
      <c r="M240" s="15" t="n">
        <f aca="false">IF(INDEX('Расчет Кплотн'!$D:$D,MATCH(D240,'Расчет Кплотн'!$A:$A,0))="район",IFERROR(VLOOKUP(INDEX('Расчет Кплотн'!$B:$B,MATCH(D240,'Расчет Кплотн'!$A:$A,0)),'БКПН (приказ 170)'!$A$4:$C$10,3,FALSE()),Моделирование!$F$2),Моделирование!$F$2)</f>
        <v>1686.17</v>
      </c>
    </row>
    <row r="241" customFormat="false" ht="15" hidden="false" customHeight="false" outlineLevel="0" collapsed="false">
      <c r="A241" s="12" t="n">
        <v>236</v>
      </c>
      <c r="B241" s="12" t="str">
        <f aca="false">'РПН 01.08 по МО'!B239</f>
        <v>АСТАНА</v>
      </c>
      <c r="C241" s="12" t="str">
        <f aca="false">'РПН 01.08 по МО'!C239</f>
        <v>ТОО "KOKTAL CLINIC"</v>
      </c>
      <c r="D241" s="12" t="str">
        <f aca="false">'РПН 01.08 по МО'!E239</f>
        <v>7100</v>
      </c>
      <c r="E241" s="12" t="str">
        <f aca="false">'РПН 01.08 по МО'!F239</f>
        <v>г. Астана</v>
      </c>
      <c r="F241" s="13" t="n">
        <f aca="false">'РПН 01.08 по МО'!D239</f>
        <v>18956</v>
      </c>
      <c r="G241" s="14" t="n">
        <f aca="false">INDEX('Расчет Кплотн'!$K:$K,MATCH(D241,'Расчет Кплотн'!$A:$A,0))</f>
        <v>1</v>
      </c>
      <c r="H241" s="14" t="n">
        <f aca="false">INDEX('Расчет Кплотн'!$J:$J,MATCH(D241,'Расчет Кплотн'!$A:$A,0))</f>
        <v>1</v>
      </c>
      <c r="I241" s="3" t="n">
        <f aca="false">F241*Моделирование!$F$3*M241*G241/1000</f>
        <v>383556.46224</v>
      </c>
      <c r="J241" s="3" t="n">
        <f aca="false">F241*Моделирование!$F$3*M241*H241/1000</f>
        <v>383556.46224</v>
      </c>
      <c r="K241" s="3" t="n">
        <f aca="false">J241-I241</f>
        <v>0</v>
      </c>
      <c r="L241" s="4" t="n">
        <f aca="false">IFERROR(K241/I241,0)</f>
        <v>0</v>
      </c>
      <c r="M241" s="15" t="n">
        <f aca="false">IF(INDEX('Расчет Кплотн'!$D:$D,MATCH(D241,'Расчет Кплотн'!$A:$A,0))="район",IFERROR(VLOOKUP(INDEX('Расчет Кплотн'!$B:$B,MATCH(D241,'Расчет Кплотн'!$A:$A,0)),'БКПН (приказ 170)'!$A$4:$C$10,3,FALSE()),Моделирование!$F$2),Моделирование!$F$2)</f>
        <v>1686.17</v>
      </c>
    </row>
    <row r="242" customFormat="false" ht="15" hidden="false" customHeight="false" outlineLevel="0" collapsed="false">
      <c r="A242" s="12" t="n">
        <v>237</v>
      </c>
      <c r="B242" s="12" t="str">
        <f aca="false">'РПН 01.08 по МО'!B240</f>
        <v>АСТАНА</v>
      </c>
      <c r="C242" s="12" t="str">
        <f aca="false">'РПН 01.08 по МО'!C240</f>
        <v>ГКП на ПХВ "Городская поликлиника № 8" акимата города Астана</v>
      </c>
      <c r="D242" s="12" t="str">
        <f aca="false">'РПН 01.08 по МО'!E240</f>
        <v>7100</v>
      </c>
      <c r="E242" s="12" t="str">
        <f aca="false">'РПН 01.08 по МО'!F240</f>
        <v>г. Астана</v>
      </c>
      <c r="F242" s="13" t="n">
        <f aca="false">'РПН 01.08 по МО'!D240</f>
        <v>81698</v>
      </c>
      <c r="G242" s="14" t="n">
        <f aca="false">INDEX('Расчет Кплотн'!$K:$K,MATCH(D242,'Расчет Кплотн'!$A:$A,0))</f>
        <v>1</v>
      </c>
      <c r="H242" s="14" t="n">
        <f aca="false">INDEX('Расчет Кплотн'!$J:$J,MATCH(D242,'Расчет Кплотн'!$A:$A,0))</f>
        <v>1</v>
      </c>
      <c r="I242" s="3" t="n">
        <f aca="false">F242*Моделирование!$F$3*M242*G242/1000</f>
        <v>1653080.59992</v>
      </c>
      <c r="J242" s="3" t="n">
        <f aca="false">F242*Моделирование!$F$3*M242*H242/1000</f>
        <v>1653080.59992</v>
      </c>
      <c r="K242" s="3" t="n">
        <f aca="false">J242-I242</f>
        <v>0</v>
      </c>
      <c r="L242" s="4" t="n">
        <f aca="false">IFERROR(K242/I242,0)</f>
        <v>0</v>
      </c>
      <c r="M242" s="15" t="n">
        <f aca="false">IF(INDEX('Расчет Кплотн'!$D:$D,MATCH(D242,'Расчет Кплотн'!$A:$A,0))="район",IFERROR(VLOOKUP(INDEX('Расчет Кплотн'!$B:$B,MATCH(D242,'Расчет Кплотн'!$A:$A,0)),'БКПН (приказ 170)'!$A$4:$C$10,3,FALSE()),Моделирование!$F$2),Моделирование!$F$2)</f>
        <v>1686.17</v>
      </c>
    </row>
    <row r="243" customFormat="false" ht="15" hidden="false" customHeight="false" outlineLevel="0" collapsed="false">
      <c r="A243" s="12" t="n">
        <v>238</v>
      </c>
      <c r="B243" s="12" t="str">
        <f aca="false">'РПН 01.08 по МО'!B241</f>
        <v>АСТАНА</v>
      </c>
      <c r="C243" s="12" t="str">
        <f aca="false">'РПН 01.08 по МО'!C241</f>
        <v>ГКП на ПХВ "Городская поликлиника № 9" акимата города Астана</v>
      </c>
      <c r="D243" s="12" t="str">
        <f aca="false">'РПН 01.08 по МО'!E241</f>
        <v>7100</v>
      </c>
      <c r="E243" s="12" t="str">
        <f aca="false">'РПН 01.08 по МО'!F241</f>
        <v>г. Астана</v>
      </c>
      <c r="F243" s="13" t="n">
        <f aca="false">'РПН 01.08 по МО'!D241</f>
        <v>100108</v>
      </c>
      <c r="G243" s="14" t="n">
        <f aca="false">INDEX('Расчет Кплотн'!$K:$K,MATCH(D243,'Расчет Кплотн'!$A:$A,0))</f>
        <v>1</v>
      </c>
      <c r="H243" s="14" t="n">
        <f aca="false">INDEX('Расчет Кплотн'!$J:$J,MATCH(D243,'Расчет Кплотн'!$A:$A,0))</f>
        <v>1</v>
      </c>
      <c r="I243" s="3" t="n">
        <f aca="false">F243*Моделирование!$F$3*M243*G243/1000</f>
        <v>2025589.27632</v>
      </c>
      <c r="J243" s="3" t="n">
        <f aca="false">F243*Моделирование!$F$3*M243*H243/1000</f>
        <v>2025589.27632</v>
      </c>
      <c r="K243" s="3" t="n">
        <f aca="false">J243-I243</f>
        <v>0</v>
      </c>
      <c r="L243" s="4" t="n">
        <f aca="false">IFERROR(K243/I243,0)</f>
        <v>0</v>
      </c>
      <c r="M243" s="15" t="n">
        <f aca="false">IF(INDEX('Расчет Кплотн'!$D:$D,MATCH(D243,'Расчет Кплотн'!$A:$A,0))="район",IFERROR(VLOOKUP(INDEX('Расчет Кплотн'!$B:$B,MATCH(D243,'Расчет Кплотн'!$A:$A,0)),'БКПН (приказ 170)'!$A$4:$C$10,3,FALSE()),Моделирование!$F$2),Моделирование!$F$2)</f>
        <v>1686.17</v>
      </c>
    </row>
    <row r="244" customFormat="false" ht="15" hidden="false" customHeight="false" outlineLevel="0" collapsed="false">
      <c r="A244" s="12" t="n">
        <v>239</v>
      </c>
      <c r="B244" s="12" t="str">
        <f aca="false">'РПН 01.08 по МО'!B242</f>
        <v>АСТАНА</v>
      </c>
      <c r="C244" s="12" t="str">
        <f aca="false">'РПН 01.08 по МО'!C242</f>
        <v>ГКП на ПХВ "Городская поликлиника №11" акимата города Астаны</v>
      </c>
      <c r="D244" s="12" t="str">
        <f aca="false">'РПН 01.08 по МО'!E242</f>
        <v>7100</v>
      </c>
      <c r="E244" s="12" t="str">
        <f aca="false">'РПН 01.08 по МО'!F242</f>
        <v>г. Астана</v>
      </c>
      <c r="F244" s="13" t="n">
        <f aca="false">'РПН 01.08 по МО'!D242</f>
        <v>39136</v>
      </c>
      <c r="G244" s="14" t="n">
        <f aca="false">INDEX('Расчет Кплотн'!$K:$K,MATCH(D244,'Расчет Кплотн'!$A:$A,0))</f>
        <v>1</v>
      </c>
      <c r="H244" s="14" t="n">
        <f aca="false">INDEX('Расчет Кплотн'!$J:$J,MATCH(D244,'Расчет Кплотн'!$A:$A,0))</f>
        <v>1</v>
      </c>
      <c r="I244" s="3" t="n">
        <f aca="false">F244*Моделирование!$F$3*M244*G244/1000</f>
        <v>791879.38944</v>
      </c>
      <c r="J244" s="3" t="n">
        <f aca="false">F244*Моделирование!$F$3*M244*H244/1000</f>
        <v>791879.38944</v>
      </c>
      <c r="K244" s="3" t="n">
        <f aca="false">J244-I244</f>
        <v>0</v>
      </c>
      <c r="L244" s="4" t="n">
        <f aca="false">IFERROR(K244/I244,0)</f>
        <v>0</v>
      </c>
      <c r="M244" s="15" t="n">
        <f aca="false">IF(INDEX('Расчет Кплотн'!$D:$D,MATCH(D244,'Расчет Кплотн'!$A:$A,0))="район",IFERROR(VLOOKUP(INDEX('Расчет Кплотн'!$B:$B,MATCH(D244,'Расчет Кплотн'!$A:$A,0)),'БКПН (приказ 170)'!$A$4:$C$10,3,FALSE()),Моделирование!$F$2),Моделирование!$F$2)</f>
        <v>1686.17</v>
      </c>
    </row>
    <row r="245" customFormat="false" ht="15" hidden="false" customHeight="false" outlineLevel="0" collapsed="false">
      <c r="A245" s="12" t="n">
        <v>240</v>
      </c>
      <c r="B245" s="12" t="str">
        <f aca="false">'РПН 01.08 по МО'!B243</f>
        <v>АСТАНА</v>
      </c>
      <c r="C245" s="12" t="str">
        <f aca="false">'РПН 01.08 по МО'!C243</f>
        <v>ГКП на ПХВ "Городская поликлиника № 5" акимата города Астаны</v>
      </c>
      <c r="D245" s="12" t="str">
        <f aca="false">'РПН 01.08 по МО'!E243</f>
        <v>7100</v>
      </c>
      <c r="E245" s="12" t="str">
        <f aca="false">'РПН 01.08 по МО'!F243</f>
        <v>г. Астана</v>
      </c>
      <c r="F245" s="13" t="n">
        <f aca="false">'РПН 01.08 по МО'!D243</f>
        <v>55327</v>
      </c>
      <c r="G245" s="14" t="n">
        <f aca="false">INDEX('Расчет Кплотн'!$K:$K,MATCH(D245,'Расчет Кплотн'!$A:$A,0))</f>
        <v>1</v>
      </c>
      <c r="H245" s="14" t="n">
        <f aca="false">INDEX('Расчет Кплотн'!$J:$J,MATCH(D245,'Расчет Кплотн'!$A:$A,0))</f>
        <v>1</v>
      </c>
      <c r="I245" s="3" t="n">
        <f aca="false">F245*Моделирование!$F$3*M245*G245/1000</f>
        <v>1119488.73108</v>
      </c>
      <c r="J245" s="3" t="n">
        <f aca="false">F245*Моделирование!$F$3*M245*H245/1000</f>
        <v>1119488.73108</v>
      </c>
      <c r="K245" s="3" t="n">
        <f aca="false">J245-I245</f>
        <v>0</v>
      </c>
      <c r="L245" s="4" t="n">
        <f aca="false">IFERROR(K245/I245,0)</f>
        <v>0</v>
      </c>
      <c r="M245" s="15" t="n">
        <f aca="false">IF(INDEX('Расчет Кплотн'!$D:$D,MATCH(D245,'Расчет Кплотн'!$A:$A,0))="район",IFERROR(VLOOKUP(INDEX('Расчет Кплотн'!$B:$B,MATCH(D245,'Расчет Кплотн'!$A:$A,0)),'БКПН (приказ 170)'!$A$4:$C$10,3,FALSE()),Моделирование!$F$2),Моделирование!$F$2)</f>
        <v>1686.17</v>
      </c>
    </row>
    <row r="246" customFormat="false" ht="15" hidden="false" customHeight="false" outlineLevel="0" collapsed="false">
      <c r="A246" s="12" t="n">
        <v>241</v>
      </c>
      <c r="B246" s="12" t="str">
        <f aca="false">'РПН 01.08 по МО'!B244</f>
        <v>АСТАНА</v>
      </c>
      <c r="C246" s="12" t="str">
        <f aca="false">'РПН 01.08 по МО'!C244</f>
        <v>ГКП на ПХВ "Городская поликлиника №6" акимата города Астаны</v>
      </c>
      <c r="D246" s="12" t="str">
        <f aca="false">'РПН 01.08 по МО'!E244</f>
        <v>7100</v>
      </c>
      <c r="E246" s="12" t="str">
        <f aca="false">'РПН 01.08 по МО'!F244</f>
        <v>г. Астана</v>
      </c>
      <c r="F246" s="13" t="n">
        <f aca="false">'РПН 01.08 по МО'!D244</f>
        <v>98015</v>
      </c>
      <c r="G246" s="14" t="n">
        <f aca="false">INDEX('Расчет Кплотн'!$K:$K,MATCH(D246,'Расчет Кплотн'!$A:$A,0))</f>
        <v>1</v>
      </c>
      <c r="H246" s="14" t="n">
        <f aca="false">INDEX('Расчет Кплотн'!$J:$J,MATCH(D246,'Расчет Кплотн'!$A:$A,0))</f>
        <v>1</v>
      </c>
      <c r="I246" s="3" t="n">
        <f aca="false">F246*Моделирование!$F$3*M246*G246/1000</f>
        <v>1983239.4306</v>
      </c>
      <c r="J246" s="3" t="n">
        <f aca="false">F246*Моделирование!$F$3*M246*H246/1000</f>
        <v>1983239.4306</v>
      </c>
      <c r="K246" s="3" t="n">
        <f aca="false">J246-I246</f>
        <v>0</v>
      </c>
      <c r="L246" s="4" t="n">
        <f aca="false">IFERROR(K246/I246,0)</f>
        <v>0</v>
      </c>
      <c r="M246" s="15" t="n">
        <f aca="false">IF(INDEX('Расчет Кплотн'!$D:$D,MATCH(D246,'Расчет Кплотн'!$A:$A,0))="район",IFERROR(VLOOKUP(INDEX('Расчет Кплотн'!$B:$B,MATCH(D246,'Расчет Кплотн'!$A:$A,0)),'БКПН (приказ 170)'!$A$4:$C$10,3,FALSE()),Моделирование!$F$2),Моделирование!$F$2)</f>
        <v>1686.17</v>
      </c>
    </row>
    <row r="247" customFormat="false" ht="15" hidden="false" customHeight="false" outlineLevel="0" collapsed="false">
      <c r="A247" s="12" t="n">
        <v>242</v>
      </c>
      <c r="B247" s="12" t="str">
        <f aca="false">'РПН 01.08 по МО'!B245</f>
        <v>АСТАНА</v>
      </c>
      <c r="C247" s="12" t="str">
        <f aca="false">'РПН 01.08 по МО'!C245</f>
        <v>ГКП на ПХВ "Городская поликлиника №12" акимата города Астаны</v>
      </c>
      <c r="D247" s="12" t="str">
        <f aca="false">'РПН 01.08 по МО'!E245</f>
        <v>7100</v>
      </c>
      <c r="E247" s="12" t="str">
        <f aca="false">'РПН 01.08 по МО'!F245</f>
        <v>г. Астана</v>
      </c>
      <c r="F247" s="13" t="n">
        <f aca="false">'РПН 01.08 по МО'!D245</f>
        <v>36231</v>
      </c>
      <c r="G247" s="14" t="n">
        <f aca="false">INDEX('Расчет Кплотн'!$K:$K,MATCH(D247,'Расчет Кплотн'!$A:$A,0))</f>
        <v>1</v>
      </c>
      <c r="H247" s="14" t="n">
        <f aca="false">INDEX('Расчет Кплотн'!$J:$J,MATCH(D247,'Расчет Кплотн'!$A:$A,0))</f>
        <v>1</v>
      </c>
      <c r="I247" s="3" t="n">
        <f aca="false">F247*Моделирование!$F$3*M247*G247/1000</f>
        <v>733099.50324</v>
      </c>
      <c r="J247" s="3" t="n">
        <f aca="false">F247*Моделирование!$F$3*M247*H247/1000</f>
        <v>733099.50324</v>
      </c>
      <c r="K247" s="3" t="n">
        <f aca="false">J247-I247</f>
        <v>0</v>
      </c>
      <c r="L247" s="4" t="n">
        <f aca="false">IFERROR(K247/I247,0)</f>
        <v>0</v>
      </c>
      <c r="M247" s="15" t="n">
        <f aca="false">IF(INDEX('Расчет Кплотн'!$D:$D,MATCH(D247,'Расчет Кплотн'!$A:$A,0))="район",IFERROR(VLOOKUP(INDEX('Расчет Кплотн'!$B:$B,MATCH(D247,'Расчет Кплотн'!$A:$A,0)),'БКПН (приказ 170)'!$A$4:$C$10,3,FALSE()),Моделирование!$F$2),Моделирование!$F$2)</f>
        <v>1686.17</v>
      </c>
    </row>
    <row r="248" customFormat="false" ht="15" hidden="false" customHeight="false" outlineLevel="0" collapsed="false">
      <c r="A248" s="12" t="n">
        <v>243</v>
      </c>
      <c r="B248" s="12" t="str">
        <f aca="false">'РПН 01.08 по МО'!B246</f>
        <v>АСТАНА</v>
      </c>
      <c r="C248" s="12" t="str">
        <f aca="false">'РПН 01.08 по МО'!C246</f>
        <v>ТОО "Biolab Pharm" Premier Med Clinic"</v>
      </c>
      <c r="D248" s="12" t="str">
        <f aca="false">'РПН 01.08 по МО'!E246</f>
        <v>7100</v>
      </c>
      <c r="E248" s="12" t="str">
        <f aca="false">'РПН 01.08 по МО'!F246</f>
        <v>г. Астана</v>
      </c>
      <c r="F248" s="13" t="n">
        <f aca="false">'РПН 01.08 по МО'!D246</f>
        <v>10073</v>
      </c>
      <c r="G248" s="14" t="n">
        <f aca="false">INDEX('Расчет Кплотн'!$K:$K,MATCH(D248,'Расчет Кплотн'!$A:$A,0))</f>
        <v>1</v>
      </c>
      <c r="H248" s="14" t="n">
        <f aca="false">INDEX('Расчет Кплотн'!$J:$J,MATCH(D248,'Расчет Кплотн'!$A:$A,0))</f>
        <v>1</v>
      </c>
      <c r="I248" s="3" t="n">
        <f aca="false">F248*Моделирование!$F$3*M248*G248/1000</f>
        <v>203817.48492</v>
      </c>
      <c r="J248" s="3" t="n">
        <f aca="false">F248*Моделирование!$F$3*M248*H248/1000</f>
        <v>203817.48492</v>
      </c>
      <c r="K248" s="3" t="n">
        <f aca="false">J248-I248</f>
        <v>0</v>
      </c>
      <c r="L248" s="4" t="n">
        <f aca="false">IFERROR(K248/I248,0)</f>
        <v>0</v>
      </c>
      <c r="M248" s="15" t="n">
        <f aca="false">IF(INDEX('Расчет Кплотн'!$D:$D,MATCH(D248,'Расчет Кплотн'!$A:$A,0))="район",IFERROR(VLOOKUP(INDEX('Расчет Кплотн'!$B:$B,MATCH(D248,'Расчет Кплотн'!$A:$A,0)),'БКПН (приказ 170)'!$A$4:$C$10,3,FALSE()),Моделирование!$F$2),Моделирование!$F$2)</f>
        <v>1686.17</v>
      </c>
    </row>
    <row r="249" customFormat="false" ht="15" hidden="false" customHeight="false" outlineLevel="0" collapsed="false">
      <c r="A249" s="12" t="n">
        <v>244</v>
      </c>
      <c r="B249" s="12" t="str">
        <f aca="false">'РПН 01.08 по МО'!B247</f>
        <v>АСТАНА</v>
      </c>
      <c r="C249" s="12" t="str">
        <f aca="false">'РПН 01.08 по МО'!C247</f>
        <v>ТОО "Astana Clinic"</v>
      </c>
      <c r="D249" s="12" t="str">
        <f aca="false">'РПН 01.08 по МО'!E247</f>
        <v>7100</v>
      </c>
      <c r="E249" s="12" t="str">
        <f aca="false">'РПН 01.08 по МО'!F247</f>
        <v>г. Астана</v>
      </c>
      <c r="F249" s="13" t="n">
        <f aca="false">'РПН 01.08 по МО'!D247</f>
        <v>51186</v>
      </c>
      <c r="G249" s="14" t="n">
        <f aca="false">INDEX('Расчет Кплотн'!$K:$K,MATCH(D249,'Расчет Кплотн'!$A:$A,0))</f>
        <v>1</v>
      </c>
      <c r="H249" s="14" t="n">
        <f aca="false">INDEX('Расчет Кплотн'!$J:$J,MATCH(D249,'Расчет Кплотн'!$A:$A,0))</f>
        <v>1</v>
      </c>
      <c r="I249" s="3" t="n">
        <f aca="false">F249*Моделирование!$F$3*M249*G249/1000</f>
        <v>1035699.57144</v>
      </c>
      <c r="J249" s="3" t="n">
        <f aca="false">F249*Моделирование!$F$3*M249*H249/1000</f>
        <v>1035699.57144</v>
      </c>
      <c r="K249" s="3" t="n">
        <f aca="false">J249-I249</f>
        <v>0</v>
      </c>
      <c r="L249" s="4" t="n">
        <f aca="false">IFERROR(K249/I249,0)</f>
        <v>0</v>
      </c>
      <c r="M249" s="15" t="n">
        <f aca="false">IF(INDEX('Расчет Кплотн'!$D:$D,MATCH(D249,'Расчет Кплотн'!$A:$A,0))="район",IFERROR(VLOOKUP(INDEX('Расчет Кплотн'!$B:$B,MATCH(D249,'Расчет Кплотн'!$A:$A,0)),'БКПН (приказ 170)'!$A$4:$C$10,3,FALSE()),Моделирование!$F$2),Моделирование!$F$2)</f>
        <v>1686.17</v>
      </c>
    </row>
    <row r="250" customFormat="false" ht="15" hidden="false" customHeight="false" outlineLevel="0" collapsed="false">
      <c r="A250" s="12" t="n">
        <v>245</v>
      </c>
      <c r="B250" s="12" t="str">
        <f aca="false">'РПН 01.08 по МО'!B248</f>
        <v>АСТАНА</v>
      </c>
      <c r="C250" s="12" t="str">
        <f aca="false">'РПН 01.08 по МО'!C248</f>
        <v>Негосударственное учреждение семейная врачебная амбулатория "ИНТЕРТИЧ" города Астана</v>
      </c>
      <c r="D250" s="12" t="str">
        <f aca="false">'РПН 01.08 по МО'!E248</f>
        <v>7100</v>
      </c>
      <c r="E250" s="12" t="str">
        <f aca="false">'РПН 01.08 по МО'!F248</f>
        <v>г. Астана</v>
      </c>
      <c r="F250" s="13" t="n">
        <f aca="false">'РПН 01.08 по МО'!D248</f>
        <v>4375</v>
      </c>
      <c r="G250" s="14" t="n">
        <f aca="false">INDEX('Расчет Кплотн'!$K:$K,MATCH(D250,'Расчет Кплотн'!$A:$A,0))</f>
        <v>1</v>
      </c>
      <c r="H250" s="14" t="n">
        <f aca="false">INDEX('Расчет Кплотн'!$J:$J,MATCH(D250,'Расчет Кплотн'!$A:$A,0))</f>
        <v>1</v>
      </c>
      <c r="I250" s="3" t="n">
        <f aca="false">F250*Моделирование!$F$3*M250*G250/1000</f>
        <v>88523.925</v>
      </c>
      <c r="J250" s="3" t="n">
        <f aca="false">F250*Моделирование!$F$3*M250*H250/1000</f>
        <v>88523.925</v>
      </c>
      <c r="K250" s="3" t="n">
        <f aca="false">J250-I250</f>
        <v>0</v>
      </c>
      <c r="L250" s="4" t="n">
        <f aca="false">IFERROR(K250/I250,0)</f>
        <v>0</v>
      </c>
      <c r="M250" s="15" t="n">
        <f aca="false">IF(INDEX('Расчет Кплотн'!$D:$D,MATCH(D250,'Расчет Кплотн'!$A:$A,0))="район",IFERROR(VLOOKUP(INDEX('Расчет Кплотн'!$B:$B,MATCH(D250,'Расчет Кплотн'!$A:$A,0)),'БКПН (приказ 170)'!$A$4:$C$10,3,FALSE()),Моделирование!$F$2),Моделирование!$F$2)</f>
        <v>1686.17</v>
      </c>
    </row>
    <row r="251" customFormat="false" ht="15" hidden="false" customHeight="false" outlineLevel="0" collapsed="false">
      <c r="A251" s="12" t="n">
        <v>246</v>
      </c>
      <c r="B251" s="12" t="str">
        <f aca="false">'РПН 01.08 по МО'!B249</f>
        <v>АСТАНА</v>
      </c>
      <c r="C251" s="12" t="str">
        <f aca="false">'РПН 01.08 по МО'!C249</f>
        <v>ГКП на ПХВ "Городская поликлиника № 7" акимата города Астана</v>
      </c>
      <c r="D251" s="12" t="str">
        <f aca="false">'РПН 01.08 по МО'!E249</f>
        <v>7100</v>
      </c>
      <c r="E251" s="12" t="str">
        <f aca="false">'РПН 01.08 по МО'!F249</f>
        <v>г. Астана</v>
      </c>
      <c r="F251" s="13" t="n">
        <f aca="false">'РПН 01.08 по МО'!D249</f>
        <v>82491</v>
      </c>
      <c r="G251" s="14" t="n">
        <f aca="false">INDEX('Расчет Кплотн'!$K:$K,MATCH(D251,'Расчет Кплотн'!$A:$A,0))</f>
        <v>1</v>
      </c>
      <c r="H251" s="14" t="n">
        <f aca="false">INDEX('Расчет Кплотн'!$J:$J,MATCH(D251,'Расчет Кплотн'!$A:$A,0))</f>
        <v>1</v>
      </c>
      <c r="I251" s="3" t="n">
        <f aca="false">F251*Моделирование!$F$3*M251*G251/1000</f>
        <v>1669126.19364</v>
      </c>
      <c r="J251" s="3" t="n">
        <f aca="false">F251*Моделирование!$F$3*M251*H251/1000</f>
        <v>1669126.19364</v>
      </c>
      <c r="K251" s="3" t="n">
        <f aca="false">J251-I251</f>
        <v>0</v>
      </c>
      <c r="L251" s="4" t="n">
        <f aca="false">IFERROR(K251/I251,0)</f>
        <v>0</v>
      </c>
      <c r="M251" s="15" t="n">
        <f aca="false">IF(INDEX('Расчет Кплотн'!$D:$D,MATCH(D251,'Расчет Кплотн'!$A:$A,0))="район",IFERROR(VLOOKUP(INDEX('Расчет Кплотн'!$B:$B,MATCH(D251,'Расчет Кплотн'!$A:$A,0)),'БКПН (приказ 170)'!$A$4:$C$10,3,FALSE()),Моделирование!$F$2),Моделирование!$F$2)</f>
        <v>1686.17</v>
      </c>
    </row>
    <row r="252" customFormat="false" ht="15" hidden="false" customHeight="false" outlineLevel="0" collapsed="false">
      <c r="A252" s="12" t="n">
        <v>247</v>
      </c>
      <c r="B252" s="12" t="str">
        <f aca="false">'РПН 01.08 по МО'!B250</f>
        <v>АСТАНА</v>
      </c>
      <c r="C252" s="12" t="str">
        <f aca="false">'РПН 01.08 по МО'!C250</f>
        <v>ГУ "Центральный госпиталь с поликлиникой Министерства внутренних дел Республики Казахстан"</v>
      </c>
      <c r="D252" s="12" t="str">
        <f aca="false">'РПН 01.08 по МО'!E250</f>
        <v>7100</v>
      </c>
      <c r="E252" s="12" t="str">
        <f aca="false">'РПН 01.08 по МО'!F250</f>
        <v>г. Астана</v>
      </c>
      <c r="F252" s="13" t="n">
        <f aca="false">'РПН 01.08 по МО'!D250</f>
        <v>4424</v>
      </c>
      <c r="G252" s="14" t="n">
        <f aca="false">INDEX('Расчет Кплотн'!$K:$K,MATCH(D252,'Расчет Кплотн'!$A:$A,0))</f>
        <v>1</v>
      </c>
      <c r="H252" s="14" t="n">
        <f aca="false">INDEX('Расчет Кплотн'!$J:$J,MATCH(D252,'Расчет Кплотн'!$A:$A,0))</f>
        <v>1</v>
      </c>
      <c r="I252" s="3" t="n">
        <f aca="false">F252*Моделирование!$F$3*M252*G252/1000</f>
        <v>89515.39296</v>
      </c>
      <c r="J252" s="3" t="n">
        <f aca="false">F252*Моделирование!$F$3*M252*H252/1000</f>
        <v>89515.39296</v>
      </c>
      <c r="K252" s="3" t="n">
        <f aca="false">J252-I252</f>
        <v>0</v>
      </c>
      <c r="L252" s="4" t="n">
        <f aca="false">IFERROR(K252/I252,0)</f>
        <v>0</v>
      </c>
      <c r="M252" s="15" t="n">
        <f aca="false">IF(INDEX('Расчет Кплотн'!$D:$D,MATCH(D252,'Расчет Кплотн'!$A:$A,0))="район",IFERROR(VLOOKUP(INDEX('Расчет Кплотн'!$B:$B,MATCH(D252,'Расчет Кплотн'!$A:$A,0)),'БКПН (приказ 170)'!$A$4:$C$10,3,FALSE()),Моделирование!$F$2),Моделирование!$F$2)</f>
        <v>1686.17</v>
      </c>
    </row>
    <row r="253" customFormat="false" ht="15" hidden="false" customHeight="false" outlineLevel="0" collapsed="false">
      <c r="A253" s="12" t="n">
        <v>248</v>
      </c>
      <c r="B253" s="12" t="str">
        <f aca="false">'РПН 01.08 по МО'!B251</f>
        <v>АСТАНА</v>
      </c>
      <c r="C253" s="12" t="str">
        <f aca="false">'РПН 01.08 по МО'!C251</f>
        <v>Государственное коммунальное предприятие на праве хозяйственного ведения "Городская поликлиника № 3" акимата города Астаны</v>
      </c>
      <c r="D253" s="12" t="str">
        <f aca="false">'РПН 01.08 по МО'!E251</f>
        <v>7100</v>
      </c>
      <c r="E253" s="12" t="str">
        <f aca="false">'РПН 01.08 по МО'!F251</f>
        <v>г. Астана</v>
      </c>
      <c r="F253" s="13" t="n">
        <f aca="false">'РПН 01.08 по МО'!D251</f>
        <v>29929</v>
      </c>
      <c r="G253" s="14" t="n">
        <f aca="false">INDEX('Расчет Кплотн'!$K:$K,MATCH(D253,'Расчет Кплотн'!$A:$A,0))</f>
        <v>1</v>
      </c>
      <c r="H253" s="14" t="n">
        <f aca="false">INDEX('Расчет Кплотн'!$J:$J,MATCH(D253,'Расчет Кплотн'!$A:$A,0))</f>
        <v>1</v>
      </c>
      <c r="I253" s="3" t="n">
        <f aca="false">F253*Моделирование!$F$3*M253*G253/1000</f>
        <v>605584.58316</v>
      </c>
      <c r="J253" s="3" t="n">
        <f aca="false">F253*Моделирование!$F$3*M253*H253/1000</f>
        <v>605584.58316</v>
      </c>
      <c r="K253" s="3" t="n">
        <f aca="false">J253-I253</f>
        <v>0</v>
      </c>
      <c r="L253" s="4" t="n">
        <f aca="false">IFERROR(K253/I253,0)</f>
        <v>0</v>
      </c>
      <c r="M253" s="15" t="n">
        <f aca="false">IF(INDEX('Расчет Кплотн'!$D:$D,MATCH(D253,'Расчет Кплотн'!$A:$A,0))="район",IFERROR(VLOOKUP(INDEX('Расчет Кплотн'!$B:$B,MATCH(D253,'Расчет Кплотн'!$A:$A,0)),'БКПН (приказ 170)'!$A$4:$C$10,3,FALSE()),Моделирование!$F$2),Моделирование!$F$2)</f>
        <v>1686.17</v>
      </c>
    </row>
    <row r="254" customFormat="false" ht="15" hidden="false" customHeight="false" outlineLevel="0" collapsed="false">
      <c r="A254" s="12" t="n">
        <v>249</v>
      </c>
      <c r="B254" s="12" t="str">
        <f aca="false">'РПН 01.08 по МО'!B252</f>
        <v>АСТАНА</v>
      </c>
      <c r="C254" s="12" t="str">
        <f aca="false">'РПН 01.08 по МО'!C252</f>
        <v>ГКП на ПХВ «Городская поликлиника № 14» акимата города Астаны</v>
      </c>
      <c r="D254" s="12" t="str">
        <f aca="false">'РПН 01.08 по МО'!E252</f>
        <v>7100</v>
      </c>
      <c r="E254" s="12" t="str">
        <f aca="false">'РПН 01.08 по МО'!F252</f>
        <v>г. Астана</v>
      </c>
      <c r="F254" s="13" t="n">
        <f aca="false">'РПН 01.08 по МО'!D252</f>
        <v>29993</v>
      </c>
      <c r="G254" s="14" t="n">
        <f aca="false">INDEX('Расчет Кплотн'!$K:$K,MATCH(D254,'Расчет Кплотн'!$A:$A,0))</f>
        <v>1</v>
      </c>
      <c r="H254" s="14" t="n">
        <f aca="false">INDEX('Расчет Кплотн'!$J:$J,MATCH(D254,'Расчет Кплотн'!$A:$A,0))</f>
        <v>1</v>
      </c>
      <c r="I254" s="3" t="n">
        <f aca="false">F254*Моделирование!$F$3*M254*G254/1000</f>
        <v>606879.56172</v>
      </c>
      <c r="J254" s="3" t="n">
        <f aca="false">F254*Моделирование!$F$3*M254*H254/1000</f>
        <v>606879.56172</v>
      </c>
      <c r="K254" s="3" t="n">
        <f aca="false">J254-I254</f>
        <v>0</v>
      </c>
      <c r="L254" s="4" t="n">
        <f aca="false">IFERROR(K254/I254,0)</f>
        <v>0</v>
      </c>
      <c r="M254" s="15" t="n">
        <f aca="false">IF(INDEX('Расчет Кплотн'!$D:$D,MATCH(D254,'Расчет Кплотн'!$A:$A,0))="район",IFERROR(VLOOKUP(INDEX('Расчет Кплотн'!$B:$B,MATCH(D254,'Расчет Кплотн'!$A:$A,0)),'БКПН (приказ 170)'!$A$4:$C$10,3,FALSE()),Моделирование!$F$2),Моделирование!$F$2)</f>
        <v>1686.17</v>
      </c>
    </row>
    <row r="255" customFormat="false" ht="15" hidden="false" customHeight="false" outlineLevel="0" collapsed="false">
      <c r="A255" s="12" t="n">
        <v>250</v>
      </c>
      <c r="B255" s="12" t="str">
        <f aca="false">'РПН 01.08 по МО'!B253</f>
        <v>АСТАНА</v>
      </c>
      <c r="C255" s="12" t="str">
        <f aca="false">'РПН 01.08 по МО'!C253</f>
        <v>КФ "UMC"</v>
      </c>
      <c r="D255" s="12" t="str">
        <f aca="false">'РПН 01.08 по МО'!E253</f>
        <v>7100</v>
      </c>
      <c r="E255" s="12" t="str">
        <f aca="false">'РПН 01.08 по МО'!F253</f>
        <v>г. Астана</v>
      </c>
      <c r="F255" s="13" t="n">
        <f aca="false">'РПН 01.08 по МО'!D253</f>
        <v>12182</v>
      </c>
      <c r="G255" s="14" t="n">
        <f aca="false">INDEX('Расчет Кплотн'!$K:$K,MATCH(D255,'Расчет Кплотн'!$A:$A,0))</f>
        <v>1</v>
      </c>
      <c r="H255" s="14" t="n">
        <f aca="false">INDEX('Расчет Кплотн'!$J:$J,MATCH(D255,'Расчет Кплотн'!$A:$A,0))</f>
        <v>1</v>
      </c>
      <c r="I255" s="3" t="n">
        <f aca="false">F255*Моделирование!$F$3*M255*G255/1000</f>
        <v>246491.07528</v>
      </c>
      <c r="J255" s="3" t="n">
        <f aca="false">F255*Моделирование!$F$3*M255*H255/1000</f>
        <v>246491.07528</v>
      </c>
      <c r="K255" s="3" t="n">
        <f aca="false">J255-I255</f>
        <v>0</v>
      </c>
      <c r="L255" s="4" t="n">
        <f aca="false">IFERROR(K255/I255,0)</f>
        <v>0</v>
      </c>
      <c r="M255" s="15" t="n">
        <f aca="false">IF(INDEX('Расчет Кплотн'!$D:$D,MATCH(D255,'Расчет Кплотн'!$A:$A,0))="район",IFERROR(VLOOKUP(INDEX('Расчет Кплотн'!$B:$B,MATCH(D255,'Расчет Кплотн'!$A:$A,0)),'БКПН (приказ 170)'!$A$4:$C$10,3,FALSE()),Моделирование!$F$2),Моделирование!$F$2)</f>
        <v>1686.17</v>
      </c>
    </row>
    <row r="256" customFormat="false" ht="15" hidden="false" customHeight="false" outlineLevel="0" collapsed="false">
      <c r="A256" s="12" t="n">
        <v>251</v>
      </c>
      <c r="B256" s="12" t="str">
        <f aca="false">'РПН 01.08 по МО'!B254</f>
        <v>АТЫРАУСКАЯ</v>
      </c>
      <c r="C256" s="12" t="str">
        <f aca="false">'РПН 01.08 по МО'!C254</f>
        <v>Коммунальное государственное предприятие на праве хозяйственного ведения "Атырауская городская поликлиника №7" Управления здравоохранения Атырауской области</v>
      </c>
      <c r="D256" s="12" t="str">
        <f aca="false">'РПН 01.08 по МО'!E254</f>
        <v>2310</v>
      </c>
      <c r="E256" s="12" t="str">
        <f aca="false">'РПН 01.08 по МО'!F254</f>
        <v>Атырау</v>
      </c>
      <c r="F256" s="13" t="n">
        <f aca="false">'РПН 01.08 по МО'!D254</f>
        <v>37465</v>
      </c>
      <c r="G256" s="14" t="n">
        <f aca="false">INDEX('Расчет Кплотн'!$K:$K,MATCH(D256,'Расчет Кплотн'!$A:$A,0))</f>
        <v>1</v>
      </c>
      <c r="H256" s="14" t="n">
        <f aca="false">INDEX('Расчет Кплотн'!$J:$J,MATCH(D256,'Расчет Кплотн'!$A:$A,0))</f>
        <v>1</v>
      </c>
      <c r="I256" s="3" t="n">
        <f aca="false">F256*Моделирование!$F$3*M256*G256/1000</f>
        <v>758068.3086</v>
      </c>
      <c r="J256" s="3" t="n">
        <f aca="false">F256*Моделирование!$F$3*M256*H256/1000</f>
        <v>758068.3086</v>
      </c>
      <c r="K256" s="3" t="n">
        <f aca="false">J256-I256</f>
        <v>0</v>
      </c>
      <c r="L256" s="4" t="n">
        <f aca="false">IFERROR(K256/I256,0)</f>
        <v>0</v>
      </c>
      <c r="M256" s="15" t="n">
        <f aca="false">IF(INDEX('Расчет Кплотн'!$D:$D,MATCH(D256,'Расчет Кплотн'!$A:$A,0))="район",IFERROR(VLOOKUP(INDEX('Расчет Кплотн'!$B:$B,MATCH(D256,'Расчет Кплотн'!$A:$A,0)),'БКПН (приказ 170)'!$A$4:$C$10,3,FALSE()),Моделирование!$F$2),Моделирование!$F$2)</f>
        <v>1686.17</v>
      </c>
    </row>
    <row r="257" customFormat="false" ht="15" hidden="false" customHeight="false" outlineLevel="0" collapsed="false">
      <c r="A257" s="12" t="n">
        <v>252</v>
      </c>
      <c r="B257" s="12" t="str">
        <f aca="false">'РПН 01.08 по МО'!B255</f>
        <v>АТЫРАУСКАЯ</v>
      </c>
      <c r="C257" s="12" t="str">
        <f aca="false">'РПН 01.08 по МО'!C255</f>
        <v>ТОО "Салимжан и К"</v>
      </c>
      <c r="D257" s="12" t="str">
        <f aca="false">'РПН 01.08 по МО'!E255</f>
        <v>2310</v>
      </c>
      <c r="E257" s="12" t="str">
        <f aca="false">'РПН 01.08 по МО'!F255</f>
        <v>Атырау</v>
      </c>
      <c r="F257" s="13" t="n">
        <f aca="false">'РПН 01.08 по МО'!D255</f>
        <v>13946</v>
      </c>
      <c r="G257" s="14" t="n">
        <f aca="false">INDEX('Расчет Кплотн'!$K:$K,MATCH(D257,'Расчет Кплотн'!$A:$A,0))</f>
        <v>1</v>
      </c>
      <c r="H257" s="14" t="n">
        <f aca="false">INDEX('Расчет Кплотн'!$J:$J,MATCH(D257,'Расчет Кплотн'!$A:$A,0))</f>
        <v>1</v>
      </c>
      <c r="I257" s="3" t="n">
        <f aca="false">F257*Моделирование!$F$3*M257*G257/1000</f>
        <v>282183.92184</v>
      </c>
      <c r="J257" s="3" t="n">
        <f aca="false">F257*Моделирование!$F$3*M257*H257/1000</f>
        <v>282183.92184</v>
      </c>
      <c r="K257" s="3" t="n">
        <f aca="false">J257-I257</f>
        <v>0</v>
      </c>
      <c r="L257" s="4" t="n">
        <f aca="false">IFERROR(K257/I257,0)</f>
        <v>0</v>
      </c>
      <c r="M257" s="15" t="n">
        <f aca="false">IF(INDEX('Расчет Кплотн'!$D:$D,MATCH(D257,'Расчет Кплотн'!$A:$A,0))="район",IFERROR(VLOOKUP(INDEX('Расчет Кплотн'!$B:$B,MATCH(D257,'Расчет Кплотн'!$A:$A,0)),'БКПН (приказ 170)'!$A$4:$C$10,3,FALSE()),Моделирование!$F$2),Моделирование!$F$2)</f>
        <v>1686.17</v>
      </c>
    </row>
    <row r="258" customFormat="false" ht="15" hidden="false" customHeight="false" outlineLevel="0" collapsed="false">
      <c r="A258" s="12" t="n">
        <v>253</v>
      </c>
      <c r="B258" s="12" t="str">
        <f aca="false">'РПН 01.08 по МО'!B256</f>
        <v>АТЫРАУСКАЯ</v>
      </c>
      <c r="C258" s="12" t="str">
        <f aca="false">'РПН 01.08 по МО'!C256</f>
        <v>ТОО "Достар Мед Престиж"</v>
      </c>
      <c r="D258" s="12" t="str">
        <f aca="false">'РПН 01.08 по МО'!E256</f>
        <v>2310</v>
      </c>
      <c r="E258" s="12" t="str">
        <f aca="false">'РПН 01.08 по МО'!F256</f>
        <v>Атырау</v>
      </c>
      <c r="F258" s="13" t="n">
        <f aca="false">'РПН 01.08 по МО'!D256</f>
        <v>11281</v>
      </c>
      <c r="G258" s="14" t="n">
        <f aca="false">INDEX('Расчет Кплотн'!$K:$K,MATCH(D258,'Расчет Кплотн'!$A:$A,0))</f>
        <v>1</v>
      </c>
      <c r="H258" s="14" t="n">
        <f aca="false">INDEX('Расчет Кплотн'!$J:$J,MATCH(D258,'Расчет Кплотн'!$A:$A,0))</f>
        <v>1</v>
      </c>
      <c r="I258" s="3" t="n">
        <f aca="false">F258*Моделирование!$F$3*M258*G258/1000</f>
        <v>228260.20524</v>
      </c>
      <c r="J258" s="3" t="n">
        <f aca="false">F258*Моделирование!$F$3*M258*H258/1000</f>
        <v>228260.20524</v>
      </c>
      <c r="K258" s="3" t="n">
        <f aca="false">J258-I258</f>
        <v>0</v>
      </c>
      <c r="L258" s="4" t="n">
        <f aca="false">IFERROR(K258/I258,0)</f>
        <v>0</v>
      </c>
      <c r="M258" s="15" t="n">
        <f aca="false">IF(INDEX('Расчет Кплотн'!$D:$D,MATCH(D258,'Расчет Кплотн'!$A:$A,0))="район",IFERROR(VLOOKUP(INDEX('Расчет Кплотн'!$B:$B,MATCH(D258,'Расчет Кплотн'!$A:$A,0)),'БКПН (приказ 170)'!$A$4:$C$10,3,FALSE()),Моделирование!$F$2),Моделирование!$F$2)</f>
        <v>1686.17</v>
      </c>
    </row>
    <row r="259" customFormat="false" ht="15" hidden="false" customHeight="false" outlineLevel="0" collapsed="false">
      <c r="A259" s="12" t="n">
        <v>254</v>
      </c>
      <c r="B259" s="12" t="str">
        <f aca="false">'РПН 01.08 по МО'!B257</f>
        <v>АТЫРАУСКАЯ</v>
      </c>
      <c r="C259" s="12" t="str">
        <f aca="false">'РПН 01.08 по МО'!C257</f>
        <v>ТОО "Альянс Медикал"</v>
      </c>
      <c r="D259" s="12" t="str">
        <f aca="false">'РПН 01.08 по МО'!E257</f>
        <v>2310</v>
      </c>
      <c r="E259" s="12" t="str">
        <f aca="false">'РПН 01.08 по МО'!F257</f>
        <v>Атырау</v>
      </c>
      <c r="F259" s="13" t="n">
        <f aca="false">'РПН 01.08 по МО'!D257</f>
        <v>26163</v>
      </c>
      <c r="G259" s="14" t="n">
        <f aca="false">INDEX('Расчет Кплотн'!$K:$K,MATCH(D259,'Расчет Кплотн'!$A:$A,0))</f>
        <v>1</v>
      </c>
      <c r="H259" s="14" t="n">
        <f aca="false">INDEX('Расчет Кплотн'!$J:$J,MATCH(D259,'Расчет Кплотн'!$A:$A,0))</f>
        <v>1</v>
      </c>
      <c r="I259" s="3" t="n">
        <f aca="false">F259*Моделирование!$F$3*M259*G259/1000</f>
        <v>529383.18852</v>
      </c>
      <c r="J259" s="3" t="n">
        <f aca="false">F259*Моделирование!$F$3*M259*H259/1000</f>
        <v>529383.18852</v>
      </c>
      <c r="K259" s="3" t="n">
        <f aca="false">J259-I259</f>
        <v>0</v>
      </c>
      <c r="L259" s="4" t="n">
        <f aca="false">IFERROR(K259/I259,0)</f>
        <v>0</v>
      </c>
      <c r="M259" s="15" t="n">
        <f aca="false">IF(INDEX('Расчет Кплотн'!$D:$D,MATCH(D259,'Расчет Кплотн'!$A:$A,0))="район",IFERROR(VLOOKUP(INDEX('Расчет Кплотн'!$B:$B,MATCH(D259,'Расчет Кплотн'!$A:$A,0)),'БКПН (приказ 170)'!$A$4:$C$10,3,FALSE()),Моделирование!$F$2),Моделирование!$F$2)</f>
        <v>1686.17</v>
      </c>
    </row>
    <row r="260" customFormat="false" ht="15" hidden="false" customHeight="false" outlineLevel="0" collapsed="false">
      <c r="A260" s="12" t="n">
        <v>255</v>
      </c>
      <c r="B260" s="12" t="str">
        <f aca="false">'РПН 01.08 по МО'!B258</f>
        <v>АТЫРАУСКАЯ</v>
      </c>
      <c r="C260" s="12" t="str">
        <f aca="false">'РПН 01.08 по МО'!C258</f>
        <v>ТОО "Актобе Транзит Экспедишн"</v>
      </c>
      <c r="D260" s="12" t="str">
        <f aca="false">'РПН 01.08 по МО'!E258</f>
        <v>2310</v>
      </c>
      <c r="E260" s="12" t="str">
        <f aca="false">'РПН 01.08 по МО'!F258</f>
        <v>Атырау</v>
      </c>
      <c r="F260" s="13" t="n">
        <f aca="false">'РПН 01.08 по МО'!D258</f>
        <v>24429</v>
      </c>
      <c r="G260" s="14" t="n">
        <f aca="false">INDEX('Расчет Кплотн'!$K:$K,MATCH(D260,'Расчет Кплотн'!$A:$A,0))</f>
        <v>1</v>
      </c>
      <c r="H260" s="14" t="n">
        <f aca="false">INDEX('Расчет Кплотн'!$J:$J,MATCH(D260,'Расчет Кплотн'!$A:$A,0))</f>
        <v>1</v>
      </c>
      <c r="I260" s="3" t="n">
        <f aca="false">F260*Моделирование!$F$3*M260*G260/1000</f>
        <v>494297.36316</v>
      </c>
      <c r="J260" s="3" t="n">
        <f aca="false">F260*Моделирование!$F$3*M260*H260/1000</f>
        <v>494297.36316</v>
      </c>
      <c r="K260" s="3" t="n">
        <f aca="false">J260-I260</f>
        <v>0</v>
      </c>
      <c r="L260" s="4" t="n">
        <f aca="false">IFERROR(K260/I260,0)</f>
        <v>0</v>
      </c>
      <c r="M260" s="15" t="n">
        <f aca="false">IF(INDEX('Расчет Кплотн'!$D:$D,MATCH(D260,'Расчет Кплотн'!$A:$A,0))="район",IFERROR(VLOOKUP(INDEX('Расчет Кплотн'!$B:$B,MATCH(D260,'Расчет Кплотн'!$A:$A,0)),'БКПН (приказ 170)'!$A$4:$C$10,3,FALSE()),Моделирование!$F$2),Моделирование!$F$2)</f>
        <v>1686.17</v>
      </c>
    </row>
    <row r="261" customFormat="false" ht="15" hidden="false" customHeight="false" outlineLevel="0" collapsed="false">
      <c r="A261" s="12" t="n">
        <v>256</v>
      </c>
      <c r="B261" s="12" t="str">
        <f aca="false">'РПН 01.08 по МО'!B259</f>
        <v>АТЫРАУСКАЯ</v>
      </c>
      <c r="C261" s="12" t="str">
        <f aca="false">'РПН 01.08 по МО'!C259</f>
        <v>Товарищество с ограниченной ответственностью "Медикер Жайык"</v>
      </c>
      <c r="D261" s="12" t="str">
        <f aca="false">'РПН 01.08 по МО'!E259</f>
        <v>2310</v>
      </c>
      <c r="E261" s="12" t="str">
        <f aca="false">'РПН 01.08 по МО'!F259</f>
        <v>Атырау</v>
      </c>
      <c r="F261" s="13" t="n">
        <f aca="false">'РПН 01.08 по МО'!D259</f>
        <v>22068</v>
      </c>
      <c r="G261" s="14" t="n">
        <f aca="false">INDEX('Расчет Кплотн'!$K:$K,MATCH(D261,'Расчет Кплотн'!$A:$A,0))</f>
        <v>1</v>
      </c>
      <c r="H261" s="14" t="n">
        <f aca="false">INDEX('Расчет Кплотн'!$J:$J,MATCH(D261,'Расчет Кплотн'!$A:$A,0))</f>
        <v>1</v>
      </c>
      <c r="I261" s="3" t="n">
        <f aca="false">F261*Моделирование!$F$3*M261*G261/1000</f>
        <v>446524.79472</v>
      </c>
      <c r="J261" s="3" t="n">
        <f aca="false">F261*Моделирование!$F$3*M261*H261/1000</f>
        <v>446524.79472</v>
      </c>
      <c r="K261" s="3" t="n">
        <f aca="false">J261-I261</f>
        <v>0</v>
      </c>
      <c r="L261" s="4" t="n">
        <f aca="false">IFERROR(K261/I261,0)</f>
        <v>0</v>
      </c>
      <c r="M261" s="15" t="n">
        <f aca="false">IF(INDEX('Расчет Кплотн'!$D:$D,MATCH(D261,'Расчет Кплотн'!$A:$A,0))="район",IFERROR(VLOOKUP(INDEX('Расчет Кплотн'!$B:$B,MATCH(D261,'Расчет Кплотн'!$A:$A,0)),'БКПН (приказ 170)'!$A$4:$C$10,3,FALSE()),Моделирование!$F$2),Моделирование!$F$2)</f>
        <v>1686.17</v>
      </c>
    </row>
    <row r="262" customFormat="false" ht="15" hidden="false" customHeight="false" outlineLevel="0" collapsed="false">
      <c r="A262" s="12" t="n">
        <v>257</v>
      </c>
      <c r="B262" s="12" t="str">
        <f aca="false">'РПН 01.08 по МО'!B260</f>
        <v>АТЫРАУСКАЯ</v>
      </c>
      <c r="C262" s="12" t="str">
        <f aca="false">'РПН 01.08 по МО'!C260</f>
        <v>Товарищество с ограниченной ответственностью "AB medical"</v>
      </c>
      <c r="D262" s="12" t="str">
        <f aca="false">'РПН 01.08 по МО'!E260</f>
        <v>2310</v>
      </c>
      <c r="E262" s="12" t="str">
        <f aca="false">'РПН 01.08 по МО'!F260</f>
        <v>Атырау</v>
      </c>
      <c r="F262" s="13" t="n">
        <f aca="false">'РПН 01.08 по МО'!D260</f>
        <v>8160</v>
      </c>
      <c r="G262" s="14" t="n">
        <f aca="false">INDEX('Расчет Кплотн'!$K:$K,MATCH(D262,'Расчет Кплотн'!$A:$A,0))</f>
        <v>1</v>
      </c>
      <c r="H262" s="14" t="n">
        <f aca="false">INDEX('Расчет Кплотн'!$J:$J,MATCH(D262,'Расчет Кплотн'!$A:$A,0))</f>
        <v>1</v>
      </c>
      <c r="I262" s="3" t="n">
        <f aca="false">F262*Моделирование!$F$3*M262*G262/1000</f>
        <v>165109.7664</v>
      </c>
      <c r="J262" s="3" t="n">
        <f aca="false">F262*Моделирование!$F$3*M262*H262/1000</f>
        <v>165109.7664</v>
      </c>
      <c r="K262" s="3" t="n">
        <f aca="false">J262-I262</f>
        <v>0</v>
      </c>
      <c r="L262" s="4" t="n">
        <f aca="false">IFERROR(K262/I262,0)</f>
        <v>0</v>
      </c>
      <c r="M262" s="15" t="n">
        <f aca="false">IF(INDEX('Расчет Кплотн'!$D:$D,MATCH(D262,'Расчет Кплотн'!$A:$A,0))="район",IFERROR(VLOOKUP(INDEX('Расчет Кплотн'!$B:$B,MATCH(D262,'Расчет Кплотн'!$A:$A,0)),'БКПН (приказ 170)'!$A$4:$C$10,3,FALSE()),Моделирование!$F$2),Моделирование!$F$2)</f>
        <v>1686.17</v>
      </c>
    </row>
    <row r="263" customFormat="false" ht="15" hidden="false" customHeight="false" outlineLevel="0" collapsed="false">
      <c r="A263" s="12" t="n">
        <v>258</v>
      </c>
      <c r="B263" s="12" t="str">
        <f aca="false">'РПН 01.08 по МО'!B261</f>
        <v>АТЫРАУСКАЯ</v>
      </c>
      <c r="C263" s="12" t="str">
        <f aca="false">'РПН 01.08 по МО'!C261</f>
        <v>Коммунальное государственное предприятия на праве хозяйственного ведения «Кызылкогинская районная больница» Управления здравоохранения Атырауской области»</v>
      </c>
      <c r="D263" s="12" t="str">
        <f aca="false">'РПН 01.08 по МО'!E261</f>
        <v>2348</v>
      </c>
      <c r="E263" s="12" t="str">
        <f aca="false">'РПН 01.08 по МО'!F261</f>
        <v>Кзылкогинский район</v>
      </c>
      <c r="F263" s="13" t="n">
        <f aca="false">'РПН 01.08 по МО'!D261</f>
        <v>27414</v>
      </c>
      <c r="G263" s="14" t="n">
        <f aca="false">INDEX('Расчет Кплотн'!$K:$K,MATCH(D263,'Расчет Кплотн'!$A:$A,0))</f>
        <v>2</v>
      </c>
      <c r="H263" s="14" t="n">
        <f aca="false">INDEX('Расчет Кплотн'!$J:$J,MATCH(D263,'Расчет Кплотн'!$A:$A,0))</f>
        <v>2</v>
      </c>
      <c r="I263" s="3" t="n">
        <f aca="false">F263*Моделирование!$F$3*M263*G263/1000</f>
        <v>1109391.94512</v>
      </c>
      <c r="J263" s="3" t="n">
        <f aca="false">F263*Моделирование!$F$3*M263*H263/1000</f>
        <v>1109391.94512</v>
      </c>
      <c r="K263" s="3" t="n">
        <f aca="false">J263-I263</f>
        <v>0</v>
      </c>
      <c r="L263" s="4" t="n">
        <f aca="false">IFERROR(K263/I263,0)</f>
        <v>0</v>
      </c>
      <c r="M263" s="15" t="n">
        <f aca="false">IF(INDEX('Расчет Кплотн'!$D:$D,MATCH(D263,'Расчет Кплотн'!$A:$A,0))="район",IFERROR(VLOOKUP(INDEX('Расчет Кплотн'!$B:$B,MATCH(D263,'Расчет Кплотн'!$A:$A,0)),'БКПН (приказ 170)'!$A$4:$C$10,3,FALSE()),Моделирование!$F$2),Моделирование!$F$2)</f>
        <v>1686.17</v>
      </c>
    </row>
    <row r="264" customFormat="false" ht="15" hidden="false" customHeight="false" outlineLevel="0" collapsed="false">
      <c r="A264" s="12" t="n">
        <v>259</v>
      </c>
      <c r="B264" s="12" t="str">
        <f aca="false">'РПН 01.08 по МО'!B262</f>
        <v>АТЫРАУСКАЯ</v>
      </c>
      <c r="C264" s="12" t="str">
        <f aca="false">'РПН 01.08 по МО'!C262</f>
        <v>Коммунальное государственное предприятие на праве хозяйственного ведения "Макатская районная больница" Управления здравоохранения Атырауской области</v>
      </c>
      <c r="D264" s="12" t="str">
        <f aca="false">'РПН 01.08 по МО'!E262</f>
        <v>2352</v>
      </c>
      <c r="E264" s="12" t="str">
        <f aca="false">'РПН 01.08 по МО'!F262</f>
        <v>Макатский район</v>
      </c>
      <c r="F264" s="13" t="n">
        <f aca="false">'РПН 01.08 по МО'!D262</f>
        <v>26015</v>
      </c>
      <c r="G264" s="14" t="n">
        <f aca="false">INDEX('Расчет Кплотн'!$K:$K,MATCH(D264,'Расчет Кплотн'!$A:$A,0))</f>
        <v>1.6297</v>
      </c>
      <c r="H264" s="14" t="n">
        <f aca="false">INDEX('Расчет Кплотн'!$J:$J,MATCH(D264,'Расчет Кплотн'!$A:$A,0))</f>
        <v>2</v>
      </c>
      <c r="I264" s="3" t="n">
        <f aca="false">F264*Моделирование!$F$3*M264*G264/1000</f>
        <v>857855.42091282</v>
      </c>
      <c r="J264" s="3" t="n">
        <f aca="false">F264*Моделирование!$F$3*M264*H264/1000</f>
        <v>1052777.1012</v>
      </c>
      <c r="K264" s="3" t="n">
        <f aca="false">J264-I264</f>
        <v>194921.68028718</v>
      </c>
      <c r="L264" s="4" t="n">
        <f aca="false">IFERROR(K264/I264,0)</f>
        <v>0.227219733693318</v>
      </c>
      <c r="M264" s="15" t="n">
        <f aca="false">IF(INDEX('Расчет Кплотн'!$D:$D,MATCH(D264,'Расчет Кплотн'!$A:$A,0))="район",IFERROR(VLOOKUP(INDEX('Расчет Кплотн'!$B:$B,MATCH(D264,'Расчет Кплотн'!$A:$A,0)),'БКПН (приказ 170)'!$A$4:$C$10,3,FALSE()),Моделирование!$F$2),Моделирование!$F$2)</f>
        <v>1686.17</v>
      </c>
    </row>
    <row r="265" customFormat="false" ht="15" hidden="false" customHeight="false" outlineLevel="0" collapsed="false">
      <c r="A265" s="12" t="n">
        <v>260</v>
      </c>
      <c r="B265" s="12" t="str">
        <f aca="false">'РПН 01.08 по МО'!B263</f>
        <v>АТЫРАУСКАЯ</v>
      </c>
      <c r="C265" s="12" t="str">
        <f aca="false">'РПН 01.08 по МО'!C263</f>
        <v>Частное учреждение "СЕМЕЙНО-ВРАЧЕБНАЯ АМБУЛАТОРИЯ ИНТЕРТИЧ ГОРОДА АТЫРАУ И АТЫРАУСКОЙ ОБЛАСТИ"</v>
      </c>
      <c r="D265" s="12" t="str">
        <f aca="false">'РПН 01.08 по МО'!E263</f>
        <v>2310</v>
      </c>
      <c r="E265" s="12" t="str">
        <f aca="false">'РПН 01.08 по МО'!F263</f>
        <v>Атырау</v>
      </c>
      <c r="F265" s="13" t="n">
        <f aca="false">'РПН 01.08 по МО'!D263</f>
        <v>4663</v>
      </c>
      <c r="G265" s="14" t="n">
        <f aca="false">INDEX('Расчет Кплотн'!$K:$K,MATCH(D265,'Расчет Кплотн'!$A:$A,0))</f>
        <v>1</v>
      </c>
      <c r="H265" s="14" t="n">
        <f aca="false">INDEX('Расчет Кплотн'!$J:$J,MATCH(D265,'Расчет Кплотн'!$A:$A,0))</f>
        <v>1</v>
      </c>
      <c r="I265" s="3" t="n">
        <f aca="false">F265*Моделирование!$F$3*M265*G265/1000</f>
        <v>94351.32852</v>
      </c>
      <c r="J265" s="3" t="n">
        <f aca="false">F265*Моделирование!$F$3*M265*H265/1000</f>
        <v>94351.32852</v>
      </c>
      <c r="K265" s="3" t="n">
        <f aca="false">J265-I265</f>
        <v>0</v>
      </c>
      <c r="L265" s="4" t="n">
        <f aca="false">IFERROR(K265/I265,0)</f>
        <v>0</v>
      </c>
      <c r="M265" s="15" t="n">
        <f aca="false">IF(INDEX('Расчет Кплотн'!$D:$D,MATCH(D265,'Расчет Кплотн'!$A:$A,0))="район",IFERROR(VLOOKUP(INDEX('Расчет Кплотн'!$B:$B,MATCH(D265,'Расчет Кплотн'!$A:$A,0)),'БКПН (приказ 170)'!$A$4:$C$10,3,FALSE()),Моделирование!$F$2),Моделирование!$F$2)</f>
        <v>1686.17</v>
      </c>
    </row>
    <row r="266" customFormat="false" ht="15" hidden="false" customHeight="false" outlineLevel="0" collapsed="false">
      <c r="A266" s="12" t="n">
        <v>261</v>
      </c>
      <c r="B266" s="12" t="str">
        <f aca="false">'РПН 01.08 по МО'!B264</f>
        <v>АТЫРАУСКАЯ</v>
      </c>
      <c r="C266" s="12" t="str">
        <f aca="false">'РПН 01.08 по МО'!C264</f>
        <v>Коммунальное государственное предприятие на праве хозяйственного ведения "Атырауская городская поликлиника №6" Управления здравоохранения Атырауской области</v>
      </c>
      <c r="D266" s="12" t="str">
        <f aca="false">'РПН 01.08 по МО'!E264</f>
        <v>2310</v>
      </c>
      <c r="E266" s="12" t="str">
        <f aca="false">'РПН 01.08 по МО'!F264</f>
        <v>Атырау</v>
      </c>
      <c r="F266" s="13" t="n">
        <f aca="false">'РПН 01.08 по МО'!D264</f>
        <v>38161</v>
      </c>
      <c r="G266" s="14" t="n">
        <f aca="false">INDEX('Расчет Кплотн'!$K:$K,MATCH(D266,'Расчет Кплотн'!$A:$A,0))</f>
        <v>1</v>
      </c>
      <c r="H266" s="14" t="n">
        <f aca="false">INDEX('Расчет Кплотн'!$J:$J,MATCH(D266,'Расчет Кплотн'!$A:$A,0))</f>
        <v>1</v>
      </c>
      <c r="I266" s="3" t="n">
        <f aca="false">F266*Моделирование!$F$3*M266*G266/1000</f>
        <v>772151.20044</v>
      </c>
      <c r="J266" s="3" t="n">
        <f aca="false">F266*Моделирование!$F$3*M266*H266/1000</f>
        <v>772151.20044</v>
      </c>
      <c r="K266" s="3" t="n">
        <f aca="false">J266-I266</f>
        <v>0</v>
      </c>
      <c r="L266" s="4" t="n">
        <f aca="false">IFERROR(K266/I266,0)</f>
        <v>0</v>
      </c>
      <c r="M266" s="15" t="n">
        <f aca="false">IF(INDEX('Расчет Кплотн'!$D:$D,MATCH(D266,'Расчет Кплотн'!$A:$A,0))="район",IFERROR(VLOOKUP(INDEX('Расчет Кплотн'!$B:$B,MATCH(D266,'Расчет Кплотн'!$A:$A,0)),'БКПН (приказ 170)'!$A$4:$C$10,3,FALSE()),Моделирование!$F$2),Моделирование!$F$2)</f>
        <v>1686.17</v>
      </c>
    </row>
    <row r="267" customFormat="false" ht="15" hidden="false" customHeight="false" outlineLevel="0" collapsed="false">
      <c r="A267" s="12" t="n">
        <v>262</v>
      </c>
      <c r="B267" s="12" t="str">
        <f aca="false">'РПН 01.08 по МО'!B265</f>
        <v>АТЫРАУСКАЯ</v>
      </c>
      <c r="C267" s="12" t="str">
        <f aca="false">'РПН 01.08 по МО'!C265</f>
        <v>Коммунальное государственное предприятие на праве хозяйственного ведения "Атырауская городская поликлиника №4" Управления здравоохранения Атырауской области</v>
      </c>
      <c r="D267" s="12" t="str">
        <f aca="false">'РПН 01.08 по МО'!E265</f>
        <v>2310</v>
      </c>
      <c r="E267" s="12" t="str">
        <f aca="false">'РПН 01.08 по МО'!F265</f>
        <v>Атырау</v>
      </c>
      <c r="F267" s="13" t="n">
        <f aca="false">'РПН 01.08 по МО'!D265</f>
        <v>61730</v>
      </c>
      <c r="G267" s="14" t="n">
        <f aca="false">INDEX('Расчет Кплотн'!$K:$K,MATCH(D267,'Расчет Кплотн'!$A:$A,0))</f>
        <v>1</v>
      </c>
      <c r="H267" s="14" t="n">
        <f aca="false">INDEX('Расчет Кплотн'!$J:$J,MATCH(D267,'Расчет Кплотн'!$A:$A,0))</f>
        <v>1</v>
      </c>
      <c r="I267" s="3" t="n">
        <f aca="false">F267*Моделирование!$F$3*M267*G267/1000</f>
        <v>1249047.2892</v>
      </c>
      <c r="J267" s="3" t="n">
        <f aca="false">F267*Моделирование!$F$3*M267*H267/1000</f>
        <v>1249047.2892</v>
      </c>
      <c r="K267" s="3" t="n">
        <f aca="false">J267-I267</f>
        <v>0</v>
      </c>
      <c r="L267" s="4" t="n">
        <f aca="false">IFERROR(K267/I267,0)</f>
        <v>0</v>
      </c>
      <c r="M267" s="15" t="n">
        <f aca="false">IF(INDEX('Расчет Кплотн'!$D:$D,MATCH(D267,'Расчет Кплотн'!$A:$A,0))="район",IFERROR(VLOOKUP(INDEX('Расчет Кплотн'!$B:$B,MATCH(D267,'Расчет Кплотн'!$A:$A,0)),'БКПН (приказ 170)'!$A$4:$C$10,3,FALSE()),Моделирование!$F$2),Моделирование!$F$2)</f>
        <v>1686.17</v>
      </c>
    </row>
    <row r="268" customFormat="false" ht="15" hidden="false" customHeight="false" outlineLevel="0" collapsed="false">
      <c r="A268" s="12" t="n">
        <v>263</v>
      </c>
      <c r="B268" s="12" t="str">
        <f aca="false">'РПН 01.08 по МО'!B266</f>
        <v>АТЫРАУСКАЯ</v>
      </c>
      <c r="C268" s="12" t="str">
        <f aca="false">'РПН 01.08 по МО'!C266</f>
        <v>Коммунальное государственное предприятие на праве хозяйственного ведения "Атырауская городская поликлиника №3" Управления здравоохранения Атырауской области</v>
      </c>
      <c r="D268" s="12" t="str">
        <f aca="false">'РПН 01.08 по МО'!E266</f>
        <v>2310</v>
      </c>
      <c r="E268" s="12" t="str">
        <f aca="false">'РПН 01.08 по МО'!F266</f>
        <v>Атырау</v>
      </c>
      <c r="F268" s="13" t="n">
        <f aca="false">'РПН 01.08 по МО'!D266</f>
        <v>54029</v>
      </c>
      <c r="G268" s="14" t="n">
        <f aca="false">INDEX('Расчет Кплотн'!$K:$K,MATCH(D268,'Расчет Кплотн'!$A:$A,0))</f>
        <v>1</v>
      </c>
      <c r="H268" s="14" t="n">
        <f aca="false">INDEX('Расчет Кплотн'!$J:$J,MATCH(D268,'Расчет Кплотн'!$A:$A,0))</f>
        <v>1</v>
      </c>
      <c r="I268" s="3" t="n">
        <f aca="false">F268*Моделирование!$F$3*M268*G268/1000</f>
        <v>1093224.94716</v>
      </c>
      <c r="J268" s="3" t="n">
        <f aca="false">F268*Моделирование!$F$3*M268*H268/1000</f>
        <v>1093224.94716</v>
      </c>
      <c r="K268" s="3" t="n">
        <f aca="false">J268-I268</f>
        <v>0</v>
      </c>
      <c r="L268" s="4" t="n">
        <f aca="false">IFERROR(K268/I268,0)</f>
        <v>0</v>
      </c>
      <c r="M268" s="15" t="n">
        <f aca="false">IF(INDEX('Расчет Кплотн'!$D:$D,MATCH(D268,'Расчет Кплотн'!$A:$A,0))="район",IFERROR(VLOOKUP(INDEX('Расчет Кплотн'!$B:$B,MATCH(D268,'Расчет Кплотн'!$A:$A,0)),'БКПН (приказ 170)'!$A$4:$C$10,3,FALSE()),Моделирование!$F$2),Моделирование!$F$2)</f>
        <v>1686.17</v>
      </c>
    </row>
    <row r="269" customFormat="false" ht="15" hidden="false" customHeight="false" outlineLevel="0" collapsed="false">
      <c r="A269" s="12" t="n">
        <v>264</v>
      </c>
      <c r="B269" s="12" t="str">
        <f aca="false">'РПН 01.08 по МО'!B267</f>
        <v>АТЫРАУСКАЯ</v>
      </c>
      <c r="C269" s="12" t="str">
        <f aca="false">'РПН 01.08 по МО'!C267</f>
        <v>Коммунальное государственное предприятие "Атырауская городская поликлиника №2" Управления здравоохранения Атырауской области</v>
      </c>
      <c r="D269" s="12" t="str">
        <f aca="false">'РПН 01.08 по МО'!E267</f>
        <v>2310</v>
      </c>
      <c r="E269" s="12" t="str">
        <f aca="false">'РПН 01.08 по МО'!F267</f>
        <v>Атырау</v>
      </c>
      <c r="F269" s="13" t="n">
        <f aca="false">'РПН 01.08 по МО'!D267</f>
        <v>37463</v>
      </c>
      <c r="G269" s="14" t="n">
        <f aca="false">INDEX('Расчет Кплотн'!$K:$K,MATCH(D269,'Расчет Кплотн'!$A:$A,0))</f>
        <v>1</v>
      </c>
      <c r="H269" s="14" t="n">
        <f aca="false">INDEX('Расчет Кплотн'!$J:$J,MATCH(D269,'Расчет Кплотн'!$A:$A,0))</f>
        <v>1</v>
      </c>
      <c r="I269" s="3" t="n">
        <f aca="false">F269*Моделирование!$F$3*M269*G269/1000</f>
        <v>758027.84052</v>
      </c>
      <c r="J269" s="3" t="n">
        <f aca="false">F269*Моделирование!$F$3*M269*H269/1000</f>
        <v>758027.84052</v>
      </c>
      <c r="K269" s="3" t="n">
        <f aca="false">J269-I269</f>
        <v>0</v>
      </c>
      <c r="L269" s="4" t="n">
        <f aca="false">IFERROR(K269/I269,0)</f>
        <v>0</v>
      </c>
      <c r="M269" s="15" t="n">
        <f aca="false">IF(INDEX('Расчет Кплотн'!$D:$D,MATCH(D269,'Расчет Кплотн'!$A:$A,0))="район",IFERROR(VLOOKUP(INDEX('Расчет Кплотн'!$B:$B,MATCH(D269,'Расчет Кплотн'!$A:$A,0)),'БКПН (приказ 170)'!$A$4:$C$10,3,FALSE()),Моделирование!$F$2),Моделирование!$F$2)</f>
        <v>1686.17</v>
      </c>
    </row>
    <row r="270" customFormat="false" ht="15" hidden="false" customHeight="false" outlineLevel="0" collapsed="false">
      <c r="A270" s="12" t="n">
        <v>265</v>
      </c>
      <c r="B270" s="12" t="str">
        <f aca="false">'РПН 01.08 по МО'!B268</f>
        <v>АТЫРАУСКАЯ</v>
      </c>
      <c r="C270" s="12" t="str">
        <f aca="false">'РПН 01.08 по МО'!C268</f>
        <v>КГП на ПХВ «Махамбетская районная больница» Управления здравоохранения Атырауской области»</v>
      </c>
      <c r="D270" s="12" t="str">
        <f aca="false">'РПН 01.08 по МО'!E268</f>
        <v>2356</v>
      </c>
      <c r="E270" s="12" t="str">
        <f aca="false">'РПН 01.08 по МО'!F268</f>
        <v>Махамбетский район</v>
      </c>
      <c r="F270" s="13" t="n">
        <f aca="false">'РПН 01.08 по МО'!D268</f>
        <v>25235</v>
      </c>
      <c r="G270" s="14" t="n">
        <f aca="false">INDEX('Расчет Кплотн'!$K:$K,MATCH(D270,'Расчет Кплотн'!$A:$A,0))</f>
        <v>1.6478</v>
      </c>
      <c r="H270" s="14" t="n">
        <f aca="false">INDEX('Расчет Кплотн'!$J:$J,MATCH(D270,'Расчет Кплотн'!$A:$A,0))</f>
        <v>2</v>
      </c>
      <c r="I270" s="3" t="n">
        <f aca="false">F270*Моделирование!$F$3*M270*G270/1000</f>
        <v>841376.56581132</v>
      </c>
      <c r="J270" s="3" t="n">
        <f aca="false">F270*Моделирование!$F$3*M270*H270/1000</f>
        <v>1021211.9988</v>
      </c>
      <c r="K270" s="3" t="n">
        <f aca="false">J270-I270</f>
        <v>179835.43298868</v>
      </c>
      <c r="L270" s="4" t="n">
        <f aca="false">IFERROR(K270/I270,0)</f>
        <v>0.213739531496541</v>
      </c>
      <c r="M270" s="15" t="n">
        <f aca="false">IF(INDEX('Расчет Кплотн'!$D:$D,MATCH(D270,'Расчет Кплотн'!$A:$A,0))="район",IFERROR(VLOOKUP(INDEX('Расчет Кплотн'!$B:$B,MATCH(D270,'Расчет Кплотн'!$A:$A,0)),'БКПН (приказ 170)'!$A$4:$C$10,3,FALSE()),Моделирование!$F$2),Моделирование!$F$2)</f>
        <v>1686.17</v>
      </c>
    </row>
    <row r="271" customFormat="false" ht="15" hidden="false" customHeight="false" outlineLevel="0" collapsed="false">
      <c r="A271" s="12" t="n">
        <v>266</v>
      </c>
      <c r="B271" s="12" t="str">
        <f aca="false">'РПН 01.08 по МО'!B269</f>
        <v>АТЫРАУСКАЯ</v>
      </c>
      <c r="C271" s="12" t="str">
        <f aca="false">'РПН 01.08 по МО'!C269</f>
        <v>КГП на ПХВ «Исатайская районная больница» Управления здравоохранения Атырауской области»</v>
      </c>
      <c r="D271" s="12" t="str">
        <f aca="false">'РПН 01.08 по МО'!E269</f>
        <v>2342</v>
      </c>
      <c r="E271" s="12" t="str">
        <f aca="false">'РПН 01.08 по МО'!F269</f>
        <v>Исатайский район</v>
      </c>
      <c r="F271" s="13" t="n">
        <f aca="false">'РПН 01.08 по МО'!D269</f>
        <v>23265</v>
      </c>
      <c r="G271" s="14" t="n">
        <f aca="false">INDEX('Расчет Кплотн'!$K:$K,MATCH(D271,'Расчет Кплотн'!$A:$A,0))</f>
        <v>2</v>
      </c>
      <c r="H271" s="14" t="n">
        <f aca="false">INDEX('Расчет Кплотн'!$J:$J,MATCH(D271,'Расчет Кплотн'!$A:$A,0))</f>
        <v>2</v>
      </c>
      <c r="I271" s="3" t="n">
        <f aca="false">F271*Моделирование!$F$3*M271*G271/1000</f>
        <v>941489.8812</v>
      </c>
      <c r="J271" s="3" t="n">
        <f aca="false">F271*Моделирование!$F$3*M271*H271/1000</f>
        <v>941489.8812</v>
      </c>
      <c r="K271" s="3" t="n">
        <f aca="false">J271-I271</f>
        <v>0</v>
      </c>
      <c r="L271" s="4" t="n">
        <f aca="false">IFERROR(K271/I271,0)</f>
        <v>0</v>
      </c>
      <c r="M271" s="15" t="n">
        <f aca="false">IF(INDEX('Расчет Кплотн'!$D:$D,MATCH(D271,'Расчет Кплотн'!$A:$A,0))="район",IFERROR(VLOOKUP(INDEX('Расчет Кплотн'!$B:$B,MATCH(D271,'Расчет Кплотн'!$A:$A,0)),'БКПН (приказ 170)'!$A$4:$C$10,3,FALSE()),Моделирование!$F$2),Моделирование!$F$2)</f>
        <v>1686.17</v>
      </c>
    </row>
    <row r="272" customFormat="false" ht="15" hidden="false" customHeight="false" outlineLevel="0" collapsed="false">
      <c r="A272" s="12" t="n">
        <v>267</v>
      </c>
      <c r="B272" s="12" t="str">
        <f aca="false">'РПН 01.08 по МО'!B270</f>
        <v>АТЫРАУСКАЯ</v>
      </c>
      <c r="C272" s="12" t="str">
        <f aca="false">'РПН 01.08 по МО'!C270</f>
        <v>КГП на ПХВ "Дамбинский центр первичной медико - санитарной помощи" Управления здравоохранения Атырауской области</v>
      </c>
      <c r="D272" s="12" t="str">
        <f aca="false">'РПН 01.08 по МО'!E270</f>
        <v>2310</v>
      </c>
      <c r="E272" s="12" t="str">
        <f aca="false">'РПН 01.08 по МО'!F270</f>
        <v>Атырау</v>
      </c>
      <c r="F272" s="13" t="n">
        <f aca="false">'РПН 01.08 по МО'!D270</f>
        <v>16208</v>
      </c>
      <c r="G272" s="14" t="n">
        <f aca="false">INDEX('Расчет Кплотн'!$K:$K,MATCH(D272,'Расчет Кплотн'!$A:$A,0))</f>
        <v>1</v>
      </c>
      <c r="H272" s="14" t="n">
        <f aca="false">INDEX('Расчет Кплотн'!$J:$J,MATCH(D272,'Расчет Кплотн'!$A:$A,0))</f>
        <v>1</v>
      </c>
      <c r="I272" s="3" t="n">
        <f aca="false">F272*Моделирование!$F$3*M272*G272/1000</f>
        <v>327953.32032</v>
      </c>
      <c r="J272" s="3" t="n">
        <f aca="false">F272*Моделирование!$F$3*M272*H272/1000</f>
        <v>327953.32032</v>
      </c>
      <c r="K272" s="3" t="n">
        <f aca="false">J272-I272</f>
        <v>0</v>
      </c>
      <c r="L272" s="4" t="n">
        <f aca="false">IFERROR(K272/I272,0)</f>
        <v>0</v>
      </c>
      <c r="M272" s="15" t="n">
        <f aca="false">IF(INDEX('Расчет Кплотн'!$D:$D,MATCH(D272,'Расчет Кплотн'!$A:$A,0))="район",IFERROR(VLOOKUP(INDEX('Расчет Кплотн'!$B:$B,MATCH(D272,'Расчет Кплотн'!$A:$A,0)),'БКПН (приказ 170)'!$A$4:$C$10,3,FALSE()),Моделирование!$F$2),Моделирование!$F$2)</f>
        <v>1686.17</v>
      </c>
    </row>
    <row r="273" customFormat="false" ht="15" hidden="false" customHeight="false" outlineLevel="0" collapsed="false">
      <c r="A273" s="12" t="n">
        <v>268</v>
      </c>
      <c r="B273" s="12" t="str">
        <f aca="false">'РПН 01.08 по МО'!B271</f>
        <v>АТЫРАУСКАЯ</v>
      </c>
      <c r="C273" s="12" t="str">
        <f aca="false">'РПН 01.08 по МО'!C271</f>
        <v>КГП на праве хозяйственного ведения "Курмангазинская районная больница" Управления здровоохранения Атырауской области</v>
      </c>
      <c r="D273" s="12" t="str">
        <f aca="false">'РПН 01.08 по МО'!E271</f>
        <v>2346</v>
      </c>
      <c r="E273" s="12" t="str">
        <f aca="false">'РПН 01.08 по МО'!F271</f>
        <v>Курмангазинский район</v>
      </c>
      <c r="F273" s="13" t="n">
        <f aca="false">'РПН 01.08 по МО'!D271</f>
        <v>48286</v>
      </c>
      <c r="G273" s="14" t="n">
        <f aca="false">INDEX('Расчет Кплотн'!$K:$K,MATCH(D273,'Расчет Кплотн'!$A:$A,0))</f>
        <v>1.765</v>
      </c>
      <c r="H273" s="14" t="n">
        <f aca="false">INDEX('Расчет Кплотн'!$J:$J,MATCH(D273,'Расчет Кплотн'!$A:$A,0))</f>
        <v>2</v>
      </c>
      <c r="I273" s="3" t="n">
        <f aca="false">F273*Моделирование!$F$3*M273*G273/1000</f>
        <v>1724441.8098516</v>
      </c>
      <c r="J273" s="3" t="n">
        <f aca="false">F273*Моделирование!$F$3*M273*H273/1000</f>
        <v>1954041.71088</v>
      </c>
      <c r="K273" s="3" t="n">
        <f aca="false">J273-I273</f>
        <v>229599.9010284</v>
      </c>
      <c r="L273" s="4" t="n">
        <f aca="false">IFERROR(K273/I273,0)</f>
        <v>0.13314447592068</v>
      </c>
      <c r="M273" s="15" t="n">
        <f aca="false">IF(INDEX('Расчет Кплотн'!$D:$D,MATCH(D273,'Расчет Кплотн'!$A:$A,0))="район",IFERROR(VLOOKUP(INDEX('Расчет Кплотн'!$B:$B,MATCH(D273,'Расчет Кплотн'!$A:$A,0)),'БКПН (приказ 170)'!$A$4:$C$10,3,FALSE()),Моделирование!$F$2),Моделирование!$F$2)</f>
        <v>1686.17</v>
      </c>
    </row>
    <row r="274" customFormat="false" ht="15" hidden="false" customHeight="false" outlineLevel="0" collapsed="false">
      <c r="A274" s="12" t="n">
        <v>269</v>
      </c>
      <c r="B274" s="12" t="str">
        <f aca="false">'РПН 01.08 по МО'!B272</f>
        <v>АТЫРАУСКАЯ</v>
      </c>
      <c r="C274" s="12" t="str">
        <f aca="false">'РПН 01.08 по МО'!C272</f>
        <v>КГП на праве хозяйственного ведения "Индерская районная больница" Управления здравоохранения Атырауской области."</v>
      </c>
      <c r="D274" s="12" t="str">
        <f aca="false">'РПН 01.08 по МО'!E272</f>
        <v>2340</v>
      </c>
      <c r="E274" s="12" t="str">
        <f aca="false">'РПН 01.08 по МО'!F272</f>
        <v>Индерский район</v>
      </c>
      <c r="F274" s="13" t="n">
        <f aca="false">'РПН 01.08 по МО'!D272</f>
        <v>29349</v>
      </c>
      <c r="G274" s="14" t="n">
        <f aca="false">INDEX('Расчет Кплотн'!$K:$K,MATCH(D274,'Расчет Кплотн'!$A:$A,0))</f>
        <v>1.682</v>
      </c>
      <c r="H274" s="14" t="n">
        <f aca="false">INDEX('Расчет Кплотн'!$J:$J,MATCH(D274,'Расчет Кплотн'!$A:$A,0))</f>
        <v>2</v>
      </c>
      <c r="I274" s="3" t="n">
        <f aca="false">F274*Моделирование!$F$3*M274*G274/1000</f>
        <v>998853.74881272</v>
      </c>
      <c r="J274" s="3" t="n">
        <f aca="false">F274*Моделирование!$F$3*M274*H274/1000</f>
        <v>1187697.67992</v>
      </c>
      <c r="K274" s="3" t="n">
        <f aca="false">J274-I274</f>
        <v>188843.93110728</v>
      </c>
      <c r="L274" s="4" t="n">
        <f aca="false">IFERROR(K274/I274,0)</f>
        <v>0.189060642092747</v>
      </c>
      <c r="M274" s="15" t="n">
        <f aca="false">IF(INDEX('Расчет Кплотн'!$D:$D,MATCH(D274,'Расчет Кплотн'!$A:$A,0))="район",IFERROR(VLOOKUP(INDEX('Расчет Кплотн'!$B:$B,MATCH(D274,'Расчет Кплотн'!$A:$A,0)),'БКПН (приказ 170)'!$A$4:$C$10,3,FALSE()),Моделирование!$F$2),Моделирование!$F$2)</f>
        <v>1686.17</v>
      </c>
    </row>
    <row r="275" customFormat="false" ht="15" hidden="false" customHeight="false" outlineLevel="0" collapsed="false">
      <c r="A275" s="12" t="n">
        <v>270</v>
      </c>
      <c r="B275" s="12" t="str">
        <f aca="false">'РПН 01.08 по МО'!B273</f>
        <v>АТЫРАУСКАЯ</v>
      </c>
      <c r="C275" s="12" t="str">
        <f aca="false">'РПН 01.08 по МО'!C273</f>
        <v>КГП на праве хозяйственного ведения "Жылыойская центральная районная больница" Управления здравоохранения Атырауской области</v>
      </c>
      <c r="D275" s="12" t="str">
        <f aca="false">'РПН 01.08 по МО'!E273</f>
        <v>2336</v>
      </c>
      <c r="E275" s="12" t="str">
        <f aca="false">'РПН 01.08 по МО'!F273</f>
        <v>Жылыойский район</v>
      </c>
      <c r="F275" s="13" t="n">
        <f aca="false">'РПН 01.08 по МО'!D273</f>
        <v>71557</v>
      </c>
      <c r="G275" s="14" t="n">
        <f aca="false">INDEX('Расчет Кплотн'!$K:$K,MATCH(D275,'Расчет Кплотн'!$A:$A,0))</f>
        <v>2</v>
      </c>
      <c r="H275" s="14" t="n">
        <f aca="false">INDEX('Расчет Кплотн'!$J:$J,MATCH(D275,'Расчет Кплотн'!$A:$A,0))</f>
        <v>2</v>
      </c>
      <c r="I275" s="3" t="n">
        <f aca="false">F275*Моделирование!$F$3*M275*G275/1000</f>
        <v>2895774.40056</v>
      </c>
      <c r="J275" s="3" t="n">
        <f aca="false">F275*Моделирование!$F$3*M275*H275/1000</f>
        <v>2895774.40056</v>
      </c>
      <c r="K275" s="3" t="n">
        <f aca="false">J275-I275</f>
        <v>0</v>
      </c>
      <c r="L275" s="4" t="n">
        <f aca="false">IFERROR(K275/I275,0)</f>
        <v>0</v>
      </c>
      <c r="M275" s="15" t="n">
        <f aca="false">IF(INDEX('Расчет Кплотн'!$D:$D,MATCH(D275,'Расчет Кплотн'!$A:$A,0))="район",IFERROR(VLOOKUP(INDEX('Расчет Кплотн'!$B:$B,MATCH(D275,'Расчет Кплотн'!$A:$A,0)),'БКПН (приказ 170)'!$A$4:$C$10,3,FALSE()),Моделирование!$F$2),Моделирование!$F$2)</f>
        <v>1686.17</v>
      </c>
    </row>
    <row r="276" customFormat="false" ht="15" hidden="false" customHeight="false" outlineLevel="0" collapsed="false">
      <c r="A276" s="12" t="n">
        <v>271</v>
      </c>
      <c r="B276" s="12" t="str">
        <f aca="false">'РПН 01.08 по МО'!B274</f>
        <v>АТЫРАУСКАЯ</v>
      </c>
      <c r="C276" s="12" t="str">
        <f aca="false">'РПН 01.08 по МО'!C274</f>
        <v>КГП "Атырауская городская поликлиника №1" Управления здравоохранения Атырауской области</v>
      </c>
      <c r="D276" s="12" t="str">
        <f aca="false">'РПН 01.08 по МО'!E274</f>
        <v>2310</v>
      </c>
      <c r="E276" s="12" t="str">
        <f aca="false">'РПН 01.08 по МО'!F274</f>
        <v>Атырау</v>
      </c>
      <c r="F276" s="13" t="n">
        <f aca="false">'РПН 01.08 по МО'!D274</f>
        <v>55734</v>
      </c>
      <c r="G276" s="14" t="n">
        <f aca="false">INDEX('Расчет Кплотн'!$K:$K,MATCH(D276,'Расчет Кплотн'!$A:$A,0))</f>
        <v>1</v>
      </c>
      <c r="H276" s="14" t="n">
        <f aca="false">INDEX('Расчет Кплотн'!$J:$J,MATCH(D276,'Расчет Кплотн'!$A:$A,0))</f>
        <v>1</v>
      </c>
      <c r="I276" s="3" t="n">
        <f aca="false">F276*Моделирование!$F$3*M276*G276/1000</f>
        <v>1127723.98536</v>
      </c>
      <c r="J276" s="3" t="n">
        <f aca="false">F276*Моделирование!$F$3*M276*H276/1000</f>
        <v>1127723.98536</v>
      </c>
      <c r="K276" s="3" t="n">
        <f aca="false">J276-I276</f>
        <v>0</v>
      </c>
      <c r="L276" s="4" t="n">
        <f aca="false">IFERROR(K276/I276,0)</f>
        <v>0</v>
      </c>
      <c r="M276" s="15" t="n">
        <f aca="false">IF(INDEX('Расчет Кплотн'!$D:$D,MATCH(D276,'Расчет Кплотн'!$A:$A,0))="район",IFERROR(VLOOKUP(INDEX('Расчет Кплотн'!$B:$B,MATCH(D276,'Расчет Кплотн'!$A:$A,0)),'БКПН (приказ 170)'!$A$4:$C$10,3,FALSE()),Моделирование!$F$2),Моделирование!$F$2)</f>
        <v>1686.17</v>
      </c>
    </row>
    <row r="277" customFormat="false" ht="15" hidden="false" customHeight="false" outlineLevel="0" collapsed="false">
      <c r="A277" s="12" t="n">
        <v>272</v>
      </c>
      <c r="B277" s="12" t="str">
        <f aca="false">'РПН 01.08 по МО'!B275</f>
        <v>АТЫРАУСКАЯ</v>
      </c>
      <c r="C277" s="12" t="str">
        <f aca="false">'РПН 01.08 по МО'!C275</f>
        <v>Коммунальное государственное предприятие на праве хозяйственного ведения "Атырауская городская поликлиника №5" Управления здравоохранения Атырауской области</v>
      </c>
      <c r="D277" s="12" t="str">
        <f aca="false">'РПН 01.08 по МО'!E275</f>
        <v>2310</v>
      </c>
      <c r="E277" s="12" t="str">
        <f aca="false">'РПН 01.08 по МО'!F275</f>
        <v>Атырау</v>
      </c>
      <c r="F277" s="13" t="n">
        <f aca="false">'РПН 01.08 по МО'!D275</f>
        <v>44627</v>
      </c>
      <c r="G277" s="14" t="n">
        <f aca="false">INDEX('Расчет Кплотн'!$K:$K,MATCH(D277,'Расчет Кплотн'!$A:$A,0))</f>
        <v>1</v>
      </c>
      <c r="H277" s="14" t="n">
        <f aca="false">INDEX('Расчет Кплотн'!$J:$J,MATCH(D277,'Расчет Кплотн'!$A:$A,0))</f>
        <v>1</v>
      </c>
      <c r="I277" s="3" t="n">
        <f aca="false">F277*Моделирование!$F$3*M277*G277/1000</f>
        <v>902984.50308</v>
      </c>
      <c r="J277" s="3" t="n">
        <f aca="false">F277*Моделирование!$F$3*M277*H277/1000</f>
        <v>902984.50308</v>
      </c>
      <c r="K277" s="3" t="n">
        <f aca="false">J277-I277</f>
        <v>0</v>
      </c>
      <c r="L277" s="4" t="n">
        <f aca="false">IFERROR(K277/I277,0)</f>
        <v>0</v>
      </c>
      <c r="M277" s="15" t="n">
        <f aca="false">IF(INDEX('Расчет Кплотн'!$D:$D,MATCH(D277,'Расчет Кплотн'!$A:$A,0))="район",IFERROR(VLOOKUP(INDEX('Расчет Кплотн'!$B:$B,MATCH(D277,'Расчет Кплотн'!$A:$A,0)),'БКПН (приказ 170)'!$A$4:$C$10,3,FALSE()),Моделирование!$F$2),Моделирование!$F$2)</f>
        <v>1686.17</v>
      </c>
    </row>
    <row r="278" customFormat="false" ht="15" hidden="false" customHeight="false" outlineLevel="0" collapsed="false">
      <c r="A278" s="12" t="n">
        <v>273</v>
      </c>
      <c r="B278" s="12" t="str">
        <f aca="false">'РПН 01.08 по МО'!B276</f>
        <v>ВОСТОЧНО-КАЗАХСТАНСКАЯ</v>
      </c>
      <c r="C278" s="12" t="str">
        <f aca="false">'РПН 01.08 по МО'!C276</f>
        <v>ТОО "Status Medical Center"</v>
      </c>
      <c r="D278" s="12" t="str">
        <f aca="false">'РПН 01.08 по МО'!E276</f>
        <v>6310</v>
      </c>
      <c r="E278" s="12" t="str">
        <f aca="false">'РПН 01.08 по МО'!F276</f>
        <v>Усть-Каменогорск</v>
      </c>
      <c r="F278" s="13" t="n">
        <f aca="false">'РПН 01.08 по МО'!D276</f>
        <v>4618</v>
      </c>
      <c r="G278" s="14" t="n">
        <f aca="false">INDEX('Расчет Кплотн'!$K:$K,MATCH(D278,'Расчет Кплотн'!$A:$A,0))</f>
        <v>1</v>
      </c>
      <c r="H278" s="14" t="n">
        <f aca="false">INDEX('Расчет Кплотн'!$J:$J,MATCH(D278,'Расчет Кплотн'!$A:$A,0))</f>
        <v>1</v>
      </c>
      <c r="I278" s="3" t="n">
        <f aca="false">F278*Моделирование!$F$3*M278*G278/1000</f>
        <v>93440.79672</v>
      </c>
      <c r="J278" s="3" t="n">
        <f aca="false">F278*Моделирование!$F$3*M278*H278/1000</f>
        <v>93440.79672</v>
      </c>
      <c r="K278" s="3" t="n">
        <f aca="false">J278-I278</f>
        <v>0</v>
      </c>
      <c r="L278" s="4" t="n">
        <f aca="false">IFERROR(K278/I278,0)</f>
        <v>0</v>
      </c>
      <c r="M278" s="15" t="n">
        <f aca="false">IF(INDEX('Расчет Кплотн'!$D:$D,MATCH(D278,'Расчет Кплотн'!$A:$A,0))="район",IFERROR(VLOOKUP(INDEX('Расчет Кплотн'!$B:$B,MATCH(D278,'Расчет Кплотн'!$A:$A,0)),'БКПН (приказ 170)'!$A$4:$C$10,3,FALSE()),Моделирование!$F$2),Моделирование!$F$2)</f>
        <v>1686.17</v>
      </c>
    </row>
    <row r="279" customFormat="false" ht="15" hidden="false" customHeight="false" outlineLevel="0" collapsed="false">
      <c r="A279" s="12" t="n">
        <v>274</v>
      </c>
      <c r="B279" s="12" t="str">
        <f aca="false">'РПН 01.08 по МО'!B277</f>
        <v>ВОСТОЧНО-КАЗАХСТАНСКАЯ</v>
      </c>
      <c r="C279" s="12" t="str">
        <f aca="false">'РПН 01.08 по МО'!C277</f>
        <v>ТОО "TAU Clinic"</v>
      </c>
      <c r="D279" s="12" t="str">
        <f aca="false">'РПН 01.08 по МО'!E277</f>
        <v>6310</v>
      </c>
      <c r="E279" s="12" t="str">
        <f aca="false">'РПН 01.08 по МО'!F277</f>
        <v>Усть-Каменогорск</v>
      </c>
      <c r="F279" s="13" t="n">
        <f aca="false">'РПН 01.08 по МО'!D277</f>
        <v>6087</v>
      </c>
      <c r="G279" s="14" t="n">
        <f aca="false">INDEX('Расчет Кплотн'!$K:$K,MATCH(D279,'Расчет Кплотн'!$A:$A,0))</f>
        <v>1</v>
      </c>
      <c r="H279" s="14" t="n">
        <f aca="false">INDEX('Расчет Кплотн'!$J:$J,MATCH(D279,'Расчет Кплотн'!$A:$A,0))</f>
        <v>1</v>
      </c>
      <c r="I279" s="3" t="n">
        <f aca="false">F279*Моделирование!$F$3*M279*G279/1000</f>
        <v>123164.60148</v>
      </c>
      <c r="J279" s="3" t="n">
        <f aca="false">F279*Моделирование!$F$3*M279*H279/1000</f>
        <v>123164.60148</v>
      </c>
      <c r="K279" s="3" t="n">
        <f aca="false">J279-I279</f>
        <v>0</v>
      </c>
      <c r="L279" s="4" t="n">
        <f aca="false">IFERROR(K279/I279,0)</f>
        <v>0</v>
      </c>
      <c r="M279" s="15" t="n">
        <f aca="false">IF(INDEX('Расчет Кплотн'!$D:$D,MATCH(D279,'Расчет Кплотн'!$A:$A,0))="район",IFERROR(VLOOKUP(INDEX('Расчет Кплотн'!$B:$B,MATCH(D279,'Расчет Кплотн'!$A:$A,0)),'БКПН (приказ 170)'!$A$4:$C$10,3,FALSE()),Моделирование!$F$2),Моделирование!$F$2)</f>
        <v>1686.17</v>
      </c>
    </row>
    <row r="280" customFormat="false" ht="15" hidden="false" customHeight="false" outlineLevel="0" collapsed="false">
      <c r="A280" s="12" t="n">
        <v>275</v>
      </c>
      <c r="B280" s="12" t="str">
        <f aca="false">'РПН 01.08 по МО'!B278</f>
        <v>ВОСТОЧНО-КАЗАХСТАНСКАЯ</v>
      </c>
      <c r="C280" s="12" t="str">
        <f aca="false">'РПН 01.08 по МО'!C278</f>
        <v>ТОО "ВИТА-1"</v>
      </c>
      <c r="D280" s="12" t="str">
        <f aca="false">'РПН 01.08 по МО'!E278</f>
        <v>6310</v>
      </c>
      <c r="E280" s="12" t="str">
        <f aca="false">'РПН 01.08 по МО'!F278</f>
        <v>Усть-Каменогорск</v>
      </c>
      <c r="F280" s="13" t="n">
        <f aca="false">'РПН 01.08 по МО'!D278</f>
        <v>12652</v>
      </c>
      <c r="G280" s="14" t="n">
        <f aca="false">INDEX('Расчет Кплотн'!$K:$K,MATCH(D280,'Расчет Кплотн'!$A:$A,0))</f>
        <v>1</v>
      </c>
      <c r="H280" s="14" t="n">
        <f aca="false">INDEX('Расчет Кплотн'!$J:$J,MATCH(D280,'Расчет Кплотн'!$A:$A,0))</f>
        <v>1</v>
      </c>
      <c r="I280" s="3" t="n">
        <f aca="false">F280*Моделирование!$F$3*M280*G280/1000</f>
        <v>256001.07408</v>
      </c>
      <c r="J280" s="3" t="n">
        <f aca="false">F280*Моделирование!$F$3*M280*H280/1000</f>
        <v>256001.07408</v>
      </c>
      <c r="K280" s="3" t="n">
        <f aca="false">J280-I280</f>
        <v>0</v>
      </c>
      <c r="L280" s="4" t="n">
        <f aca="false">IFERROR(K280/I280,0)</f>
        <v>0</v>
      </c>
      <c r="M280" s="15" t="n">
        <f aca="false">IF(INDEX('Расчет Кплотн'!$D:$D,MATCH(D280,'Расчет Кплотн'!$A:$A,0))="район",IFERROR(VLOOKUP(INDEX('Расчет Кплотн'!$B:$B,MATCH(D280,'Расчет Кплотн'!$A:$A,0)),'БКПН (приказ 170)'!$A$4:$C$10,3,FALSE()),Моделирование!$F$2),Моделирование!$F$2)</f>
        <v>1686.17</v>
      </c>
    </row>
    <row r="281" customFormat="false" ht="15" hidden="false" customHeight="false" outlineLevel="0" collapsed="false">
      <c r="A281" s="12" t="n">
        <v>276</v>
      </c>
      <c r="B281" s="12" t="str">
        <f aca="false">'РПН 01.08 по МО'!B279</f>
        <v>ВОСТОЧНО-КАЗАХСТАНСКАЯ</v>
      </c>
      <c r="C281" s="12" t="str">
        <f aca="false">'РПН 01.08 по МО'!C279</f>
        <v>ТОО "Врачебная амбулатория Денсаулық"</v>
      </c>
      <c r="D281" s="12" t="str">
        <f aca="false">'РПН 01.08 по МО'!E279</f>
        <v>6310</v>
      </c>
      <c r="E281" s="12" t="str">
        <f aca="false">'РПН 01.08 по МО'!F279</f>
        <v>Усть-Каменогорск</v>
      </c>
      <c r="F281" s="13" t="n">
        <f aca="false">'РПН 01.08 по МО'!D279</f>
        <v>36567</v>
      </c>
      <c r="G281" s="14" t="n">
        <f aca="false">INDEX('Расчет Кплотн'!$K:$K,MATCH(D281,'Расчет Кплотн'!$A:$A,0))</f>
        <v>1</v>
      </c>
      <c r="H281" s="14" t="n">
        <f aca="false">INDEX('Расчет Кплотн'!$J:$J,MATCH(D281,'Расчет Кплотн'!$A:$A,0))</f>
        <v>1</v>
      </c>
      <c r="I281" s="3" t="n">
        <f aca="false">F281*Моделирование!$F$3*M281*G281/1000</f>
        <v>739898.14068</v>
      </c>
      <c r="J281" s="3" t="n">
        <f aca="false">F281*Моделирование!$F$3*M281*H281/1000</f>
        <v>739898.14068</v>
      </c>
      <c r="K281" s="3" t="n">
        <f aca="false">J281-I281</f>
        <v>0</v>
      </c>
      <c r="L281" s="4" t="n">
        <f aca="false">IFERROR(K281/I281,0)</f>
        <v>0</v>
      </c>
      <c r="M281" s="15" t="n">
        <f aca="false">IF(INDEX('Расчет Кплотн'!$D:$D,MATCH(D281,'Расчет Кплотн'!$A:$A,0))="район",IFERROR(VLOOKUP(INDEX('Расчет Кплотн'!$B:$B,MATCH(D281,'Расчет Кплотн'!$A:$A,0)),'БКПН (приказ 170)'!$A$4:$C$10,3,FALSE()),Моделирование!$F$2),Моделирование!$F$2)</f>
        <v>1686.17</v>
      </c>
    </row>
    <row r="282" customFormat="false" ht="15" hidden="false" customHeight="false" outlineLevel="0" collapsed="false">
      <c r="A282" s="12" t="n">
        <v>277</v>
      </c>
      <c r="B282" s="12" t="str">
        <f aca="false">'РПН 01.08 по МО'!B280</f>
        <v>ВОСТОЧНО-КАЗАХСТАНСКАЯ</v>
      </c>
      <c r="C282" s="12" t="str">
        <f aca="false">'РПН 01.08 по МО'!C280</f>
        <v>ТОО "ЕМ АЛУ плюс"</v>
      </c>
      <c r="D282" s="12" t="str">
        <f aca="false">'РПН 01.08 по МО'!E280</f>
        <v>6310</v>
      </c>
      <c r="E282" s="12" t="str">
        <f aca="false">'РПН 01.08 по МО'!F280</f>
        <v>Усть-Каменогорск</v>
      </c>
      <c r="F282" s="13" t="n">
        <f aca="false">'РПН 01.08 по МО'!D280</f>
        <v>24537</v>
      </c>
      <c r="G282" s="14" t="n">
        <f aca="false">INDEX('Расчет Кплотн'!$K:$K,MATCH(D282,'Расчет Кплотн'!$A:$A,0))</f>
        <v>1</v>
      </c>
      <c r="H282" s="14" t="n">
        <f aca="false">INDEX('Расчет Кплотн'!$J:$J,MATCH(D282,'Расчет Кплотн'!$A:$A,0))</f>
        <v>1</v>
      </c>
      <c r="I282" s="3" t="n">
        <f aca="false">F282*Моделирование!$F$3*M282*G282/1000</f>
        <v>496482.63948</v>
      </c>
      <c r="J282" s="3" t="n">
        <f aca="false">F282*Моделирование!$F$3*M282*H282/1000</f>
        <v>496482.63948</v>
      </c>
      <c r="K282" s="3" t="n">
        <f aca="false">J282-I282</f>
        <v>0</v>
      </c>
      <c r="L282" s="4" t="n">
        <f aca="false">IFERROR(K282/I282,0)</f>
        <v>0</v>
      </c>
      <c r="M282" s="15" t="n">
        <f aca="false">IF(INDEX('Расчет Кплотн'!$D:$D,MATCH(D282,'Расчет Кплотн'!$A:$A,0))="район",IFERROR(VLOOKUP(INDEX('Расчет Кплотн'!$B:$B,MATCH(D282,'Расчет Кплотн'!$A:$A,0)),'БКПН (приказ 170)'!$A$4:$C$10,3,FALSE()),Моделирование!$F$2),Моделирование!$F$2)</f>
        <v>1686.17</v>
      </c>
    </row>
    <row r="283" customFormat="false" ht="15" hidden="false" customHeight="false" outlineLevel="0" collapsed="false">
      <c r="A283" s="12" t="n">
        <v>278</v>
      </c>
      <c r="B283" s="12" t="str">
        <f aca="false">'РПН 01.08 по МО'!B281</f>
        <v>ВОСТОЧНО-КАЗАХСТАНСКАЯ</v>
      </c>
      <c r="C283" s="12" t="str">
        <f aca="false">'РПН 01.08 по МО'!C281</f>
        <v>Учреждение "СВА МСЧ-2"</v>
      </c>
      <c r="D283" s="12" t="str">
        <f aca="false">'РПН 01.08 по МО'!E281</f>
        <v>6310</v>
      </c>
      <c r="E283" s="12" t="str">
        <f aca="false">'РПН 01.08 по МО'!F281</f>
        <v>Усть-Каменогорск</v>
      </c>
      <c r="F283" s="13" t="n">
        <f aca="false">'РПН 01.08 по МО'!D281</f>
        <v>18446</v>
      </c>
      <c r="G283" s="14" t="n">
        <f aca="false">INDEX('Расчет Кплотн'!$K:$K,MATCH(D283,'Расчет Кплотн'!$A:$A,0))</f>
        <v>1</v>
      </c>
      <c r="H283" s="14" t="n">
        <f aca="false">INDEX('Расчет Кплотн'!$J:$J,MATCH(D283,'Расчет Кплотн'!$A:$A,0))</f>
        <v>1</v>
      </c>
      <c r="I283" s="3" t="n">
        <f aca="false">F283*Моделирование!$F$3*M283*G283/1000</f>
        <v>373237.10184</v>
      </c>
      <c r="J283" s="3" t="n">
        <f aca="false">F283*Моделирование!$F$3*M283*H283/1000</f>
        <v>373237.10184</v>
      </c>
      <c r="K283" s="3" t="n">
        <f aca="false">J283-I283</f>
        <v>0</v>
      </c>
      <c r="L283" s="4" t="n">
        <f aca="false">IFERROR(K283/I283,0)</f>
        <v>0</v>
      </c>
      <c r="M283" s="15" t="n">
        <f aca="false">IF(INDEX('Расчет Кплотн'!$D:$D,MATCH(D283,'Расчет Кплотн'!$A:$A,0))="район",IFERROR(VLOOKUP(INDEX('Расчет Кплотн'!$B:$B,MATCH(D283,'Расчет Кплотн'!$A:$A,0)),'БКПН (приказ 170)'!$A$4:$C$10,3,FALSE()),Моделирование!$F$2),Моделирование!$F$2)</f>
        <v>1686.17</v>
      </c>
    </row>
    <row r="284" customFormat="false" ht="15" hidden="false" customHeight="false" outlineLevel="0" collapsed="false">
      <c r="A284" s="12" t="n">
        <v>279</v>
      </c>
      <c r="B284" s="12" t="str">
        <f aca="false">'РПН 01.08 по МО'!B282</f>
        <v>ВОСТОЧНО-КАЗАХСТАНСКАЯ</v>
      </c>
      <c r="C284" s="12" t="str">
        <f aca="false">'РПН 01.08 по МО'!C282</f>
        <v>ТОО "Моя Семейная амбулатория"</v>
      </c>
      <c r="D284" s="12" t="str">
        <f aca="false">'РПН 01.08 по МО'!E282</f>
        <v>6310</v>
      </c>
      <c r="E284" s="12" t="str">
        <f aca="false">'РПН 01.08 по МО'!F282</f>
        <v>Усть-Каменогорск</v>
      </c>
      <c r="F284" s="13" t="n">
        <f aca="false">'РПН 01.08 по МО'!D282</f>
        <v>29420</v>
      </c>
      <c r="G284" s="14" t="n">
        <f aca="false">INDEX('Расчет Кплотн'!$K:$K,MATCH(D284,'Расчет Кплотн'!$A:$A,0))</f>
        <v>1</v>
      </c>
      <c r="H284" s="14" t="n">
        <f aca="false">INDEX('Расчет Кплотн'!$J:$J,MATCH(D284,'Расчет Кплотн'!$A:$A,0))</f>
        <v>1</v>
      </c>
      <c r="I284" s="3" t="n">
        <f aca="false">F284*Моделирование!$F$3*M284*G284/1000</f>
        <v>595285.4568</v>
      </c>
      <c r="J284" s="3" t="n">
        <f aca="false">F284*Моделирование!$F$3*M284*H284/1000</f>
        <v>595285.4568</v>
      </c>
      <c r="K284" s="3" t="n">
        <f aca="false">J284-I284</f>
        <v>0</v>
      </c>
      <c r="L284" s="4" t="n">
        <f aca="false">IFERROR(K284/I284,0)</f>
        <v>0</v>
      </c>
      <c r="M284" s="15" t="n">
        <f aca="false">IF(INDEX('Расчет Кплотн'!$D:$D,MATCH(D284,'Расчет Кплотн'!$A:$A,0))="район",IFERROR(VLOOKUP(INDEX('Расчет Кплотн'!$B:$B,MATCH(D284,'Расчет Кплотн'!$A:$A,0)),'БКПН (приказ 170)'!$A$4:$C$10,3,FALSE()),Моделирование!$F$2),Моделирование!$F$2)</f>
        <v>1686.17</v>
      </c>
    </row>
    <row r="285" customFormat="false" ht="15" hidden="false" customHeight="false" outlineLevel="0" collapsed="false">
      <c r="A285" s="12" t="n">
        <v>280</v>
      </c>
      <c r="B285" s="12" t="str">
        <f aca="false">'РПН 01.08 по МО'!B283</f>
        <v>ВОСТОЧНО-КАЗАХСТАНСКАЯ</v>
      </c>
      <c r="C285" s="12" t="str">
        <f aca="false">'РПН 01.08 по МО'!C283</f>
        <v>ТОО "Центр семейного здоровья Авиценна ВКО"</v>
      </c>
      <c r="D285" s="12" t="str">
        <f aca="false">'РПН 01.08 по МО'!E283</f>
        <v>6310</v>
      </c>
      <c r="E285" s="12" t="str">
        <f aca="false">'РПН 01.08 по МО'!F283</f>
        <v>Усть-Каменогорск</v>
      </c>
      <c r="F285" s="13" t="n">
        <f aca="false">'РПН 01.08 по МО'!D283</f>
        <v>14201</v>
      </c>
      <c r="G285" s="14" t="n">
        <f aca="false">INDEX('Расчет Кплотн'!$K:$K,MATCH(D285,'Расчет Кплотн'!$A:$A,0))</f>
        <v>1</v>
      </c>
      <c r="H285" s="14" t="n">
        <f aca="false">INDEX('Расчет Кплотн'!$J:$J,MATCH(D285,'Расчет Кплотн'!$A:$A,0))</f>
        <v>1</v>
      </c>
      <c r="I285" s="3" t="n">
        <f aca="false">F285*Моделирование!$F$3*M285*G285/1000</f>
        <v>287343.60204</v>
      </c>
      <c r="J285" s="3" t="n">
        <f aca="false">F285*Моделирование!$F$3*M285*H285/1000</f>
        <v>287343.60204</v>
      </c>
      <c r="K285" s="3" t="n">
        <f aca="false">J285-I285</f>
        <v>0</v>
      </c>
      <c r="L285" s="4" t="n">
        <f aca="false">IFERROR(K285/I285,0)</f>
        <v>0</v>
      </c>
      <c r="M285" s="15" t="n">
        <f aca="false">IF(INDEX('Расчет Кплотн'!$D:$D,MATCH(D285,'Расчет Кплотн'!$A:$A,0))="район",IFERROR(VLOOKUP(INDEX('Расчет Кплотн'!$B:$B,MATCH(D285,'Расчет Кплотн'!$A:$A,0)),'БКПН (приказ 170)'!$A$4:$C$10,3,FALSE()),Моделирование!$F$2),Моделирование!$F$2)</f>
        <v>1686.17</v>
      </c>
    </row>
    <row r="286" customFormat="false" ht="15" hidden="false" customHeight="false" outlineLevel="0" collapsed="false">
      <c r="A286" s="12" t="n">
        <v>281</v>
      </c>
      <c r="B286" s="12" t="str">
        <f aca="false">'РПН 01.08 по МО'!B284</f>
        <v>ВОСТОЧНО-КАЗАХСТАНСКАЯ</v>
      </c>
      <c r="C286" s="12" t="str">
        <f aca="false">'РПН 01.08 по МО'!C284</f>
        <v>У-е "Амбулаторный центр"</v>
      </c>
      <c r="D286" s="12" t="str">
        <f aca="false">'РПН 01.08 по МО'!E284</f>
        <v>6310</v>
      </c>
      <c r="E286" s="12" t="str">
        <f aca="false">'РПН 01.08 по МО'!F284</f>
        <v>Усть-Каменогорск</v>
      </c>
      <c r="F286" s="13" t="n">
        <f aca="false">'РПН 01.08 по МО'!D284</f>
        <v>21582</v>
      </c>
      <c r="G286" s="14" t="n">
        <f aca="false">INDEX('Расчет Кплотн'!$K:$K,MATCH(D286,'Расчет Кплотн'!$A:$A,0))</f>
        <v>1</v>
      </c>
      <c r="H286" s="14" t="n">
        <f aca="false">INDEX('Расчет Кплотн'!$J:$J,MATCH(D286,'Расчет Кплотн'!$A:$A,0))</f>
        <v>1</v>
      </c>
      <c r="I286" s="3" t="n">
        <f aca="false">F286*Моделирование!$F$3*M286*G286/1000</f>
        <v>436691.05128</v>
      </c>
      <c r="J286" s="3" t="n">
        <f aca="false">F286*Моделирование!$F$3*M286*H286/1000</f>
        <v>436691.05128</v>
      </c>
      <c r="K286" s="3" t="n">
        <f aca="false">J286-I286</f>
        <v>0</v>
      </c>
      <c r="L286" s="4" t="n">
        <f aca="false">IFERROR(K286/I286,0)</f>
        <v>0</v>
      </c>
      <c r="M286" s="15" t="n">
        <f aca="false">IF(INDEX('Расчет Кплотн'!$D:$D,MATCH(D286,'Расчет Кплотн'!$A:$A,0))="район",IFERROR(VLOOKUP(INDEX('Расчет Кплотн'!$B:$B,MATCH(D286,'Расчет Кплотн'!$A:$A,0)),'БКПН (приказ 170)'!$A$4:$C$10,3,FALSE()),Моделирование!$F$2),Моделирование!$F$2)</f>
        <v>1686.17</v>
      </c>
    </row>
    <row r="287" customFormat="false" ht="15" hidden="false" customHeight="false" outlineLevel="0" collapsed="false">
      <c r="A287" s="12" t="n">
        <v>282</v>
      </c>
      <c r="B287" s="12" t="str">
        <f aca="false">'РПН 01.08 по МО'!B285</f>
        <v>ВОСТОЧНО-КАЗАХСТАНСКАЯ</v>
      </c>
      <c r="C287" s="12" t="str">
        <f aca="false">'РПН 01.08 по МО'!C285</f>
        <v>У-е "Левобережная клиника"</v>
      </c>
      <c r="D287" s="12" t="str">
        <f aca="false">'РПН 01.08 по МО'!E285</f>
        <v>6310</v>
      </c>
      <c r="E287" s="12" t="str">
        <f aca="false">'РПН 01.08 по МО'!F285</f>
        <v>Усть-Каменогорск</v>
      </c>
      <c r="F287" s="13" t="n">
        <f aca="false">'РПН 01.08 по МО'!D285</f>
        <v>34728</v>
      </c>
      <c r="G287" s="14" t="n">
        <f aca="false">INDEX('Расчет Кплотн'!$K:$K,MATCH(D287,'Расчет Кплотн'!$A:$A,0))</f>
        <v>1</v>
      </c>
      <c r="H287" s="14" t="n">
        <f aca="false">INDEX('Расчет Кплотн'!$J:$J,MATCH(D287,'Расчет Кплотн'!$A:$A,0))</f>
        <v>1</v>
      </c>
      <c r="I287" s="3" t="n">
        <f aca="false">F287*Моделирование!$F$3*M287*G287/1000</f>
        <v>702687.74112</v>
      </c>
      <c r="J287" s="3" t="n">
        <f aca="false">F287*Моделирование!$F$3*M287*H287/1000</f>
        <v>702687.74112</v>
      </c>
      <c r="K287" s="3" t="n">
        <f aca="false">J287-I287</f>
        <v>0</v>
      </c>
      <c r="L287" s="4" t="n">
        <f aca="false">IFERROR(K287/I287,0)</f>
        <v>0</v>
      </c>
      <c r="M287" s="15" t="n">
        <f aca="false">IF(INDEX('Расчет Кплотн'!$D:$D,MATCH(D287,'Расчет Кплотн'!$A:$A,0))="район",IFERROR(VLOOKUP(INDEX('Расчет Кплотн'!$B:$B,MATCH(D287,'Расчет Кплотн'!$A:$A,0)),'БКПН (приказ 170)'!$A$4:$C$10,3,FALSE()),Моделирование!$F$2),Моделирование!$F$2)</f>
        <v>1686.17</v>
      </c>
    </row>
    <row r="288" customFormat="false" ht="15" hidden="false" customHeight="false" outlineLevel="0" collapsed="false">
      <c r="A288" s="12" t="n">
        <v>283</v>
      </c>
      <c r="B288" s="12" t="str">
        <f aca="false">'РПН 01.08 по МО'!B286</f>
        <v>ВОСТОЧНО-КАЗАХСТАНСКАЯ</v>
      </c>
      <c r="C288" s="12" t="str">
        <f aca="false">'РПН 01.08 по МО'!C286</f>
        <v>Коммунальное государственное предприятие на праве хозяйственного ведения «Районная больница района Үлкен Нарын» управления здравоохранения Восточно-Казахстанской области</v>
      </c>
      <c r="D288" s="12" t="str">
        <f aca="false">'РПН 01.08 по МО'!E286</f>
        <v>6363</v>
      </c>
      <c r="E288" s="12" t="str">
        <f aca="false">'РПН 01.08 по МО'!F286</f>
        <v>район Үлкен Нарын</v>
      </c>
      <c r="F288" s="13" t="n">
        <f aca="false">'РПН 01.08 по МО'!D286</f>
        <v>9397</v>
      </c>
      <c r="G288" s="14" t="n">
        <f aca="false">INDEX('Расчет Кплотн'!$K:$K,MATCH(D288,'Расчет Кплотн'!$A:$A,0))</f>
        <v>2</v>
      </c>
      <c r="H288" s="14" t="n">
        <f aca="false">INDEX('Расчет Кплотн'!$J:$J,MATCH(D288,'Расчет Кплотн'!$A:$A,0))</f>
        <v>2</v>
      </c>
      <c r="I288" s="3" t="n">
        <f aca="false">F288*Моделирование!$F$3*M288*G288/1000</f>
        <v>431189.23848</v>
      </c>
      <c r="J288" s="3" t="n">
        <f aca="false">F288*Моделирование!$F$3*M288*H288/1000</f>
        <v>431189.23848</v>
      </c>
      <c r="K288" s="3" t="n">
        <f aca="false">J288-I288</f>
        <v>0</v>
      </c>
      <c r="L288" s="4" t="n">
        <f aca="false">IFERROR(K288/I288,0)</f>
        <v>0</v>
      </c>
      <c r="M288" s="15" t="n">
        <f aca="false">IF(INDEX('Расчет Кплотн'!$D:$D,MATCH(D288,'Расчет Кплотн'!$A:$A,0))="район",IFERROR(VLOOKUP(INDEX('Расчет Кплотн'!$B:$B,MATCH(D288,'Расчет Кплотн'!$A:$A,0)),'БКПН (приказ 170)'!$A$4:$C$10,3,FALSE()),Моделирование!$F$2),Моделирование!$F$2)</f>
        <v>1911.91</v>
      </c>
    </row>
    <row r="289" customFormat="false" ht="15" hidden="false" customHeight="false" outlineLevel="0" collapsed="false">
      <c r="A289" s="12" t="n">
        <v>284</v>
      </c>
      <c r="B289" s="12" t="str">
        <f aca="false">'РПН 01.08 по МО'!B287</f>
        <v>ВОСТОЧНО-КАЗАХСТАНСКАЯ</v>
      </c>
      <c r="C289" s="12" t="str">
        <f aca="false">'РПН 01.08 по МО'!C287</f>
        <v>ТОО "Защитинская железнодорожная больница"</v>
      </c>
      <c r="D289" s="12" t="str">
        <f aca="false">'РПН 01.08 по МО'!E287</f>
        <v>6310</v>
      </c>
      <c r="E289" s="12" t="str">
        <f aca="false">'РПН 01.08 по МО'!F287</f>
        <v>Усть-Каменогорск</v>
      </c>
      <c r="F289" s="13" t="n">
        <f aca="false">'РПН 01.08 по МО'!D287</f>
        <v>18685</v>
      </c>
      <c r="G289" s="14" t="n">
        <f aca="false">INDEX('Расчет Кплотн'!$K:$K,MATCH(D289,'Расчет Кплотн'!$A:$A,0))</f>
        <v>1</v>
      </c>
      <c r="H289" s="14" t="n">
        <f aca="false">INDEX('Расчет Кплотн'!$J:$J,MATCH(D289,'Расчет Кплотн'!$A:$A,0))</f>
        <v>1</v>
      </c>
      <c r="I289" s="3" t="n">
        <f aca="false">F289*Моделирование!$F$3*M289*G289/1000</f>
        <v>378073.0374</v>
      </c>
      <c r="J289" s="3" t="n">
        <f aca="false">F289*Моделирование!$F$3*M289*H289/1000</f>
        <v>378073.0374</v>
      </c>
      <c r="K289" s="3" t="n">
        <f aca="false">J289-I289</f>
        <v>0</v>
      </c>
      <c r="L289" s="4" t="n">
        <f aca="false">IFERROR(K289/I289,0)</f>
        <v>0</v>
      </c>
      <c r="M289" s="15" t="n">
        <f aca="false">IF(INDEX('Расчет Кплотн'!$D:$D,MATCH(D289,'Расчет Кплотн'!$A:$A,0))="район",IFERROR(VLOOKUP(INDEX('Расчет Кплотн'!$B:$B,MATCH(D289,'Расчет Кплотн'!$A:$A,0)),'БКПН (приказ 170)'!$A$4:$C$10,3,FALSE()),Моделирование!$F$2),Моделирование!$F$2)</f>
        <v>1686.17</v>
      </c>
    </row>
    <row r="290" customFormat="false" ht="15" hidden="false" customHeight="false" outlineLevel="0" collapsed="false">
      <c r="A290" s="12" t="n">
        <v>285</v>
      </c>
      <c r="B290" s="12" t="str">
        <f aca="false">'РПН 01.08 по МО'!B288</f>
        <v>ВОСТОЧНО-КАЗАХСТАНСКАЯ</v>
      </c>
      <c r="C290" s="12" t="str">
        <f aca="false">'РПН 01.08 по МО'!C288</f>
        <v>Коммунальное государственное предприятие на праве хозяйственного ведения "Районная больница Катон-Карагайского района" управления здравоохранения Восточно-Казахстанской области</v>
      </c>
      <c r="D290" s="12" t="str">
        <f aca="false">'РПН 01.08 по МО'!E288</f>
        <v>6354</v>
      </c>
      <c r="E290" s="12" t="str">
        <f aca="false">'РПН 01.08 по МО'!F288</f>
        <v>Катон-Карагайский район</v>
      </c>
      <c r="F290" s="13" t="n">
        <f aca="false">'РПН 01.08 по МО'!D288</f>
        <v>8541</v>
      </c>
      <c r="G290" s="14" t="n">
        <f aca="false">INDEX('Расчет Кплотн'!$K:$K,MATCH(D290,'Расчет Кплотн'!$A:$A,0))</f>
        <v>2</v>
      </c>
      <c r="H290" s="14" t="n">
        <f aca="false">INDEX('Расчет Кплотн'!$J:$J,MATCH(D290,'Расчет Кплотн'!$A:$A,0))</f>
        <v>2</v>
      </c>
      <c r="I290" s="3" t="n">
        <f aca="false">F290*Моделирование!$F$3*M290*G290/1000</f>
        <v>391910.95944</v>
      </c>
      <c r="J290" s="3" t="n">
        <f aca="false">F290*Моделирование!$F$3*M290*H290/1000</f>
        <v>391910.95944</v>
      </c>
      <c r="K290" s="3" t="n">
        <f aca="false">J290-I290</f>
        <v>0</v>
      </c>
      <c r="L290" s="4" t="n">
        <f aca="false">IFERROR(K290/I290,0)</f>
        <v>0</v>
      </c>
      <c r="M290" s="15" t="n">
        <f aca="false">IF(INDEX('Расчет Кплотн'!$D:$D,MATCH(D290,'Расчет Кплотн'!$A:$A,0))="район",IFERROR(VLOOKUP(INDEX('Расчет Кплотн'!$B:$B,MATCH(D290,'Расчет Кплотн'!$A:$A,0)),'БКПН (приказ 170)'!$A$4:$C$10,3,FALSE()),Моделирование!$F$2),Моделирование!$F$2)</f>
        <v>1911.91</v>
      </c>
    </row>
    <row r="291" customFormat="false" ht="15" hidden="false" customHeight="false" outlineLevel="0" collapsed="false">
      <c r="A291" s="12" t="n">
        <v>286</v>
      </c>
      <c r="B291" s="12" t="str">
        <f aca="false">'РПН 01.08 по МО'!B289</f>
        <v>ВОСТОЧНО-КАЗАХСТАНСКАЯ</v>
      </c>
      <c r="C291" s="12" t="str">
        <f aca="false">'РПН 01.08 по МО'!C289</f>
        <v>Коммунальное государственное предприятие на праве хозяйственного ведения "Районная больница Уланского района" управления здравоохранения Восточно-Казахстанской области</v>
      </c>
      <c r="D291" s="12" t="str">
        <f aca="false">'РПН 01.08 по МО'!E289</f>
        <v>6362</v>
      </c>
      <c r="E291" s="12" t="str">
        <f aca="false">'РПН 01.08 по МО'!F289</f>
        <v>Уланский район</v>
      </c>
      <c r="F291" s="13" t="n">
        <f aca="false">'РПН 01.08 по МО'!D289</f>
        <v>28068</v>
      </c>
      <c r="G291" s="14" t="n">
        <f aca="false">INDEX('Расчет Кплотн'!$K:$K,MATCH(D291,'Расчет Кплотн'!$A:$A,0))</f>
        <v>1.5835</v>
      </c>
      <c r="H291" s="14" t="n">
        <f aca="false">INDEX('Расчет Кплотн'!$J:$J,MATCH(D291,'Расчет Кплотн'!$A:$A,0))</f>
        <v>2</v>
      </c>
      <c r="I291" s="3" t="n">
        <f aca="false">F291*Моделирование!$F$3*M291*G291/1000</f>
        <v>1019713.63469976</v>
      </c>
      <c r="J291" s="3" t="n">
        <f aca="false">F291*Моделирование!$F$3*M291*H291/1000</f>
        <v>1287923.75712</v>
      </c>
      <c r="K291" s="3" t="n">
        <f aca="false">J291-I291</f>
        <v>268210.12242024</v>
      </c>
      <c r="L291" s="4" t="n">
        <f aca="false">IFERROR(K291/I291,0)</f>
        <v>0.263024944742659</v>
      </c>
      <c r="M291" s="15" t="n">
        <f aca="false">IF(INDEX('Расчет Кплотн'!$D:$D,MATCH(D291,'Расчет Кплотн'!$A:$A,0))="район",IFERROR(VLOOKUP(INDEX('Расчет Кплотн'!$B:$B,MATCH(D291,'Расчет Кплотн'!$A:$A,0)),'БКПН (приказ 170)'!$A$4:$C$10,3,FALSE()),Моделирование!$F$2),Моделирование!$F$2)</f>
        <v>1911.91</v>
      </c>
    </row>
    <row r="292" customFormat="false" ht="15" hidden="false" customHeight="false" outlineLevel="0" collapsed="false">
      <c r="A292" s="12" t="n">
        <v>287</v>
      </c>
      <c r="B292" s="12" t="str">
        <f aca="false">'РПН 01.08 по МО'!B290</f>
        <v>ВОСТОЧНО-КАЗАХСТАНСКАЯ</v>
      </c>
      <c r="C292" s="12" t="str">
        <f aca="false">'РПН 01.08 по МО'!C290</f>
        <v>КГП на ПХВ "Межрайонная больница района Алтай" управления здравоохранения Восточно-Казахстанской области</v>
      </c>
      <c r="D292" s="12" t="str">
        <f aca="false">'РПН 01.08 по МО'!E290</f>
        <v>6348</v>
      </c>
      <c r="E292" s="12" t="str">
        <f aca="false">'РПН 01.08 по МО'!F290</f>
        <v>район Алтай</v>
      </c>
      <c r="F292" s="13" t="n">
        <f aca="false">'РПН 01.08 по МО'!D290</f>
        <v>42720</v>
      </c>
      <c r="G292" s="14" t="n">
        <f aca="false">INDEX('Расчет Кплотн'!$K:$K,MATCH(D292,'Расчет Кплотн'!$A:$A,0))</f>
        <v>1.3549</v>
      </c>
      <c r="H292" s="14" t="n">
        <f aca="false">INDEX('Расчет Кплотн'!$J:$J,MATCH(D292,'Расчет Кплотн'!$A:$A,0))</f>
        <v>1.9417</v>
      </c>
      <c r="I292" s="3" t="n">
        <f aca="false">F292*Моделирование!$F$3*M292*G292/1000</f>
        <v>1327966.67779776</v>
      </c>
      <c r="J292" s="3" t="n">
        <f aca="false">F292*Моделирование!$F$3*M292*H292/1000</f>
        <v>1903101.99887808</v>
      </c>
      <c r="K292" s="3" t="n">
        <f aca="false">J292-I292</f>
        <v>575135.32108032</v>
      </c>
      <c r="L292" s="4" t="n">
        <f aca="false">IFERROR(K292/I292,0)</f>
        <v>0.433094693335302</v>
      </c>
      <c r="M292" s="15" t="n">
        <f aca="false">IF(INDEX('Расчет Кплотн'!$D:$D,MATCH(D292,'Расчет Кплотн'!$A:$A,0))="район",IFERROR(VLOOKUP(INDEX('Расчет Кплотн'!$B:$B,MATCH(D292,'Расчет Кплотн'!$A:$A,0)),'БКПН (приказ 170)'!$A$4:$C$10,3,FALSE()),Моделирование!$F$2),Моделирование!$F$2)</f>
        <v>1911.91</v>
      </c>
    </row>
    <row r="293" customFormat="false" ht="15" hidden="false" customHeight="false" outlineLevel="0" collapsed="false">
      <c r="A293" s="12" t="n">
        <v>288</v>
      </c>
      <c r="B293" s="12" t="str">
        <f aca="false">'РПН 01.08 по МО'!B291</f>
        <v>ВОСТОЧНО-КАЗАХСТАНСКАЯ</v>
      </c>
      <c r="C293" s="12" t="str">
        <f aca="false">'РПН 01.08 по МО'!C291</f>
        <v>Коммунальное государственное предприятие на праве хозяйственного ведения "Поликлиника № 1 города Усть-Каменогорска" управления здравоохранения Восточно-Казахстанской области</v>
      </c>
      <c r="D293" s="12" t="str">
        <f aca="false">'РПН 01.08 по МО'!E291</f>
        <v>6310</v>
      </c>
      <c r="E293" s="12" t="str">
        <f aca="false">'РПН 01.08 по МО'!F291</f>
        <v>Усть-Каменогорск</v>
      </c>
      <c r="F293" s="13" t="n">
        <f aca="false">'РПН 01.08 по МО'!D291</f>
        <v>63972</v>
      </c>
      <c r="G293" s="14" t="n">
        <f aca="false">INDEX('Расчет Кплотн'!$K:$K,MATCH(D293,'Расчет Кплотн'!$A:$A,0))</f>
        <v>1</v>
      </c>
      <c r="H293" s="14" t="n">
        <f aca="false">INDEX('Расчет Кплотн'!$J:$J,MATCH(D293,'Расчет Кплотн'!$A:$A,0))</f>
        <v>1</v>
      </c>
      <c r="I293" s="3" t="n">
        <f aca="false">F293*Моделирование!$F$3*M293*G293/1000</f>
        <v>1294412.00688</v>
      </c>
      <c r="J293" s="3" t="n">
        <f aca="false">F293*Моделирование!$F$3*M293*H293/1000</f>
        <v>1294412.00688</v>
      </c>
      <c r="K293" s="3" t="n">
        <f aca="false">J293-I293</f>
        <v>0</v>
      </c>
      <c r="L293" s="4" t="n">
        <f aca="false">IFERROR(K293/I293,0)</f>
        <v>0</v>
      </c>
      <c r="M293" s="15" t="n">
        <f aca="false">IF(INDEX('Расчет Кплотн'!$D:$D,MATCH(D293,'Расчет Кплотн'!$A:$A,0))="район",IFERROR(VLOOKUP(INDEX('Расчет Кплотн'!$B:$B,MATCH(D293,'Расчет Кплотн'!$A:$A,0)),'БКПН (приказ 170)'!$A$4:$C$10,3,FALSE()),Моделирование!$F$2),Моделирование!$F$2)</f>
        <v>1686.17</v>
      </c>
    </row>
    <row r="294" customFormat="false" ht="15" hidden="false" customHeight="false" outlineLevel="0" collapsed="false">
      <c r="A294" s="12" t="n">
        <v>289</v>
      </c>
      <c r="B294" s="12" t="str">
        <f aca="false">'РПН 01.08 по МО'!B292</f>
        <v>ВОСТОЧНО-КАЗАХСТАНСКАЯ</v>
      </c>
      <c r="C294" s="12" t="str">
        <f aca="false">'РПН 01.08 по МО'!C292</f>
        <v>Коммунальное государственное предприятие на праве хозяйственного ведения "Городская поликлиника № 2 города Усть-Каменогорск" управления здравоохранения Восточно-Казахстанского областного акимата</v>
      </c>
      <c r="D294" s="12" t="str">
        <f aca="false">'РПН 01.08 по МО'!E292</f>
        <v>6310</v>
      </c>
      <c r="E294" s="12" t="str">
        <f aca="false">'РПН 01.08 по МО'!F292</f>
        <v>Усть-Каменогорск</v>
      </c>
      <c r="F294" s="13" t="n">
        <f aca="false">'РПН 01.08 по МО'!D292</f>
        <v>51779</v>
      </c>
      <c r="G294" s="14" t="n">
        <f aca="false">INDEX('Расчет Кплотн'!$K:$K,MATCH(D294,'Расчет Кплотн'!$A:$A,0))</f>
        <v>1</v>
      </c>
      <c r="H294" s="14" t="n">
        <f aca="false">INDEX('Расчет Кплотн'!$J:$J,MATCH(D294,'Расчет Кплотн'!$A:$A,0))</f>
        <v>1</v>
      </c>
      <c r="I294" s="3" t="n">
        <f aca="false">F294*Моделирование!$F$3*M294*G294/1000</f>
        <v>1047698.35716</v>
      </c>
      <c r="J294" s="3" t="n">
        <f aca="false">F294*Моделирование!$F$3*M294*H294/1000</f>
        <v>1047698.35716</v>
      </c>
      <c r="K294" s="3" t="n">
        <f aca="false">J294-I294</f>
        <v>0</v>
      </c>
      <c r="L294" s="4" t="n">
        <f aca="false">IFERROR(K294/I294,0)</f>
        <v>0</v>
      </c>
      <c r="M294" s="15" t="n">
        <f aca="false">IF(INDEX('Расчет Кплотн'!$D:$D,MATCH(D294,'Расчет Кплотн'!$A:$A,0))="район",IFERROR(VLOOKUP(INDEX('Расчет Кплотн'!$B:$B,MATCH(D294,'Расчет Кплотн'!$A:$A,0)),'БКПН (приказ 170)'!$A$4:$C$10,3,FALSE()),Моделирование!$F$2),Моделирование!$F$2)</f>
        <v>1686.17</v>
      </c>
    </row>
    <row r="295" customFormat="false" ht="15" hidden="false" customHeight="false" outlineLevel="0" collapsed="false">
      <c r="A295" s="12" t="n">
        <v>290</v>
      </c>
      <c r="B295" s="12" t="str">
        <f aca="false">'РПН 01.08 по МО'!B293</f>
        <v>ВОСТОЧНО-КАЗАХСТАНСКАЯ</v>
      </c>
      <c r="C295" s="12" t="str">
        <f aca="false">'РПН 01.08 по МО'!C293</f>
        <v>КГП на ПХВ "Центр первичной медико-санитарной помощи № 1 города Усть-Каменогорска" управления здравоохранения Восточно-Казахстанской области</v>
      </c>
      <c r="D295" s="12" t="str">
        <f aca="false">'РПН 01.08 по МО'!E293</f>
        <v>6310</v>
      </c>
      <c r="E295" s="12" t="str">
        <f aca="false">'РПН 01.08 по МО'!F293</f>
        <v>Усть-Каменогорск</v>
      </c>
      <c r="F295" s="13" t="n">
        <f aca="false">'РПН 01.08 по МО'!D293</f>
        <v>26864</v>
      </c>
      <c r="G295" s="14" t="n">
        <f aca="false">INDEX('Расчет Кплотн'!$K:$K,MATCH(D295,'Расчет Кплотн'!$A:$A,0))</f>
        <v>1</v>
      </c>
      <c r="H295" s="14" t="n">
        <f aca="false">INDEX('Расчет Кплотн'!$J:$J,MATCH(D295,'Расчет Кплотн'!$A:$A,0))</f>
        <v>1</v>
      </c>
      <c r="I295" s="3" t="n">
        <f aca="false">F295*Моделирование!$F$3*M295*G295/1000</f>
        <v>543567.25056</v>
      </c>
      <c r="J295" s="3" t="n">
        <f aca="false">F295*Моделирование!$F$3*M295*H295/1000</f>
        <v>543567.25056</v>
      </c>
      <c r="K295" s="3" t="n">
        <f aca="false">J295-I295</f>
        <v>0</v>
      </c>
      <c r="L295" s="4" t="n">
        <f aca="false">IFERROR(K295/I295,0)</f>
        <v>0</v>
      </c>
      <c r="M295" s="15" t="n">
        <f aca="false">IF(INDEX('Расчет Кплотн'!$D:$D,MATCH(D295,'Расчет Кплотн'!$A:$A,0))="район",IFERROR(VLOOKUP(INDEX('Расчет Кплотн'!$B:$B,MATCH(D295,'Расчет Кплотн'!$A:$A,0)),'БКПН (приказ 170)'!$A$4:$C$10,3,FALSE()),Моделирование!$F$2),Моделирование!$F$2)</f>
        <v>1686.17</v>
      </c>
    </row>
    <row r="296" customFormat="false" ht="15" hidden="false" customHeight="false" outlineLevel="0" collapsed="false">
      <c r="A296" s="12" t="n">
        <v>291</v>
      </c>
      <c r="B296" s="12" t="str">
        <f aca="false">'РПН 01.08 по МО'!B294</f>
        <v>ВОСТОЧНО-КАЗАХСТАНСКАЯ</v>
      </c>
      <c r="C296" s="12" t="str">
        <f aca="false">'РПН 01.08 по МО'!C294</f>
        <v>КГП на ПХВ "Центр матери и ребенка" управления здравоохранения Восточно-Казахстанского областного акимата</v>
      </c>
      <c r="D296" s="12" t="str">
        <f aca="false">'РПН 01.08 по МО'!E294</f>
        <v>6310</v>
      </c>
      <c r="E296" s="12" t="str">
        <f aca="false">'РПН 01.08 по МО'!F294</f>
        <v>Усть-Каменогорск</v>
      </c>
      <c r="F296" s="13" t="n">
        <f aca="false">'РПН 01.08 по МО'!D294</f>
        <v>25286</v>
      </c>
      <c r="G296" s="14" t="n">
        <f aca="false">INDEX('Расчет Кплотн'!$K:$K,MATCH(D296,'Расчет Кплотн'!$A:$A,0))</f>
        <v>1</v>
      </c>
      <c r="H296" s="14" t="n">
        <f aca="false">INDEX('Расчет Кплотн'!$J:$J,MATCH(D296,'Расчет Кплотн'!$A:$A,0))</f>
        <v>1</v>
      </c>
      <c r="I296" s="3" t="n">
        <f aca="false">F296*Моделирование!$F$3*M296*G296/1000</f>
        <v>511637.93544</v>
      </c>
      <c r="J296" s="3" t="n">
        <f aca="false">F296*Моделирование!$F$3*M296*H296/1000</f>
        <v>511637.93544</v>
      </c>
      <c r="K296" s="3" t="n">
        <f aca="false">J296-I296</f>
        <v>0</v>
      </c>
      <c r="L296" s="4" t="n">
        <f aca="false">IFERROR(K296/I296,0)</f>
        <v>0</v>
      </c>
      <c r="M296" s="15" t="n">
        <f aca="false">IF(INDEX('Расчет Кплотн'!$D:$D,MATCH(D296,'Расчет Кплотн'!$A:$A,0))="район",IFERROR(VLOOKUP(INDEX('Расчет Кплотн'!$B:$B,MATCH(D296,'Расчет Кплотн'!$A:$A,0)),'БКПН (приказ 170)'!$A$4:$C$10,3,FALSE()),Моделирование!$F$2),Моделирование!$F$2)</f>
        <v>1686.17</v>
      </c>
    </row>
    <row r="297" customFormat="false" ht="15" hidden="false" customHeight="false" outlineLevel="0" collapsed="false">
      <c r="A297" s="12" t="n">
        <v>292</v>
      </c>
      <c r="B297" s="12" t="str">
        <f aca="false">'РПН 01.08 по МО'!B295</f>
        <v>ВОСТОЧНО-КАЗАХСТАНСКАЯ</v>
      </c>
      <c r="C297" s="12" t="str">
        <f aca="false">'РПН 01.08 по МО'!C295</f>
        <v>КГП на ПХВ "Районная больница Шемонаихинского района" управления здравоохранения Восточно-Казахстанской области</v>
      </c>
      <c r="D297" s="12" t="str">
        <f aca="false">'РПН 01.08 по МО'!E295</f>
        <v>6368</v>
      </c>
      <c r="E297" s="12" t="str">
        <f aca="false">'РПН 01.08 по МО'!F295</f>
        <v>Шемонаихинский район</v>
      </c>
      <c r="F297" s="13" t="n">
        <f aca="false">'РПН 01.08 по МО'!D295</f>
        <v>39767</v>
      </c>
      <c r="G297" s="14" t="n">
        <f aca="false">INDEX('Расчет Кплотн'!$K:$K,MATCH(D297,'Расчет Кплотн'!$A:$A,0))</f>
        <v>1.1942</v>
      </c>
      <c r="H297" s="14" t="n">
        <f aca="false">INDEX('Расчет Кплотн'!$J:$J,MATCH(D297,'Расчет Кплотн'!$A:$A,0))</f>
        <v>1.5016</v>
      </c>
      <c r="I297" s="3" t="n">
        <f aca="false">F297*Моделирование!$F$3*M297*G297/1000</f>
        <v>1089553.56719009</v>
      </c>
      <c r="J297" s="3" t="n">
        <f aca="false">F297*Моделирование!$F$3*M297*H297/1000</f>
        <v>1370016.44321942</v>
      </c>
      <c r="K297" s="3" t="n">
        <f aca="false">J297-I297</f>
        <v>280462.876029336</v>
      </c>
      <c r="L297" s="4" t="n">
        <f aca="false">IFERROR(K297/I297,0)</f>
        <v>0.257410818958298</v>
      </c>
      <c r="M297" s="15" t="n">
        <f aca="false">IF(INDEX('Расчет Кплотн'!$D:$D,MATCH(D297,'Расчет Кплотн'!$A:$A,0))="район",IFERROR(VLOOKUP(INDEX('Расчет Кплотн'!$B:$B,MATCH(D297,'Расчет Кплотн'!$A:$A,0)),'БКПН (приказ 170)'!$A$4:$C$10,3,FALSE()),Моделирование!$F$2),Моделирование!$F$2)</f>
        <v>1911.91</v>
      </c>
    </row>
    <row r="298" customFormat="false" ht="15" hidden="false" customHeight="false" outlineLevel="0" collapsed="false">
      <c r="A298" s="12" t="n">
        <v>293</v>
      </c>
      <c r="B298" s="12" t="str">
        <f aca="false">'РПН 01.08 по МО'!B296</f>
        <v>ВОСТОЧНО-КАЗАХСТАНСКАЯ</v>
      </c>
      <c r="C298" s="12" t="str">
        <f aca="false">'РПН 01.08 по МО'!C296</f>
        <v>КГП на ПХВ "Районная больница Тарбагатайского района" управления здравоохранения ВКО</v>
      </c>
      <c r="D298" s="12" t="str">
        <f aca="false">'РПН 01.08 по МО'!E296</f>
        <v>6358</v>
      </c>
      <c r="E298" s="12" t="str">
        <f aca="false">'РПН 01.08 по МО'!F296</f>
        <v>Тарбагатайский район</v>
      </c>
      <c r="F298" s="13" t="n">
        <f aca="false">'РПН 01.08 по МО'!D296</f>
        <v>16838</v>
      </c>
      <c r="G298" s="14" t="n">
        <f aca="false">INDEX('Расчет Кплотн'!$K:$K,MATCH(D298,'Расчет Кплотн'!$A:$A,0))</f>
        <v>2</v>
      </c>
      <c r="H298" s="14" t="n">
        <f aca="false">INDEX('Расчет Кплотн'!$J:$J,MATCH(D298,'Расчет Кплотн'!$A:$A,0))</f>
        <v>2</v>
      </c>
      <c r="I298" s="3" t="n">
        <f aca="false">F298*Моделирование!$F$3*M298*G298/1000</f>
        <v>772625.77392</v>
      </c>
      <c r="J298" s="3" t="n">
        <f aca="false">F298*Моделирование!$F$3*M298*H298/1000</f>
        <v>772625.77392</v>
      </c>
      <c r="K298" s="3" t="n">
        <f aca="false">J298-I298</f>
        <v>0</v>
      </c>
      <c r="L298" s="4" t="n">
        <f aca="false">IFERROR(K298/I298,0)</f>
        <v>0</v>
      </c>
      <c r="M298" s="15" t="n">
        <f aca="false">IF(INDEX('Расчет Кплотн'!$D:$D,MATCH(D298,'Расчет Кплотн'!$A:$A,0))="район",IFERROR(VLOOKUP(INDEX('Расчет Кплотн'!$B:$B,MATCH(D298,'Расчет Кплотн'!$A:$A,0)),'БКПН (приказ 170)'!$A$4:$C$10,3,FALSE()),Моделирование!$F$2),Моделирование!$F$2)</f>
        <v>1911.91</v>
      </c>
    </row>
    <row r="299" customFormat="false" ht="15" hidden="false" customHeight="false" outlineLevel="0" collapsed="false">
      <c r="A299" s="12" t="n">
        <v>294</v>
      </c>
      <c r="B299" s="12" t="str">
        <f aca="false">'РПН 01.08 по МО'!B297</f>
        <v>ВОСТОЧНО-КАЗАХСТАНСКАЯ</v>
      </c>
      <c r="C299" s="12" t="str">
        <f aca="false">'РПН 01.08 по МО'!C297</f>
        <v>КГП на ПХВ "Районная больница района Самар" управления здравоохранения Восточно-Казахстанской области</v>
      </c>
      <c r="D299" s="12" t="str">
        <f aca="false">'РПН 01.08 по МО'!E297</f>
        <v>6356</v>
      </c>
      <c r="E299" s="12" t="str">
        <f aca="false">'РПН 01.08 по МО'!F297</f>
        <v>район Самар</v>
      </c>
      <c r="F299" s="13" t="n">
        <f aca="false">'РПН 01.08 по МО'!D297</f>
        <v>10576</v>
      </c>
      <c r="G299" s="14" t="n">
        <f aca="false">INDEX('Расчет Кплотн'!$K:$K,MATCH(D299,'Расчет Кплотн'!$A:$A,0))</f>
        <v>1.9345</v>
      </c>
      <c r="H299" s="14" t="n">
        <f aca="false">INDEX('Расчет Кплотн'!$J:$J,MATCH(D299,'Расчет Кплотн'!$A:$A,0))</f>
        <v>2</v>
      </c>
      <c r="I299" s="3" t="n">
        <f aca="false">F299*Моделирование!$F$3*M299*G299/1000</f>
        <v>469395.44075424</v>
      </c>
      <c r="J299" s="3" t="n">
        <f aca="false">F299*Моделирование!$F$3*M299*H299/1000</f>
        <v>485288.64384</v>
      </c>
      <c r="K299" s="3" t="n">
        <f aca="false">J299-I299</f>
        <v>15893.20308576</v>
      </c>
      <c r="L299" s="4" t="n">
        <f aca="false">IFERROR(K299/I299,0)</f>
        <v>0.0338588782631171</v>
      </c>
      <c r="M299" s="15" t="n">
        <f aca="false">IF(INDEX('Расчет Кплотн'!$D:$D,MATCH(D299,'Расчет Кплотн'!$A:$A,0))="район",IFERROR(VLOOKUP(INDEX('Расчет Кплотн'!$B:$B,MATCH(D299,'Расчет Кплотн'!$A:$A,0)),'БКПН (приказ 170)'!$A$4:$C$10,3,FALSE()),Моделирование!$F$2),Моделирование!$F$2)</f>
        <v>1911.91</v>
      </c>
    </row>
    <row r="300" customFormat="false" ht="15" hidden="false" customHeight="false" outlineLevel="0" collapsed="false">
      <c r="A300" s="12" t="n">
        <v>295</v>
      </c>
      <c r="B300" s="12" t="str">
        <f aca="false">'РПН 01.08 по МО'!B298</f>
        <v>ВОСТОЧНО-КАЗАХСТАНСКАЯ</v>
      </c>
      <c r="C300" s="12" t="str">
        <f aca="false">'РПН 01.08 по МО'!C298</f>
        <v>КГП на ПХВ "Районная больница Курчумского района" управления здравоохранения Восточно-Казахстанской области</v>
      </c>
      <c r="D300" s="12" t="str">
        <f aca="false">'РПН 01.08 по МО'!E298</f>
        <v>6352</v>
      </c>
      <c r="E300" s="12" t="str">
        <f aca="false">'РПН 01.08 по МО'!F298</f>
        <v>Курчумский район</v>
      </c>
      <c r="F300" s="13" t="n">
        <f aca="false">'РПН 01.08 по МО'!D298</f>
        <v>19628</v>
      </c>
      <c r="G300" s="14" t="n">
        <f aca="false">INDEX('Расчет Кплотн'!$K:$K,MATCH(D300,'Расчет Кплотн'!$A:$A,0))</f>
        <v>2</v>
      </c>
      <c r="H300" s="14" t="n">
        <f aca="false">INDEX('Расчет Кплотн'!$J:$J,MATCH(D300,'Расчет Кплотн'!$A:$A,0))</f>
        <v>2</v>
      </c>
      <c r="I300" s="3" t="n">
        <f aca="false">F300*Моделирование!$F$3*M300*G300/1000</f>
        <v>900647.26752</v>
      </c>
      <c r="J300" s="3" t="n">
        <f aca="false">F300*Моделирование!$F$3*M300*H300/1000</f>
        <v>900647.26752</v>
      </c>
      <c r="K300" s="3" t="n">
        <f aca="false">J300-I300</f>
        <v>0</v>
      </c>
      <c r="L300" s="4" t="n">
        <f aca="false">IFERROR(K300/I300,0)</f>
        <v>0</v>
      </c>
      <c r="M300" s="15" t="n">
        <f aca="false">IF(INDEX('Расчет Кплотн'!$D:$D,MATCH(D300,'Расчет Кплотн'!$A:$A,0))="район",IFERROR(VLOOKUP(INDEX('Расчет Кплотн'!$B:$B,MATCH(D300,'Расчет Кплотн'!$A:$A,0)),'БКПН (приказ 170)'!$A$4:$C$10,3,FALSE()),Моделирование!$F$2),Моделирование!$F$2)</f>
        <v>1911.91</v>
      </c>
    </row>
    <row r="301" customFormat="false" ht="15" hidden="false" customHeight="false" outlineLevel="0" collapsed="false">
      <c r="A301" s="12" t="n">
        <v>296</v>
      </c>
      <c r="B301" s="12" t="str">
        <f aca="false">'РПН 01.08 по МО'!B299</f>
        <v>ВОСТОЧНО-КАЗАХСТАНСКАЯ</v>
      </c>
      <c r="C301" s="12" t="str">
        <f aca="false">'РПН 01.08 по МО'!C299</f>
        <v>КГП на ПХВ "Городская больница города Серебрянск района Алтай" управления здравоохранения Восточно-Казахстанской области</v>
      </c>
      <c r="D301" s="12" t="str">
        <f aca="false">'РПН 01.08 по МО'!E299</f>
        <v>6348</v>
      </c>
      <c r="E301" s="12" t="str">
        <f aca="false">'РПН 01.08 по МО'!F299</f>
        <v>район Алтай</v>
      </c>
      <c r="F301" s="13" t="n">
        <f aca="false">'РПН 01.08 по МО'!D299</f>
        <v>13699</v>
      </c>
      <c r="G301" s="14" t="n">
        <f aca="false">INDEX('Расчет Кплотн'!$K:$K,MATCH(D301,'Расчет Кплотн'!$A:$A,0))</f>
        <v>1.3549</v>
      </c>
      <c r="H301" s="14" t="n">
        <f aca="false">INDEX('Расчет Кплотн'!$J:$J,MATCH(D301,'Расчет Кплотн'!$A:$A,0))</f>
        <v>1.9417</v>
      </c>
      <c r="I301" s="3" t="n">
        <f aca="false">F301*Моделирование!$F$3*M301*G301/1000</f>
        <v>425838.378257292</v>
      </c>
      <c r="J301" s="3" t="n">
        <f aca="false">F301*Моделирование!$F$3*M301*H301/1000</f>
        <v>610266.720099036</v>
      </c>
      <c r="K301" s="3" t="n">
        <f aca="false">J301-I301</f>
        <v>184428.341841744</v>
      </c>
      <c r="L301" s="4" t="n">
        <f aca="false">IFERROR(K301/I301,0)</f>
        <v>0.433094693335302</v>
      </c>
      <c r="M301" s="15" t="n">
        <f aca="false">IF(INDEX('Расчет Кплотн'!$D:$D,MATCH(D301,'Расчет Кплотн'!$A:$A,0))="район",IFERROR(VLOOKUP(INDEX('Расчет Кплотн'!$B:$B,MATCH(D301,'Расчет Кплотн'!$A:$A,0)),'БКПН (приказ 170)'!$A$4:$C$10,3,FALSE()),Моделирование!$F$2),Моделирование!$F$2)</f>
        <v>1911.91</v>
      </c>
    </row>
    <row r="302" customFormat="false" ht="15" hidden="false" customHeight="false" outlineLevel="0" collapsed="false">
      <c r="A302" s="12" t="n">
        <v>297</v>
      </c>
      <c r="B302" s="12" t="str">
        <f aca="false">'РПН 01.08 по МО'!B300</f>
        <v>ВОСТОЧНО-КАЗАХСТАНСКАЯ</v>
      </c>
      <c r="C302" s="12" t="str">
        <f aca="false">'РПН 01.08 по МО'!C300</f>
        <v>КГП на праве хозяйственного ведения "Риддерская городская больница" управления здравоохранения Восточно-Казахстанского областного акимата</v>
      </c>
      <c r="D302" s="12" t="str">
        <f aca="false">'РПН 01.08 по МО'!E300</f>
        <v>6324</v>
      </c>
      <c r="E302" s="12" t="str">
        <f aca="false">'РПН 01.08 по МО'!F300</f>
        <v>Риддер</v>
      </c>
      <c r="F302" s="13" t="n">
        <f aca="false">'РПН 01.08 по МО'!D300</f>
        <v>51538</v>
      </c>
      <c r="G302" s="14" t="n">
        <f aca="false">INDEX('Расчет Кплотн'!$K:$K,MATCH(D302,'Расчет Кплотн'!$A:$A,0))</f>
        <v>1.5</v>
      </c>
      <c r="H302" s="14" t="n">
        <f aca="false">INDEX('Расчет Кплотн'!$J:$J,MATCH(D302,'Расчет Кплотн'!$A:$A,0))</f>
        <v>1.5</v>
      </c>
      <c r="I302" s="3" t="n">
        <f aca="false">F302*Моделирование!$F$3*M302*G302/1000</f>
        <v>1564232.93028</v>
      </c>
      <c r="J302" s="3" t="n">
        <f aca="false">F302*Моделирование!$F$3*M302*H302/1000</f>
        <v>1564232.93028</v>
      </c>
      <c r="K302" s="3" t="n">
        <f aca="false">J302-I302</f>
        <v>0</v>
      </c>
      <c r="L302" s="4" t="n">
        <f aca="false">IFERROR(K302/I302,0)</f>
        <v>0</v>
      </c>
      <c r="M302" s="15" t="n">
        <f aca="false">IF(INDEX('Расчет Кплотн'!$D:$D,MATCH(D302,'Расчет Кплотн'!$A:$A,0))="район",IFERROR(VLOOKUP(INDEX('Расчет Кплотн'!$B:$B,MATCH(D302,'Расчет Кплотн'!$A:$A,0)),'БКПН (приказ 170)'!$A$4:$C$10,3,FALSE()),Моделирование!$F$2),Моделирование!$F$2)</f>
        <v>1686.17</v>
      </c>
    </row>
    <row r="303" customFormat="false" ht="15" hidden="false" customHeight="false" outlineLevel="0" collapsed="false">
      <c r="A303" s="12" t="n">
        <v>298</v>
      </c>
      <c r="B303" s="12" t="str">
        <f aca="false">'РПН 01.08 по МО'!B301</f>
        <v>ВОСТОЧНО-КАЗАХСТАНСКАЯ</v>
      </c>
      <c r="C303" s="12" t="str">
        <f aca="false">'РПН 01.08 по МО'!C301</f>
        <v>КГП на праве хозяйственного ведения "Районная больница Зайсанского района" управления здравоохранения Восточно- Казахстанской области</v>
      </c>
      <c r="D303" s="12" t="str">
        <f aca="false">'РПН 01.08 по МО'!E301</f>
        <v>6346</v>
      </c>
      <c r="E303" s="12" t="str">
        <f aca="false">'РПН 01.08 по МО'!F301</f>
        <v>Зайсанский район</v>
      </c>
      <c r="F303" s="13" t="n">
        <f aca="false">'РПН 01.08 по МО'!D301</f>
        <v>32344</v>
      </c>
      <c r="G303" s="14" t="n">
        <f aca="false">INDEX('Расчет Кплотн'!$K:$K,MATCH(D303,'Расчет Кплотн'!$A:$A,0))</f>
        <v>1.5962</v>
      </c>
      <c r="H303" s="14" t="n">
        <f aca="false">INDEX('Расчет Кплотн'!$J:$J,MATCH(D303,'Расчет Кплотн'!$A:$A,0))</f>
        <v>2</v>
      </c>
      <c r="I303" s="3" t="n">
        <f aca="false">F303*Моделирование!$F$3*M303*G303/1000</f>
        <v>1184485.43711098</v>
      </c>
      <c r="J303" s="3" t="n">
        <f aca="false">F303*Моделирование!$F$3*M303*H303/1000</f>
        <v>1484131.60896</v>
      </c>
      <c r="K303" s="3" t="n">
        <f aca="false">J303-I303</f>
        <v>299646.171849024</v>
      </c>
      <c r="L303" s="4" t="n">
        <f aca="false">IFERROR(K303/I303,0)</f>
        <v>0.252975817566721</v>
      </c>
      <c r="M303" s="15" t="n">
        <f aca="false">IF(INDEX('Расчет Кплотн'!$D:$D,MATCH(D303,'Расчет Кплотн'!$A:$A,0))="район",IFERROR(VLOOKUP(INDEX('Расчет Кплотн'!$B:$B,MATCH(D303,'Расчет Кплотн'!$A:$A,0)),'БКПН (приказ 170)'!$A$4:$C$10,3,FALSE()),Моделирование!$F$2),Моделирование!$F$2)</f>
        <v>1911.91</v>
      </c>
    </row>
    <row r="304" customFormat="false" ht="15" hidden="false" customHeight="false" outlineLevel="0" collapsed="false">
      <c r="A304" s="12" t="n">
        <v>299</v>
      </c>
      <c r="B304" s="12" t="str">
        <f aca="false">'РПН 01.08 по МО'!B302</f>
        <v>ВОСТОЧНО-КАЗАХСТАНСКАЯ</v>
      </c>
      <c r="C304" s="12" t="str">
        <f aca="false">'РПН 01.08 по МО'!C302</f>
        <v>Коммунальное государственное предприятие на праве хозяйственного ведения "Районная больница Глубоковского района" управления здравоохранения Восточно-Казахстанской области</v>
      </c>
      <c r="D304" s="12" t="str">
        <f aca="false">'РПН 01.08 по МО'!E302</f>
        <v>6340</v>
      </c>
      <c r="E304" s="12" t="str">
        <f aca="false">'РПН 01.08 по МО'!F302</f>
        <v>Глубоковский район</v>
      </c>
      <c r="F304" s="13" t="n">
        <f aca="false">'РПН 01.08 по МО'!D302</f>
        <v>47500</v>
      </c>
      <c r="G304" s="14" t="n">
        <f aca="false">INDEX('Расчет Кплотн'!$K:$K,MATCH(D304,'Расчет Кплотн'!$A:$A,0))</f>
        <v>1.2641</v>
      </c>
      <c r="H304" s="14" t="n">
        <f aca="false">INDEX('Расчет Кплотн'!$J:$J,MATCH(D304,'Расчет Кплотн'!$A:$A,0))</f>
        <v>1.7782</v>
      </c>
      <c r="I304" s="3" t="n">
        <f aca="false">F304*Моделирование!$F$3*M304*G304/1000</f>
        <v>1377601.89567</v>
      </c>
      <c r="J304" s="3" t="n">
        <f aca="false">F304*Моделирование!$F$3*M304*H304/1000</f>
        <v>1937862.26634</v>
      </c>
      <c r="K304" s="3" t="n">
        <f aca="false">J304-I304</f>
        <v>560260.37067</v>
      </c>
      <c r="L304" s="4" t="n">
        <f aca="false">IFERROR(K304/I304,0)</f>
        <v>0.406692508504074</v>
      </c>
      <c r="M304" s="15" t="n">
        <f aca="false">IF(INDEX('Расчет Кплотн'!$D:$D,MATCH(D304,'Расчет Кплотн'!$A:$A,0))="район",IFERROR(VLOOKUP(INDEX('Расчет Кплотн'!$B:$B,MATCH(D304,'Расчет Кплотн'!$A:$A,0)),'БКПН (приказ 170)'!$A$4:$C$10,3,FALSE()),Моделирование!$F$2),Моделирование!$F$2)</f>
        <v>1911.91</v>
      </c>
    </row>
    <row r="305" customFormat="false" ht="15" hidden="false" customHeight="false" outlineLevel="0" collapsed="false">
      <c r="A305" s="12" t="n">
        <v>300</v>
      </c>
      <c r="B305" s="12" t="str">
        <f aca="false">'РПН 01.08 по МО'!B303</f>
        <v>ЖАМБЫЛСКАЯ</v>
      </c>
      <c r="C305" s="12" t="str">
        <f aca="false">'РПН 01.08 по МО'!C303</f>
        <v>ТОО "КҮНШУАҚ-Е"</v>
      </c>
      <c r="D305" s="12" t="str">
        <f aca="false">'РПН 01.08 по МО'!E303</f>
        <v>3154</v>
      </c>
      <c r="E305" s="12" t="str">
        <f aca="false">'РПН 01.08 по МО'!F303</f>
        <v>Меркенский район</v>
      </c>
      <c r="F305" s="13" t="n">
        <f aca="false">'РПН 01.08 по МО'!D303</f>
        <v>3180</v>
      </c>
      <c r="G305" s="14" t="n">
        <f aca="false">INDEX('Расчет Кплотн'!$K:$K,MATCH(D305,'Расчет Кплотн'!$A:$A,0))</f>
        <v>1.1646</v>
      </c>
      <c r="H305" s="14" t="n">
        <f aca="false">INDEX('Расчет Кплотн'!$J:$J,MATCH(D305,'Расчет Кплотн'!$A:$A,0))</f>
        <v>1.4527</v>
      </c>
      <c r="I305" s="3" t="n">
        <f aca="false">F305*Моделирование!$F$3*M305*G305/1000</f>
        <v>74935.31028912</v>
      </c>
      <c r="J305" s="3" t="n">
        <f aca="false">F305*Моделирование!$F$3*M305*H305/1000</f>
        <v>93472.88790744</v>
      </c>
      <c r="K305" s="3" t="n">
        <f aca="false">J305-I305</f>
        <v>18537.57761832</v>
      </c>
      <c r="L305" s="4" t="n">
        <f aca="false">IFERROR(K305/I305,0)</f>
        <v>0.247381075047226</v>
      </c>
      <c r="M305" s="15" t="n">
        <f aca="false">IF(INDEX('Расчет Кплотн'!$D:$D,MATCH(D305,'Расчет Кплотн'!$A:$A,0))="район",IFERROR(VLOOKUP(INDEX('Расчет Кплотн'!$B:$B,MATCH(D305,'Расчет Кплотн'!$A:$A,0)),'БКПН (приказ 170)'!$A$4:$C$10,3,FALSE()),Моделирование!$F$2),Моделирование!$F$2)</f>
        <v>1686.17</v>
      </c>
    </row>
    <row r="306" customFormat="false" ht="15" hidden="false" customHeight="false" outlineLevel="0" collapsed="false">
      <c r="A306" s="12" t="n">
        <v>301</v>
      </c>
      <c r="B306" s="12" t="str">
        <f aca="false">'РПН 01.08 по МО'!B304</f>
        <v>ЖАМБЫЛСКАЯ</v>
      </c>
      <c r="C306" s="12" t="str">
        <f aca="false">'РПН 01.08 по МО'!C304</f>
        <v>ТОО "Жансая емханасы"</v>
      </c>
      <c r="D306" s="12" t="str">
        <f aca="false">'РПН 01.08 по МО'!E304</f>
        <v>3110</v>
      </c>
      <c r="E306" s="12" t="str">
        <f aca="false">'РПН 01.08 по МО'!F304</f>
        <v>Тараз</v>
      </c>
      <c r="F306" s="13" t="n">
        <f aca="false">'РПН 01.08 по МО'!D304</f>
        <v>8936</v>
      </c>
      <c r="G306" s="14" t="n">
        <f aca="false">INDEX('Расчет Кплотн'!$K:$K,MATCH(D306,'Расчет Кплотн'!$A:$A,0))</f>
        <v>1</v>
      </c>
      <c r="H306" s="14" t="n">
        <f aca="false">INDEX('Расчет Кплотн'!$J:$J,MATCH(D306,'Расчет Кплотн'!$A:$A,0))</f>
        <v>1</v>
      </c>
      <c r="I306" s="3" t="n">
        <f aca="false">F306*Моделирование!$F$3*M306*G306/1000</f>
        <v>180811.38144</v>
      </c>
      <c r="J306" s="3" t="n">
        <f aca="false">F306*Моделирование!$F$3*M306*H306/1000</f>
        <v>180811.38144</v>
      </c>
      <c r="K306" s="3" t="n">
        <f aca="false">J306-I306</f>
        <v>0</v>
      </c>
      <c r="L306" s="4" t="n">
        <f aca="false">IFERROR(K306/I306,0)</f>
        <v>0</v>
      </c>
      <c r="M306" s="15" t="n">
        <f aca="false">IF(INDEX('Расчет Кплотн'!$D:$D,MATCH(D306,'Расчет Кплотн'!$A:$A,0))="район",IFERROR(VLOOKUP(INDEX('Расчет Кплотн'!$B:$B,MATCH(D306,'Расчет Кплотн'!$A:$A,0)),'БКПН (приказ 170)'!$A$4:$C$10,3,FALSE()),Моделирование!$F$2),Моделирование!$F$2)</f>
        <v>1686.17</v>
      </c>
    </row>
    <row r="307" customFormat="false" ht="15" hidden="false" customHeight="false" outlineLevel="0" collapsed="false">
      <c r="A307" s="12" t="n">
        <v>302</v>
      </c>
      <c r="B307" s="12" t="str">
        <f aca="false">'РПН 01.08 по МО'!B305</f>
        <v>ЖАМБЫЛСКАЯ</v>
      </c>
      <c r="C307" s="12" t="str">
        <f aca="false">'РПН 01.08 по МО'!C305</f>
        <v>ТОО "Zhanshuak Medical Group"</v>
      </c>
      <c r="D307" s="12" t="str">
        <f aca="false">'РПН 01.08 по МО'!E305</f>
        <v>3110</v>
      </c>
      <c r="E307" s="12" t="str">
        <f aca="false">'РПН 01.08 по МО'!F305</f>
        <v>Тараз</v>
      </c>
      <c r="F307" s="13" t="n">
        <f aca="false">'РПН 01.08 по МО'!D305</f>
        <v>56747</v>
      </c>
      <c r="G307" s="14" t="n">
        <f aca="false">INDEX('Расчет Кплотн'!$K:$K,MATCH(D307,'Расчет Кплотн'!$A:$A,0))</f>
        <v>1</v>
      </c>
      <c r="H307" s="14" t="n">
        <f aca="false">INDEX('Расчет Кплотн'!$J:$J,MATCH(D307,'Расчет Кплотн'!$A:$A,0))</f>
        <v>1</v>
      </c>
      <c r="I307" s="3" t="n">
        <f aca="false">F307*Моделирование!$F$3*M307*G307/1000</f>
        <v>1148221.06788</v>
      </c>
      <c r="J307" s="3" t="n">
        <f aca="false">F307*Моделирование!$F$3*M307*H307/1000</f>
        <v>1148221.06788</v>
      </c>
      <c r="K307" s="3" t="n">
        <f aca="false">J307-I307</f>
        <v>0</v>
      </c>
      <c r="L307" s="4" t="n">
        <f aca="false">IFERROR(K307/I307,0)</f>
        <v>0</v>
      </c>
      <c r="M307" s="15" t="n">
        <f aca="false">IF(INDEX('Расчет Кплотн'!$D:$D,MATCH(D307,'Расчет Кплотн'!$A:$A,0))="район",IFERROR(VLOOKUP(INDEX('Расчет Кплотн'!$B:$B,MATCH(D307,'Расчет Кплотн'!$A:$A,0)),'БКПН (приказ 170)'!$A$4:$C$10,3,FALSE()),Моделирование!$F$2),Моделирование!$F$2)</f>
        <v>1686.17</v>
      </c>
    </row>
    <row r="308" customFormat="false" ht="15" hidden="false" customHeight="false" outlineLevel="0" collapsed="false">
      <c r="A308" s="12" t="n">
        <v>303</v>
      </c>
      <c r="B308" s="12" t="str">
        <f aca="false">'РПН 01.08 по МО'!B306</f>
        <v>ЖАМБЫЛСКАЯ</v>
      </c>
      <c r="C308" s="12" t="str">
        <f aca="false">'РПН 01.08 по МО'!C306</f>
        <v>У-е "Медицинский центр "Мейірім"</v>
      </c>
      <c r="D308" s="12" t="str">
        <f aca="false">'РПН 01.08 по МО'!E306</f>
        <v>3110</v>
      </c>
      <c r="E308" s="12" t="str">
        <f aca="false">'РПН 01.08 по МО'!F306</f>
        <v>Тараз</v>
      </c>
      <c r="F308" s="13" t="n">
        <f aca="false">'РПН 01.08 по МО'!D306</f>
        <v>47978</v>
      </c>
      <c r="G308" s="14" t="n">
        <f aca="false">INDEX('Расчет Кплотн'!$K:$K,MATCH(D308,'Расчет Кплотн'!$A:$A,0))</f>
        <v>1</v>
      </c>
      <c r="H308" s="14" t="n">
        <f aca="false">INDEX('Расчет Кплотн'!$J:$J,MATCH(D308,'Расчет Кплотн'!$A:$A,0))</f>
        <v>1</v>
      </c>
      <c r="I308" s="3" t="n">
        <f aca="false">F308*Моделирование!$F$3*M308*G308/1000</f>
        <v>970788.77112</v>
      </c>
      <c r="J308" s="3" t="n">
        <f aca="false">F308*Моделирование!$F$3*M308*H308/1000</f>
        <v>970788.77112</v>
      </c>
      <c r="K308" s="3" t="n">
        <f aca="false">J308-I308</f>
        <v>0</v>
      </c>
      <c r="L308" s="4" t="n">
        <f aca="false">IFERROR(K308/I308,0)</f>
        <v>0</v>
      </c>
      <c r="M308" s="15" t="n">
        <f aca="false">IF(INDEX('Расчет Кплотн'!$D:$D,MATCH(D308,'Расчет Кплотн'!$A:$A,0))="район",IFERROR(VLOOKUP(INDEX('Расчет Кплотн'!$B:$B,MATCH(D308,'Расчет Кплотн'!$A:$A,0)),'БКПН (приказ 170)'!$A$4:$C$10,3,FALSE()),Моделирование!$F$2),Моделирование!$F$2)</f>
        <v>1686.17</v>
      </c>
    </row>
    <row r="309" customFormat="false" ht="15" hidden="false" customHeight="false" outlineLevel="0" collapsed="false">
      <c r="A309" s="12" t="n">
        <v>304</v>
      </c>
      <c r="B309" s="12" t="str">
        <f aca="false">'РПН 01.08 по МО'!B307</f>
        <v>ЖАМБЫЛСКАЯ</v>
      </c>
      <c r="C309" s="12" t="str">
        <f aca="false">'РПН 01.08 по МО'!C307</f>
        <v>ТОО "Городская поликлиника №9"</v>
      </c>
      <c r="D309" s="12" t="str">
        <f aca="false">'РПН 01.08 по МО'!E307</f>
        <v>3110</v>
      </c>
      <c r="E309" s="12" t="str">
        <f aca="false">'РПН 01.08 по МО'!F307</f>
        <v>Тараз</v>
      </c>
      <c r="F309" s="13" t="n">
        <f aca="false">'РПН 01.08 по МО'!D307</f>
        <v>33698</v>
      </c>
      <c r="G309" s="14" t="n">
        <f aca="false">INDEX('Расчет Кплотн'!$K:$K,MATCH(D309,'Расчет Кплотн'!$A:$A,0))</f>
        <v>1</v>
      </c>
      <c r="H309" s="14" t="n">
        <f aca="false">INDEX('Расчет Кплотн'!$J:$J,MATCH(D309,'Расчет Кплотн'!$A:$A,0))</f>
        <v>1</v>
      </c>
      <c r="I309" s="3" t="n">
        <f aca="false">F309*Моделирование!$F$3*M309*G309/1000</f>
        <v>681846.67992</v>
      </c>
      <c r="J309" s="3" t="n">
        <f aca="false">F309*Моделирование!$F$3*M309*H309/1000</f>
        <v>681846.67992</v>
      </c>
      <c r="K309" s="3" t="n">
        <f aca="false">J309-I309</f>
        <v>0</v>
      </c>
      <c r="L309" s="4" t="n">
        <f aca="false">IFERROR(K309/I309,0)</f>
        <v>0</v>
      </c>
      <c r="M309" s="15" t="n">
        <f aca="false">IF(INDEX('Расчет Кплотн'!$D:$D,MATCH(D309,'Расчет Кплотн'!$A:$A,0))="район",IFERROR(VLOOKUP(INDEX('Расчет Кплотн'!$B:$B,MATCH(D309,'Расчет Кплотн'!$A:$A,0)),'БКПН (приказ 170)'!$A$4:$C$10,3,FALSE()),Моделирование!$F$2),Моделирование!$F$2)</f>
        <v>1686.17</v>
      </c>
    </row>
    <row r="310" customFormat="false" ht="15" hidden="false" customHeight="false" outlineLevel="0" collapsed="false">
      <c r="A310" s="12" t="n">
        <v>305</v>
      </c>
      <c r="B310" s="12" t="str">
        <f aca="false">'РПН 01.08 по МО'!B308</f>
        <v>ЖАМБЫЛСКАЯ</v>
      </c>
      <c r="C310" s="12" t="str">
        <f aca="false">'РПН 01.08 по МО'!C308</f>
        <v>ТОО "Медицинский лечебный центр "Тараз-Болашақ"</v>
      </c>
      <c r="D310" s="12" t="str">
        <f aca="false">'РПН 01.08 по МО'!E308</f>
        <v>3110</v>
      </c>
      <c r="E310" s="12" t="str">
        <f aca="false">'РПН 01.08 по МО'!F308</f>
        <v>Тараз</v>
      </c>
      <c r="F310" s="13" t="n">
        <f aca="false">'РПН 01.08 по МО'!D308</f>
        <v>4536</v>
      </c>
      <c r="G310" s="14" t="n">
        <f aca="false">INDEX('Расчет Кплотн'!$K:$K,MATCH(D310,'Расчет Кплотн'!$A:$A,0))</f>
        <v>1</v>
      </c>
      <c r="H310" s="14" t="n">
        <f aca="false">INDEX('Расчет Кплотн'!$J:$J,MATCH(D310,'Расчет Кплотн'!$A:$A,0))</f>
        <v>1</v>
      </c>
      <c r="I310" s="3" t="n">
        <f aca="false">F310*Моделирование!$F$3*M310*G310/1000</f>
        <v>91781.60544</v>
      </c>
      <c r="J310" s="3" t="n">
        <f aca="false">F310*Моделирование!$F$3*M310*H310/1000</f>
        <v>91781.60544</v>
      </c>
      <c r="K310" s="3" t="n">
        <f aca="false">J310-I310</f>
        <v>0</v>
      </c>
      <c r="L310" s="4" t="n">
        <f aca="false">IFERROR(K310/I310,0)</f>
        <v>0</v>
      </c>
      <c r="M310" s="15" t="n">
        <f aca="false">IF(INDEX('Расчет Кплотн'!$D:$D,MATCH(D310,'Расчет Кплотн'!$A:$A,0))="район",IFERROR(VLOOKUP(INDEX('Расчет Кплотн'!$B:$B,MATCH(D310,'Расчет Кплотн'!$A:$A,0)),'БКПН (приказ 170)'!$A$4:$C$10,3,FALSE()),Моделирование!$F$2),Моделирование!$F$2)</f>
        <v>1686.17</v>
      </c>
    </row>
    <row r="311" customFormat="false" ht="15" hidden="false" customHeight="false" outlineLevel="0" collapsed="false">
      <c r="A311" s="12" t="n">
        <v>306</v>
      </c>
      <c r="B311" s="12" t="str">
        <f aca="false">'РПН 01.08 по МО'!B309</f>
        <v>ЖАМБЫЛСКАЯ</v>
      </c>
      <c r="C311" s="12" t="str">
        <f aca="false">'РПН 01.08 по МО'!C309</f>
        <v>ТОО "Шайкорыкский центр семейного здоровья"</v>
      </c>
      <c r="D311" s="12" t="str">
        <f aca="false">'РПН 01.08 по МО'!E309</f>
        <v>3140</v>
      </c>
      <c r="E311" s="12" t="str">
        <f aca="false">'РПН 01.08 по МО'!F309</f>
        <v>Жамбылский район</v>
      </c>
      <c r="F311" s="13" t="n">
        <f aca="false">'РПН 01.08 по МО'!D309</f>
        <v>6771</v>
      </c>
      <c r="G311" s="14" t="n">
        <f aca="false">INDEX('Расчет Кплотн'!$K:$K,MATCH(D311,'Расчет Кплотн'!$A:$A,0))</f>
        <v>1.1006</v>
      </c>
      <c r="H311" s="14" t="n">
        <f aca="false">INDEX('Расчет Кплотн'!$J:$J,MATCH(D311,'Расчет Кплотн'!$A:$A,0))</f>
        <v>1.4641</v>
      </c>
      <c r="I311" s="3" t="n">
        <f aca="false">F311*Моделирование!$F$3*M311*G311/1000</f>
        <v>150787.356134904</v>
      </c>
      <c r="J311" s="3" t="n">
        <f aca="false">F311*Моделирование!$F$3*M311*H311/1000</f>
        <v>200588.559074244</v>
      </c>
      <c r="K311" s="3" t="n">
        <f aca="false">J311-I311</f>
        <v>49801.20293934</v>
      </c>
      <c r="L311" s="4" t="n">
        <f aca="false">IFERROR(K311/I311,0)</f>
        <v>0.330274395784118</v>
      </c>
      <c r="M311" s="15" t="n">
        <f aca="false">IF(INDEX('Расчет Кплотн'!$D:$D,MATCH(D311,'Расчет Кплотн'!$A:$A,0))="район",IFERROR(VLOOKUP(INDEX('Расчет Кплотн'!$B:$B,MATCH(D311,'Расчет Кплотн'!$A:$A,0)),'БКПН (приказ 170)'!$A$4:$C$10,3,FALSE()),Моделирование!$F$2),Моделирование!$F$2)</f>
        <v>1686.17</v>
      </c>
    </row>
    <row r="312" customFormat="false" ht="15" hidden="false" customHeight="false" outlineLevel="0" collapsed="false">
      <c r="A312" s="12" t="n">
        <v>307</v>
      </c>
      <c r="B312" s="12" t="str">
        <f aca="false">'РПН 01.08 по МО'!B310</f>
        <v>ЖАМБЫЛСКАЯ</v>
      </c>
      <c r="C312" s="12" t="str">
        <f aca="false">'РПН 01.08 по МО'!C310</f>
        <v>ТОО "Медицинский центр "Sauran"</v>
      </c>
      <c r="D312" s="12" t="str">
        <f aca="false">'РПН 01.08 по МО'!E310</f>
        <v>3110</v>
      </c>
      <c r="E312" s="12" t="str">
        <f aca="false">'РПН 01.08 по МО'!F310</f>
        <v>Тараз</v>
      </c>
      <c r="F312" s="13" t="n">
        <f aca="false">'РПН 01.08 по МО'!D310</f>
        <v>12865</v>
      </c>
      <c r="G312" s="14" t="n">
        <f aca="false">INDEX('Расчет Кплотн'!$K:$K,MATCH(D312,'Расчет Кплотн'!$A:$A,0))</f>
        <v>1</v>
      </c>
      <c r="H312" s="14" t="n">
        <f aca="false">INDEX('Расчет Кплотн'!$J:$J,MATCH(D312,'Расчет Кплотн'!$A:$A,0))</f>
        <v>1</v>
      </c>
      <c r="I312" s="3" t="n">
        <f aca="false">F312*Моделирование!$F$3*M312*G312/1000</f>
        <v>260310.9246</v>
      </c>
      <c r="J312" s="3" t="n">
        <f aca="false">F312*Моделирование!$F$3*M312*H312/1000</f>
        <v>260310.9246</v>
      </c>
      <c r="K312" s="3" t="n">
        <f aca="false">J312-I312</f>
        <v>0</v>
      </c>
      <c r="L312" s="4" t="n">
        <f aca="false">IFERROR(K312/I312,0)</f>
        <v>0</v>
      </c>
      <c r="M312" s="15" t="n">
        <f aca="false">IF(INDEX('Расчет Кплотн'!$D:$D,MATCH(D312,'Расчет Кплотн'!$A:$A,0))="район",IFERROR(VLOOKUP(INDEX('Расчет Кплотн'!$B:$B,MATCH(D312,'Расчет Кплотн'!$A:$A,0)),'БКПН (приказ 170)'!$A$4:$C$10,3,FALSE()),Моделирование!$F$2),Моделирование!$F$2)</f>
        <v>1686.17</v>
      </c>
    </row>
    <row r="313" customFormat="false" ht="15" hidden="false" customHeight="false" outlineLevel="0" collapsed="false">
      <c r="A313" s="12" t="n">
        <v>308</v>
      </c>
      <c r="B313" s="12" t="str">
        <f aca="false">'РПН 01.08 по МО'!B311</f>
        <v>ЖАМБЫЛСКАЯ</v>
      </c>
      <c r="C313" s="12" t="str">
        <f aca="false">'РПН 01.08 по МО'!C311</f>
        <v>ТОО "Медицинский центр"Студент"</v>
      </c>
      <c r="D313" s="12" t="str">
        <f aca="false">'РПН 01.08 по МО'!E311</f>
        <v>3110</v>
      </c>
      <c r="E313" s="12" t="str">
        <f aca="false">'РПН 01.08 по МО'!F311</f>
        <v>Тараз</v>
      </c>
      <c r="F313" s="13" t="n">
        <f aca="false">'РПН 01.08 по МО'!D311</f>
        <v>6488</v>
      </c>
      <c r="G313" s="14" t="n">
        <f aca="false">INDEX('Расчет Кплотн'!$K:$K,MATCH(D313,'Расчет Кплотн'!$A:$A,0))</f>
        <v>1</v>
      </c>
      <c r="H313" s="14" t="n">
        <f aca="false">INDEX('Расчет Кплотн'!$J:$J,MATCH(D313,'Расчет Кплотн'!$A:$A,0))</f>
        <v>1</v>
      </c>
      <c r="I313" s="3" t="n">
        <f aca="false">F313*Моделирование!$F$3*M313*G313/1000</f>
        <v>131278.45152</v>
      </c>
      <c r="J313" s="3" t="n">
        <f aca="false">F313*Моделирование!$F$3*M313*H313/1000</f>
        <v>131278.45152</v>
      </c>
      <c r="K313" s="3" t="n">
        <f aca="false">J313-I313</f>
        <v>0</v>
      </c>
      <c r="L313" s="4" t="n">
        <f aca="false">IFERROR(K313/I313,0)</f>
        <v>0</v>
      </c>
      <c r="M313" s="15" t="n">
        <f aca="false">IF(INDEX('Расчет Кплотн'!$D:$D,MATCH(D313,'Расчет Кплотн'!$A:$A,0))="район",IFERROR(VLOOKUP(INDEX('Расчет Кплотн'!$B:$B,MATCH(D313,'Расчет Кплотн'!$A:$A,0)),'БКПН (приказ 170)'!$A$4:$C$10,3,FALSE()),Моделирование!$F$2),Моделирование!$F$2)</f>
        <v>1686.17</v>
      </c>
    </row>
    <row r="314" customFormat="false" ht="15" hidden="false" customHeight="false" outlineLevel="0" collapsed="false">
      <c r="A314" s="12" t="n">
        <v>309</v>
      </c>
      <c r="B314" s="12" t="str">
        <f aca="false">'РПН 01.08 по МО'!B312</f>
        <v>ЖАМБЫЛСКАЯ</v>
      </c>
      <c r="C314" s="12" t="str">
        <f aca="false">'РПН 01.08 по МО'!C312</f>
        <v>ТОО "Мейірім Меркі"</v>
      </c>
      <c r="D314" s="12" t="str">
        <f aca="false">'РПН 01.08 по МО'!E312</f>
        <v>3154</v>
      </c>
      <c r="E314" s="12" t="str">
        <f aca="false">'РПН 01.08 по МО'!F312</f>
        <v>Меркенский район</v>
      </c>
      <c r="F314" s="13" t="n">
        <f aca="false">'РПН 01.08 по МО'!D312</f>
        <v>9736</v>
      </c>
      <c r="G314" s="14" t="n">
        <f aca="false">INDEX('Расчет Кплотн'!$K:$K,MATCH(D314,'Расчет Кплотн'!$A:$A,0))</f>
        <v>1.1646</v>
      </c>
      <c r="H314" s="14" t="n">
        <f aca="false">INDEX('Расчет Кплотн'!$J:$J,MATCH(D314,'Расчет Кплотн'!$A:$A,0))</f>
        <v>1.4527</v>
      </c>
      <c r="I314" s="3" t="n">
        <f aca="false">F314*Моделирование!$F$3*M314*G314/1000</f>
        <v>229424.585212224</v>
      </c>
      <c r="J314" s="3" t="n">
        <f aca="false">F314*Моделирование!$F$3*M314*H314/1000</f>
        <v>286179.885744288</v>
      </c>
      <c r="K314" s="3" t="n">
        <f aca="false">J314-I314</f>
        <v>56755.300532064</v>
      </c>
      <c r="L314" s="4" t="n">
        <f aca="false">IFERROR(K314/I314,0)</f>
        <v>0.247381075047227</v>
      </c>
      <c r="M314" s="15" t="n">
        <f aca="false">IF(INDEX('Расчет Кплотн'!$D:$D,MATCH(D314,'Расчет Кплотн'!$A:$A,0))="район",IFERROR(VLOOKUP(INDEX('Расчет Кплотн'!$B:$B,MATCH(D314,'Расчет Кплотн'!$A:$A,0)),'БКПН (приказ 170)'!$A$4:$C$10,3,FALSE()),Моделирование!$F$2),Моделирование!$F$2)</f>
        <v>1686.17</v>
      </c>
    </row>
    <row r="315" customFormat="false" ht="15" hidden="false" customHeight="false" outlineLevel="0" collapsed="false">
      <c r="A315" s="12" t="n">
        <v>310</v>
      </c>
      <c r="B315" s="12" t="str">
        <f aca="false">'РПН 01.08 по МО'!B313</f>
        <v>ЖАМБЫЛСКАЯ</v>
      </c>
      <c r="C315" s="12" t="str">
        <f aca="false">'РПН 01.08 по МО'!C313</f>
        <v>ТОО "МЦ "Даримет"</v>
      </c>
      <c r="D315" s="12" t="str">
        <f aca="false">'РПН 01.08 по МО'!E313</f>
        <v>3110</v>
      </c>
      <c r="E315" s="12" t="str">
        <f aca="false">'РПН 01.08 по МО'!F313</f>
        <v>Тараз</v>
      </c>
      <c r="F315" s="13" t="n">
        <f aca="false">'РПН 01.08 по МО'!D313</f>
        <v>12803</v>
      </c>
      <c r="G315" s="14" t="n">
        <f aca="false">INDEX('Расчет Кплотн'!$K:$K,MATCH(D315,'Расчет Кплотн'!$A:$A,0))</f>
        <v>1</v>
      </c>
      <c r="H315" s="14" t="n">
        <f aca="false">INDEX('Расчет Кплотн'!$J:$J,MATCH(D315,'Расчет Кплотн'!$A:$A,0))</f>
        <v>1</v>
      </c>
      <c r="I315" s="3" t="n">
        <f aca="false">F315*Моделирование!$F$3*M315*G315/1000</f>
        <v>259056.41412</v>
      </c>
      <c r="J315" s="3" t="n">
        <f aca="false">F315*Моделирование!$F$3*M315*H315/1000</f>
        <v>259056.41412</v>
      </c>
      <c r="K315" s="3" t="n">
        <f aca="false">J315-I315</f>
        <v>0</v>
      </c>
      <c r="L315" s="4" t="n">
        <f aca="false">IFERROR(K315/I315,0)</f>
        <v>0</v>
      </c>
      <c r="M315" s="15" t="n">
        <f aca="false">IF(INDEX('Расчет Кплотн'!$D:$D,MATCH(D315,'Расчет Кплотн'!$A:$A,0))="район",IFERROR(VLOOKUP(INDEX('Расчет Кплотн'!$B:$B,MATCH(D315,'Расчет Кплотн'!$A:$A,0)),'БКПН (приказ 170)'!$A$4:$C$10,3,FALSE()),Моделирование!$F$2),Моделирование!$F$2)</f>
        <v>1686.17</v>
      </c>
    </row>
    <row r="316" customFormat="false" ht="15" hidden="false" customHeight="false" outlineLevel="0" collapsed="false">
      <c r="A316" s="12" t="n">
        <v>311</v>
      </c>
      <c r="B316" s="12" t="str">
        <f aca="false">'РПН 01.08 по МО'!B314</f>
        <v>ЖАМБЫЛСКАЯ</v>
      </c>
      <c r="C316" s="12" t="str">
        <f aca="false">'РПН 01.08 по МО'!C314</f>
        <v>ТОО "ОКДМЦС"</v>
      </c>
      <c r="D316" s="12" t="str">
        <f aca="false">'РПН 01.08 по МО'!E314</f>
        <v>3110</v>
      </c>
      <c r="E316" s="12" t="str">
        <f aca="false">'РПН 01.08 по МО'!F314</f>
        <v>Тараз</v>
      </c>
      <c r="F316" s="13" t="n">
        <f aca="false">'РПН 01.08 по МО'!D314</f>
        <v>43549</v>
      </c>
      <c r="G316" s="14" t="n">
        <f aca="false">INDEX('Расчет Кплотн'!$K:$K,MATCH(D316,'Расчет Кплотн'!$A:$A,0))</f>
        <v>1</v>
      </c>
      <c r="H316" s="14" t="n">
        <f aca="false">INDEX('Расчет Кплотн'!$J:$J,MATCH(D316,'Расчет Кплотн'!$A:$A,0))</f>
        <v>1</v>
      </c>
      <c r="I316" s="3" t="n">
        <f aca="false">F316*Моделирование!$F$3*M316*G316/1000</f>
        <v>881172.20796</v>
      </c>
      <c r="J316" s="3" t="n">
        <f aca="false">F316*Моделирование!$F$3*M316*H316/1000</f>
        <v>881172.20796</v>
      </c>
      <c r="K316" s="3" t="n">
        <f aca="false">J316-I316</f>
        <v>0</v>
      </c>
      <c r="L316" s="4" t="n">
        <f aca="false">IFERROR(K316/I316,0)</f>
        <v>0</v>
      </c>
      <c r="M316" s="15" t="n">
        <f aca="false">IF(INDEX('Расчет Кплотн'!$D:$D,MATCH(D316,'Расчет Кплотн'!$A:$A,0))="район",IFERROR(VLOOKUP(INDEX('Расчет Кплотн'!$B:$B,MATCH(D316,'Расчет Кплотн'!$A:$A,0)),'БКПН (приказ 170)'!$A$4:$C$10,3,FALSE()),Моделирование!$F$2),Моделирование!$F$2)</f>
        <v>1686.17</v>
      </c>
    </row>
    <row r="317" customFormat="false" ht="15" hidden="false" customHeight="false" outlineLevel="0" collapsed="false">
      <c r="A317" s="12" t="n">
        <v>312</v>
      </c>
      <c r="B317" s="12" t="str">
        <f aca="false">'РПН 01.08 по МО'!B315</f>
        <v>ЖАМБЫЛСКАЯ</v>
      </c>
      <c r="C317" s="12" t="str">
        <f aca="false">'РПН 01.08 по МО'!C315</f>
        <v>ТОО "Медицинский центр "ARAI"</v>
      </c>
      <c r="D317" s="12" t="str">
        <f aca="false">'РПН 01.08 по МО'!E315</f>
        <v>3110</v>
      </c>
      <c r="E317" s="12" t="str">
        <f aca="false">'РПН 01.08 по МО'!F315</f>
        <v>Тараз</v>
      </c>
      <c r="F317" s="13" t="n">
        <f aca="false">'РПН 01.08 по МО'!D315</f>
        <v>8376</v>
      </c>
      <c r="G317" s="14" t="n">
        <f aca="false">INDEX('Расчет Кплотн'!$K:$K,MATCH(D317,'Расчет Кплотн'!$A:$A,0))</f>
        <v>1</v>
      </c>
      <c r="H317" s="14" t="n">
        <f aca="false">INDEX('Расчет Кплотн'!$J:$J,MATCH(D317,'Расчет Кплотн'!$A:$A,0))</f>
        <v>1</v>
      </c>
      <c r="I317" s="3" t="n">
        <f aca="false">F317*Моделирование!$F$3*M317*G317/1000</f>
        <v>169480.31904</v>
      </c>
      <c r="J317" s="3" t="n">
        <f aca="false">F317*Моделирование!$F$3*M317*H317/1000</f>
        <v>169480.31904</v>
      </c>
      <c r="K317" s="3" t="n">
        <f aca="false">J317-I317</f>
        <v>0</v>
      </c>
      <c r="L317" s="4" t="n">
        <f aca="false">IFERROR(K317/I317,0)</f>
        <v>0</v>
      </c>
      <c r="M317" s="15" t="n">
        <f aca="false">IF(INDEX('Расчет Кплотн'!$D:$D,MATCH(D317,'Расчет Кплотн'!$A:$A,0))="район",IFERROR(VLOOKUP(INDEX('Расчет Кплотн'!$B:$B,MATCH(D317,'Расчет Кплотн'!$A:$A,0)),'БКПН (приказ 170)'!$A$4:$C$10,3,FALSE()),Моделирование!$F$2),Моделирование!$F$2)</f>
        <v>1686.17</v>
      </c>
    </row>
    <row r="318" customFormat="false" ht="15" hidden="false" customHeight="false" outlineLevel="0" collapsed="false">
      <c r="A318" s="12" t="n">
        <v>313</v>
      </c>
      <c r="B318" s="12" t="str">
        <f aca="false">'РПН 01.08 по МО'!B316</f>
        <v>ЖАМБЫЛСКАЯ</v>
      </c>
      <c r="C318" s="12" t="str">
        <f aca="false">'РПН 01.08 по МО'!C316</f>
        <v>ТОО "JANUIA medical center"</v>
      </c>
      <c r="D318" s="12" t="str">
        <f aca="false">'РПН 01.08 по МО'!E316</f>
        <v>3110</v>
      </c>
      <c r="E318" s="12" t="str">
        <f aca="false">'РПН 01.08 по МО'!F316</f>
        <v>Тараз</v>
      </c>
      <c r="F318" s="13" t="n">
        <f aca="false">'РПН 01.08 по МО'!D316</f>
        <v>51887</v>
      </c>
      <c r="G318" s="14" t="n">
        <f aca="false">INDEX('Расчет Кплотн'!$K:$K,MATCH(D318,'Расчет Кплотн'!$A:$A,0))</f>
        <v>1</v>
      </c>
      <c r="H318" s="14" t="n">
        <f aca="false">INDEX('Расчет Кплотн'!$J:$J,MATCH(D318,'Расчет Кплотн'!$A:$A,0))</f>
        <v>1</v>
      </c>
      <c r="I318" s="3" t="n">
        <f aca="false">F318*Моделирование!$F$3*M318*G318/1000</f>
        <v>1049883.63348</v>
      </c>
      <c r="J318" s="3" t="n">
        <f aca="false">F318*Моделирование!$F$3*M318*H318/1000</f>
        <v>1049883.63348</v>
      </c>
      <c r="K318" s="3" t="n">
        <f aca="false">J318-I318</f>
        <v>0</v>
      </c>
      <c r="L318" s="4" t="n">
        <f aca="false">IFERROR(K318/I318,0)</f>
        <v>0</v>
      </c>
      <c r="M318" s="15" t="n">
        <f aca="false">IF(INDEX('Расчет Кплотн'!$D:$D,MATCH(D318,'Расчет Кплотн'!$A:$A,0))="район",IFERROR(VLOOKUP(INDEX('Расчет Кплотн'!$B:$B,MATCH(D318,'Расчет Кплотн'!$A:$A,0)),'БКПН (приказ 170)'!$A$4:$C$10,3,FALSE()),Моделирование!$F$2),Моделирование!$F$2)</f>
        <v>1686.17</v>
      </c>
    </row>
    <row r="319" customFormat="false" ht="15" hidden="false" customHeight="false" outlineLevel="0" collapsed="false">
      <c r="A319" s="12" t="n">
        <v>314</v>
      </c>
      <c r="B319" s="12" t="str">
        <f aca="false">'РПН 01.08 по МО'!B317</f>
        <v>ЖАМБЫЛСКАЯ</v>
      </c>
      <c r="C319" s="12" t="str">
        <f aca="false">'РПН 01.08 по МО'!C317</f>
        <v>ГП "Центральная районная больница района им. Т.Рыскулова управления здравоохранения акимата Жамбылской области"</v>
      </c>
      <c r="D319" s="12" t="str">
        <f aca="false">'РПН 01.08 по МО'!E317</f>
        <v>3150</v>
      </c>
      <c r="E319" s="12" t="str">
        <f aca="false">'РПН 01.08 по МО'!F317</f>
        <v>район Турара Рыскулова</v>
      </c>
      <c r="F319" s="13" t="n">
        <f aca="false">'РПН 01.08 по МО'!D317</f>
        <v>57720</v>
      </c>
      <c r="G319" s="14" t="n">
        <f aca="false">INDEX('Расчет Кплотн'!$K:$K,MATCH(D319,'Расчет Кплотн'!$A:$A,0))</f>
        <v>1.2769</v>
      </c>
      <c r="H319" s="14" t="n">
        <f aca="false">INDEX('Расчет Кплотн'!$J:$J,MATCH(D319,'Расчет Кплотн'!$A:$A,0))</f>
        <v>1.8066</v>
      </c>
      <c r="I319" s="3" t="n">
        <f aca="false">F319*Моделирование!$F$3*M319*G319/1000</f>
        <v>1491302.73241872</v>
      </c>
      <c r="J319" s="3" t="n">
        <f aca="false">F319*Моделирование!$F$3*M319*H319/1000</f>
        <v>2109944.01784608</v>
      </c>
      <c r="K319" s="3" t="n">
        <f aca="false">J319-I319</f>
        <v>618641.28542736</v>
      </c>
      <c r="L319" s="4" t="n">
        <f aca="false">IFERROR(K319/I319,0)</f>
        <v>0.4148327981831</v>
      </c>
      <c r="M319" s="15" t="n">
        <f aca="false">IF(INDEX('Расчет Кплотн'!$D:$D,MATCH(D319,'Расчет Кплотн'!$A:$A,0))="район",IFERROR(VLOOKUP(INDEX('Расчет Кплотн'!$B:$B,MATCH(D319,'Расчет Кплотн'!$A:$A,0)),'БКПН (приказ 170)'!$A$4:$C$10,3,FALSE()),Моделирование!$F$2),Моделирование!$F$2)</f>
        <v>1686.17</v>
      </c>
    </row>
    <row r="320" customFormat="false" ht="15" hidden="false" customHeight="false" outlineLevel="0" collapsed="false">
      <c r="A320" s="12" t="n">
        <v>315</v>
      </c>
      <c r="B320" s="12" t="str">
        <f aca="false">'РПН 01.08 по МО'!B318</f>
        <v>ЖАМБЫЛСКАЯ</v>
      </c>
      <c r="C320" s="12" t="str">
        <f aca="false">'РПН 01.08 по МО'!C318</f>
        <v>КГПХВ "Центральная районная больница Жамбылского района управления здравоохранения акимата Жамбылской области"</v>
      </c>
      <c r="D320" s="12" t="str">
        <f aca="false">'РПН 01.08 по МО'!E318</f>
        <v>3140</v>
      </c>
      <c r="E320" s="12" t="str">
        <f aca="false">'РПН 01.08 по МО'!F318</f>
        <v>Жамбылский район</v>
      </c>
      <c r="F320" s="13" t="n">
        <f aca="false">'РПН 01.08 по МО'!D318</f>
        <v>41490</v>
      </c>
      <c r="G320" s="14" t="n">
        <f aca="false">INDEX('Расчет Кплотн'!$K:$K,MATCH(D320,'Расчет Кплотн'!$A:$A,0))</f>
        <v>1.1006</v>
      </c>
      <c r="H320" s="14" t="n">
        <f aca="false">INDEX('Расчет Кплотн'!$J:$J,MATCH(D320,'Расчет Кплотн'!$A:$A,0))</f>
        <v>1.4641</v>
      </c>
      <c r="I320" s="3" t="n">
        <f aca="false">F320*Моделирование!$F$3*M320*G320/1000</f>
        <v>923965.05775176</v>
      </c>
      <c r="J320" s="3" t="n">
        <f aca="false">F320*Моделирование!$F$3*M320*H320/1000</f>
        <v>1229127.05892636</v>
      </c>
      <c r="K320" s="3" t="n">
        <f aca="false">J320-I320</f>
        <v>305162.0011746</v>
      </c>
      <c r="L320" s="4" t="n">
        <f aca="false">IFERROR(K320/I320,0)</f>
        <v>0.330274395784118</v>
      </c>
      <c r="M320" s="15" t="n">
        <f aca="false">IF(INDEX('Расчет Кплотн'!$D:$D,MATCH(D320,'Расчет Кплотн'!$A:$A,0))="район",IFERROR(VLOOKUP(INDEX('Расчет Кплотн'!$B:$B,MATCH(D320,'Расчет Кплотн'!$A:$A,0)),'БКПН (приказ 170)'!$A$4:$C$10,3,FALSE()),Моделирование!$F$2),Моделирование!$F$2)</f>
        <v>1686.17</v>
      </c>
    </row>
    <row r="321" customFormat="false" ht="15" hidden="false" customHeight="false" outlineLevel="0" collapsed="false">
      <c r="A321" s="12" t="n">
        <v>316</v>
      </c>
      <c r="B321" s="12" t="str">
        <f aca="false">'РПН 01.08 по МО'!B319</f>
        <v>ЖАМБЫЛСКАЯ</v>
      </c>
      <c r="C321" s="12" t="str">
        <f aca="false">'РПН 01.08 по МО'!C319</f>
        <v>"Государственное коммунальное предприятие на праве хозяйственного ведения Таласская центральная районная многопрофильная больница управления здравоохранения акимата Жамбылской области"</v>
      </c>
      <c r="D321" s="12" t="str">
        <f aca="false">'РПН 01.08 по МО'!E319</f>
        <v>3162</v>
      </c>
      <c r="E321" s="12" t="str">
        <f aca="false">'РПН 01.08 по МО'!F319</f>
        <v>Таласский район</v>
      </c>
      <c r="F321" s="13" t="n">
        <f aca="false">'РПН 01.08 по МО'!D319</f>
        <v>38468</v>
      </c>
      <c r="G321" s="14" t="n">
        <f aca="false">INDEX('Расчет Кплотн'!$K:$K,MATCH(D321,'Расчет Кплотн'!$A:$A,0))</f>
        <v>1.5121</v>
      </c>
      <c r="H321" s="14" t="n">
        <f aca="false">INDEX('Расчет Кплотн'!$J:$J,MATCH(D321,'Расчет Кплотн'!$A:$A,0))</f>
        <v>2</v>
      </c>
      <c r="I321" s="3" t="n">
        <f aca="false">F321*Моделирование!$F$3*M321*G321/1000</f>
        <v>1176962.76899371</v>
      </c>
      <c r="J321" s="3" t="n">
        <f aca="false">F321*Моделирование!$F$3*M321*H321/1000</f>
        <v>1556726.10144</v>
      </c>
      <c r="K321" s="3" t="n">
        <f aca="false">J321-I321</f>
        <v>379763.332446288</v>
      </c>
      <c r="L321" s="4" t="n">
        <f aca="false">IFERROR(K321/I321,0)</f>
        <v>0.322663844983797</v>
      </c>
      <c r="M321" s="15" t="n">
        <f aca="false">IF(INDEX('Расчет Кплотн'!$D:$D,MATCH(D321,'Расчет Кплотн'!$A:$A,0))="район",IFERROR(VLOOKUP(INDEX('Расчет Кплотн'!$B:$B,MATCH(D321,'Расчет Кплотн'!$A:$A,0)),'БКПН (приказ 170)'!$A$4:$C$10,3,FALSE()),Моделирование!$F$2),Моделирование!$F$2)</f>
        <v>1686.17</v>
      </c>
    </row>
    <row r="322" customFormat="false" ht="15" hidden="false" customHeight="false" outlineLevel="0" collapsed="false">
      <c r="A322" s="12" t="n">
        <v>317</v>
      </c>
      <c r="B322" s="12" t="str">
        <f aca="false">'РПН 01.08 по МО'!B320</f>
        <v>ЖАМБЫЛСКАЯ</v>
      </c>
      <c r="C322" s="12" t="str">
        <f aca="false">'РПН 01.08 по МО'!C320</f>
        <v>ГКП на праве хозяйственного ведения "Меркенская многопрофильная центральная районная больница управления здравоохранения акимата Жамбылской области"</v>
      </c>
      <c r="D322" s="12" t="str">
        <f aca="false">'РПН 01.08 по МО'!E320</f>
        <v>3154</v>
      </c>
      <c r="E322" s="12" t="str">
        <f aca="false">'РПН 01.08 по МО'!F320</f>
        <v>Меркенский район</v>
      </c>
      <c r="F322" s="13" t="n">
        <f aca="false">'РПН 01.08 по МО'!D320</f>
        <v>67681</v>
      </c>
      <c r="G322" s="14" t="n">
        <f aca="false">INDEX('Расчет Кплотн'!$K:$K,MATCH(D322,'Расчет Кплотн'!$A:$A,0))</f>
        <v>1.1646</v>
      </c>
      <c r="H322" s="14" t="n">
        <f aca="false">INDEX('Расчет Кплотн'!$J:$J,MATCH(D322,'Расчет Кплотн'!$A:$A,0))</f>
        <v>1.4527</v>
      </c>
      <c r="I322" s="3" t="n">
        <f aca="false">F322*Моделирование!$F$3*M322*G322/1000</f>
        <v>1594873.1873201</v>
      </c>
      <c r="J322" s="3" t="n">
        <f aca="false">F322*Моделирование!$F$3*M322*H322/1000</f>
        <v>1989414.63096335</v>
      </c>
      <c r="K322" s="3" t="n">
        <f aca="false">J322-I322</f>
        <v>394541.443643244</v>
      </c>
      <c r="L322" s="4" t="n">
        <f aca="false">IFERROR(K322/I322,0)</f>
        <v>0.247381075047226</v>
      </c>
      <c r="M322" s="15" t="n">
        <f aca="false">IF(INDEX('Расчет Кплотн'!$D:$D,MATCH(D322,'Расчет Кплотн'!$A:$A,0))="район",IFERROR(VLOOKUP(INDEX('Расчет Кплотн'!$B:$B,MATCH(D322,'Расчет Кплотн'!$A:$A,0)),'БКПН (приказ 170)'!$A$4:$C$10,3,FALSE()),Моделирование!$F$2),Моделирование!$F$2)</f>
        <v>1686.17</v>
      </c>
    </row>
    <row r="323" customFormat="false" ht="15" hidden="false" customHeight="false" outlineLevel="0" collapsed="false">
      <c r="A323" s="12" t="n">
        <v>318</v>
      </c>
      <c r="B323" s="12" t="str">
        <f aca="false">'РПН 01.08 по МО'!B321</f>
        <v>ЖАМБЫЛСКАЯ</v>
      </c>
      <c r="C323" s="12" t="str">
        <f aca="false">'РПН 01.08 по МО'!C321</f>
        <v>ГКП на праве хозяйственного ведения: "Кордайская центральная районная больница управления здравоохраниеия акимата Жамбылской области"</v>
      </c>
      <c r="D323" s="12" t="str">
        <f aca="false">'РПН 01.08 по МО'!E321</f>
        <v>3148</v>
      </c>
      <c r="E323" s="12" t="str">
        <f aca="false">'РПН 01.08 по МО'!F321</f>
        <v>Кордайский район</v>
      </c>
      <c r="F323" s="13" t="n">
        <f aca="false">'РПН 01.08 по МО'!D321</f>
        <v>143306</v>
      </c>
      <c r="G323" s="14" t="n">
        <f aca="false">INDEX('Расчет Кплотн'!$K:$K,MATCH(D323,'Расчет Кплотн'!$A:$A,0))</f>
        <v>1.1166</v>
      </c>
      <c r="H323" s="14" t="n">
        <f aca="false">INDEX('Расчет Кплотн'!$J:$J,MATCH(D323,'Расчет Кплотн'!$A:$A,0))</f>
        <v>1.3228</v>
      </c>
      <c r="I323" s="3" t="n">
        <f aca="false">F323*Моделирование!$F$3*M323*G323/1000</f>
        <v>3237759.61484558</v>
      </c>
      <c r="J323" s="3" t="n">
        <f aca="false">F323*Моделирование!$F$3*M323*H323/1000</f>
        <v>3835669.36997827</v>
      </c>
      <c r="K323" s="3" t="n">
        <f aca="false">J323-I323</f>
        <v>597909.755132688</v>
      </c>
      <c r="L323" s="4" t="n">
        <f aca="false">IFERROR(K323/I323,0)</f>
        <v>0.184667741357693</v>
      </c>
      <c r="M323" s="15" t="n">
        <f aca="false">IF(INDEX('Расчет Кплотн'!$D:$D,MATCH(D323,'Расчет Кплотн'!$A:$A,0))="район",IFERROR(VLOOKUP(INDEX('Расчет Кплотн'!$B:$B,MATCH(D323,'Расчет Кплотн'!$A:$A,0)),'БКПН (приказ 170)'!$A$4:$C$10,3,FALSE()),Моделирование!$F$2),Моделирование!$F$2)</f>
        <v>1686.17</v>
      </c>
    </row>
    <row r="324" customFormat="false" ht="15" hidden="false" customHeight="false" outlineLevel="0" collapsed="false">
      <c r="A324" s="12" t="n">
        <v>319</v>
      </c>
      <c r="B324" s="12" t="str">
        <f aca="false">'РПН 01.08 по МО'!B322</f>
        <v>ЖАМБЫЛСКАЯ</v>
      </c>
      <c r="C324" s="12" t="str">
        <f aca="false">'РПН 01.08 по МО'!C322</f>
        <v>ГКП на ПХВ "Городская поликлиника № 5 управления здравоохранения акимата Жамбылской области"</v>
      </c>
      <c r="D324" s="12" t="str">
        <f aca="false">'РПН 01.08 по МО'!E322</f>
        <v>3110</v>
      </c>
      <c r="E324" s="12" t="str">
        <f aca="false">'РПН 01.08 по МО'!F322</f>
        <v>Тараз</v>
      </c>
      <c r="F324" s="13" t="n">
        <f aca="false">'РПН 01.08 по МО'!D322</f>
        <v>65248</v>
      </c>
      <c r="G324" s="14" t="n">
        <f aca="false">INDEX('Расчет Кплотн'!$K:$K,MATCH(D324,'Расчет Кплотн'!$A:$A,0))</f>
        <v>1</v>
      </c>
      <c r="H324" s="14" t="n">
        <f aca="false">INDEX('Расчет Кплотн'!$J:$J,MATCH(D324,'Расчет Кплотн'!$A:$A,0))</f>
        <v>1</v>
      </c>
      <c r="I324" s="3" t="n">
        <f aca="false">F324*Моделирование!$F$3*M324*G324/1000</f>
        <v>1320230.64192</v>
      </c>
      <c r="J324" s="3" t="n">
        <f aca="false">F324*Моделирование!$F$3*M324*H324/1000</f>
        <v>1320230.64192</v>
      </c>
      <c r="K324" s="3" t="n">
        <f aca="false">J324-I324</f>
        <v>0</v>
      </c>
      <c r="L324" s="4" t="n">
        <f aca="false">IFERROR(K324/I324,0)</f>
        <v>0</v>
      </c>
      <c r="M324" s="15" t="n">
        <f aca="false">IF(INDEX('Расчет Кплотн'!$D:$D,MATCH(D324,'Расчет Кплотн'!$A:$A,0))="район",IFERROR(VLOOKUP(INDEX('Расчет Кплотн'!$B:$B,MATCH(D324,'Расчет Кплотн'!$A:$A,0)),'БКПН (приказ 170)'!$A$4:$C$10,3,FALSE()),Моделирование!$F$2),Моделирование!$F$2)</f>
        <v>1686.17</v>
      </c>
    </row>
    <row r="325" customFormat="false" ht="15" hidden="false" customHeight="false" outlineLevel="0" collapsed="false">
      <c r="A325" s="12" t="n">
        <v>320</v>
      </c>
      <c r="B325" s="12" t="str">
        <f aca="false">'РПН 01.08 по МО'!B323</f>
        <v>ЖАМБЫЛСКАЯ</v>
      </c>
      <c r="C325" s="12" t="str">
        <f aca="false">'РПН 01.08 по МО'!C323</f>
        <v>ГКП на ПХВ "Городская поликлиника №7 управления здравоохранения акимата Жамбылской области"</v>
      </c>
      <c r="D325" s="12" t="str">
        <f aca="false">'РПН 01.08 по МО'!E323</f>
        <v>3110</v>
      </c>
      <c r="E325" s="12" t="str">
        <f aca="false">'РПН 01.08 по МО'!F323</f>
        <v>Тараз</v>
      </c>
      <c r="F325" s="13" t="n">
        <f aca="false">'РПН 01.08 по МО'!D323</f>
        <v>35400</v>
      </c>
      <c r="G325" s="14" t="n">
        <f aca="false">INDEX('Расчет Кплотн'!$K:$K,MATCH(D325,'Расчет Кплотн'!$A:$A,0))</f>
        <v>1</v>
      </c>
      <c r="H325" s="14" t="n">
        <f aca="false">INDEX('Расчет Кплотн'!$J:$J,MATCH(D325,'Расчет Кплотн'!$A:$A,0))</f>
        <v>1</v>
      </c>
      <c r="I325" s="3" t="n">
        <f aca="false">F325*Моделирование!$F$3*M325*G325/1000</f>
        <v>716285.016</v>
      </c>
      <c r="J325" s="3" t="n">
        <f aca="false">F325*Моделирование!$F$3*M325*H325/1000</f>
        <v>716285.016</v>
      </c>
      <c r="K325" s="3" t="n">
        <f aca="false">J325-I325</f>
        <v>0</v>
      </c>
      <c r="L325" s="4" t="n">
        <f aca="false">IFERROR(K325/I325,0)</f>
        <v>0</v>
      </c>
      <c r="M325" s="15" t="n">
        <f aca="false">IF(INDEX('Расчет Кплотн'!$D:$D,MATCH(D325,'Расчет Кплотн'!$A:$A,0))="район",IFERROR(VLOOKUP(INDEX('Расчет Кплотн'!$B:$B,MATCH(D325,'Расчет Кплотн'!$A:$A,0)),'БКПН (приказ 170)'!$A$4:$C$10,3,FALSE()),Моделирование!$F$2),Моделирование!$F$2)</f>
        <v>1686.17</v>
      </c>
    </row>
    <row r="326" customFormat="false" ht="15" hidden="false" customHeight="false" outlineLevel="0" collapsed="false">
      <c r="A326" s="12" t="n">
        <v>321</v>
      </c>
      <c r="B326" s="12" t="str">
        <f aca="false">'РПН 01.08 по МО'!B324</f>
        <v>ЖАМБЫЛСКАЯ</v>
      </c>
      <c r="C326" s="12" t="str">
        <f aca="false">'РПН 01.08 по МО'!C324</f>
        <v>ГКП на ПХВ "Городская поликлиника № 2 управления здравоохранения акимата Жамбылской области"</v>
      </c>
      <c r="D326" s="12" t="str">
        <f aca="false">'РПН 01.08 по МО'!E324</f>
        <v>3110</v>
      </c>
      <c r="E326" s="12" t="str">
        <f aca="false">'РПН 01.08 по МО'!F324</f>
        <v>Тараз</v>
      </c>
      <c r="F326" s="13" t="n">
        <f aca="false">'РПН 01.08 по МО'!D324</f>
        <v>66654</v>
      </c>
      <c r="G326" s="14" t="n">
        <f aca="false">INDEX('Расчет Кплотн'!$K:$K,MATCH(D326,'Расчет Кплотн'!$A:$A,0))</f>
        <v>1</v>
      </c>
      <c r="H326" s="14" t="n">
        <f aca="false">INDEX('Расчет Кплотн'!$J:$J,MATCH(D326,'Расчет Кплотн'!$A:$A,0))</f>
        <v>1</v>
      </c>
      <c r="I326" s="3" t="n">
        <f aca="false">F326*Моделирование!$F$3*M326*G326/1000</f>
        <v>1348679.70216</v>
      </c>
      <c r="J326" s="3" t="n">
        <f aca="false">F326*Моделирование!$F$3*M326*H326/1000</f>
        <v>1348679.70216</v>
      </c>
      <c r="K326" s="3" t="n">
        <f aca="false">J326-I326</f>
        <v>0</v>
      </c>
      <c r="L326" s="4" t="n">
        <f aca="false">IFERROR(K326/I326,0)</f>
        <v>0</v>
      </c>
      <c r="M326" s="15" t="n">
        <f aca="false">IF(INDEX('Расчет Кплотн'!$D:$D,MATCH(D326,'Расчет Кплотн'!$A:$A,0))="район",IFERROR(VLOOKUP(INDEX('Расчет Кплотн'!$B:$B,MATCH(D326,'Расчет Кплотн'!$A:$A,0)),'БКПН (приказ 170)'!$A$4:$C$10,3,FALSE()),Моделирование!$F$2),Моделирование!$F$2)</f>
        <v>1686.17</v>
      </c>
    </row>
    <row r="327" customFormat="false" ht="15" hidden="false" customHeight="false" outlineLevel="0" collapsed="false">
      <c r="A327" s="12" t="n">
        <v>322</v>
      </c>
      <c r="B327" s="12" t="str">
        <f aca="false">'РПН 01.08 по МО'!B325</f>
        <v>ЖАМБЫЛСКАЯ</v>
      </c>
      <c r="C327" s="12" t="str">
        <f aca="false">'РПН 01.08 по МО'!C325</f>
        <v>ГП "Центральная районная больница Жуалынского района Управления здравоохранения акимата Жамбылской области"</v>
      </c>
      <c r="D327" s="12" t="str">
        <f aca="false">'РПН 01.08 по МО'!E325</f>
        <v>3142</v>
      </c>
      <c r="E327" s="12" t="str">
        <f aca="false">'РПН 01.08 по МО'!F325</f>
        <v>Жуалынский район</v>
      </c>
      <c r="F327" s="13" t="n">
        <f aca="false">'РПН 01.08 по МО'!D325</f>
        <v>42669</v>
      </c>
      <c r="G327" s="14" t="n">
        <f aca="false">INDEX('Расчет Кплотн'!$K:$K,MATCH(D327,'Расчет Кплотн'!$A:$A,0))</f>
        <v>1.1545</v>
      </c>
      <c r="H327" s="14" t="n">
        <f aca="false">INDEX('Расчет Кплотн'!$J:$J,MATCH(D327,'Расчет Кплотн'!$A:$A,0))</f>
        <v>1.4935</v>
      </c>
      <c r="I327" s="3" t="n">
        <f aca="false">F327*Моделирование!$F$3*M327*G327/1000</f>
        <v>996756.33881142</v>
      </c>
      <c r="J327" s="3" t="n">
        <f aca="false">F327*Моделирование!$F$3*M327*H327/1000</f>
        <v>1289437.49849706</v>
      </c>
      <c r="K327" s="3" t="n">
        <f aca="false">J327-I327</f>
        <v>292681.15968564</v>
      </c>
      <c r="L327" s="4" t="n">
        <f aca="false">IFERROR(K327/I327,0)</f>
        <v>0.293633607622347</v>
      </c>
      <c r="M327" s="15" t="n">
        <f aca="false">IF(INDEX('Расчет Кплотн'!$D:$D,MATCH(D327,'Расчет Кплотн'!$A:$A,0))="район",IFERROR(VLOOKUP(INDEX('Расчет Кплотн'!$B:$B,MATCH(D327,'Расчет Кплотн'!$A:$A,0)),'БКПН (приказ 170)'!$A$4:$C$10,3,FALSE()),Моделирование!$F$2),Моделирование!$F$2)</f>
        <v>1686.17</v>
      </c>
    </row>
    <row r="328" customFormat="false" ht="15" hidden="false" customHeight="false" outlineLevel="0" collapsed="false">
      <c r="A328" s="12" t="n">
        <v>323</v>
      </c>
      <c r="B328" s="12" t="str">
        <f aca="false">'РПН 01.08 по МО'!B326</f>
        <v>ЖАМБЫЛСКАЯ</v>
      </c>
      <c r="C328" s="12" t="str">
        <f aca="false">'РПН 01.08 по МО'!C326</f>
        <v>ГП "Центральная районная больница Сарысуского района управления здравоохранения акимата Жамбылской области"</v>
      </c>
      <c r="D328" s="12" t="str">
        <f aca="false">'РПН 01.08 по МО'!E326</f>
        <v>3160</v>
      </c>
      <c r="E328" s="12" t="str">
        <f aca="false">'РПН 01.08 по МО'!F326</f>
        <v>Сарысуский район</v>
      </c>
      <c r="F328" s="13" t="n">
        <f aca="false">'РПН 01.08 по МО'!D326</f>
        <v>37151</v>
      </c>
      <c r="G328" s="14" t="n">
        <f aca="false">INDEX('Расчет Кплотн'!$K:$K,MATCH(D328,'Расчет Кплотн'!$A:$A,0))</f>
        <v>2</v>
      </c>
      <c r="H328" s="14" t="n">
        <f aca="false">INDEX('Расчет Кплотн'!$J:$J,MATCH(D328,'Расчет Кплотн'!$A:$A,0))</f>
        <v>2</v>
      </c>
      <c r="I328" s="3" t="n">
        <f aca="false">F328*Моделирование!$F$3*M328*G328/1000</f>
        <v>1503429.64008</v>
      </c>
      <c r="J328" s="3" t="n">
        <f aca="false">F328*Моделирование!$F$3*M328*H328/1000</f>
        <v>1503429.64008</v>
      </c>
      <c r="K328" s="3" t="n">
        <f aca="false">J328-I328</f>
        <v>0</v>
      </c>
      <c r="L328" s="4" t="n">
        <f aca="false">IFERROR(K328/I328,0)</f>
        <v>0</v>
      </c>
      <c r="M328" s="15" t="n">
        <f aca="false">IF(INDEX('Расчет Кплотн'!$D:$D,MATCH(D328,'Расчет Кплотн'!$A:$A,0))="район",IFERROR(VLOOKUP(INDEX('Расчет Кплотн'!$B:$B,MATCH(D328,'Расчет Кплотн'!$A:$A,0)),'БКПН (приказ 170)'!$A$4:$C$10,3,FALSE()),Моделирование!$F$2),Моделирование!$F$2)</f>
        <v>1686.17</v>
      </c>
    </row>
    <row r="329" customFormat="false" ht="15" hidden="false" customHeight="false" outlineLevel="0" collapsed="false">
      <c r="A329" s="12" t="n">
        <v>324</v>
      </c>
      <c r="B329" s="12" t="str">
        <f aca="false">'РПН 01.08 по МО'!B327</f>
        <v>ЖАМБЫЛСКАЯ</v>
      </c>
      <c r="C329" s="12" t="str">
        <f aca="false">'РПН 01.08 по МО'!C327</f>
        <v>Жамбылский филиал ТОО "Almaz Medical Group"</v>
      </c>
      <c r="D329" s="12" t="str">
        <f aca="false">'РПН 01.08 по МО'!E327</f>
        <v>3110</v>
      </c>
      <c r="E329" s="12" t="str">
        <f aca="false">'РПН 01.08 по МО'!F327</f>
        <v>Тараз</v>
      </c>
      <c r="F329" s="13" t="n">
        <f aca="false">'РПН 01.08 по МО'!D327</f>
        <v>68348</v>
      </c>
      <c r="G329" s="14" t="n">
        <f aca="false">INDEX('Расчет Кплотн'!$K:$K,MATCH(D329,'Расчет Кплотн'!$A:$A,0))</f>
        <v>1</v>
      </c>
      <c r="H329" s="14" t="n">
        <f aca="false">INDEX('Расчет Кплотн'!$J:$J,MATCH(D329,'Расчет Кплотн'!$A:$A,0))</f>
        <v>1</v>
      </c>
      <c r="I329" s="3" t="n">
        <f aca="false">F329*Моделирование!$F$3*M329*G329/1000</f>
        <v>1382956.16592</v>
      </c>
      <c r="J329" s="3" t="n">
        <f aca="false">F329*Моделирование!$F$3*M329*H329/1000</f>
        <v>1382956.16592</v>
      </c>
      <c r="K329" s="3" t="n">
        <f aca="false">J329-I329</f>
        <v>0</v>
      </c>
      <c r="L329" s="4" t="n">
        <f aca="false">IFERROR(K329/I329,0)</f>
        <v>0</v>
      </c>
      <c r="M329" s="15" t="n">
        <f aca="false">IF(INDEX('Расчет Кплотн'!$D:$D,MATCH(D329,'Расчет Кплотн'!$A:$A,0))="район",IFERROR(VLOOKUP(INDEX('Расчет Кплотн'!$B:$B,MATCH(D329,'Расчет Кплотн'!$A:$A,0)),'БКПН (приказ 170)'!$A$4:$C$10,3,FALSE()),Моделирование!$F$2),Моделирование!$F$2)</f>
        <v>1686.17</v>
      </c>
    </row>
    <row r="330" customFormat="false" ht="15" hidden="false" customHeight="false" outlineLevel="0" collapsed="false">
      <c r="A330" s="12" t="n">
        <v>325</v>
      </c>
      <c r="B330" s="12" t="str">
        <f aca="false">'РПН 01.08 по МО'!B328</f>
        <v>ЖАМБЫЛСКАЯ</v>
      </c>
      <c r="C330" s="12" t="str">
        <f aca="false">'РПН 01.08 по МО'!C328</f>
        <v>КГП на праве хозяйственного ведения "Центральная районная больница Мойынкумского района управления здравоохранения акимата Жамбылской области"</v>
      </c>
      <c r="D330" s="12" t="str">
        <f aca="false">'РПН 01.08 по МО'!E328</f>
        <v>3156</v>
      </c>
      <c r="E330" s="12" t="str">
        <f aca="false">'РПН 01.08 по МО'!F328</f>
        <v>Мойынкумский район</v>
      </c>
      <c r="F330" s="13" t="n">
        <f aca="false">'РПН 01.08 по МО'!D328</f>
        <v>23776</v>
      </c>
      <c r="G330" s="14" t="n">
        <f aca="false">INDEX('Расчет Кплотн'!$K:$K,MATCH(D330,'Расчет Кплотн'!$A:$A,0))</f>
        <v>2</v>
      </c>
      <c r="H330" s="14" t="n">
        <f aca="false">INDEX('Расчет Кплотн'!$J:$J,MATCH(D330,'Расчет Кплотн'!$A:$A,0))</f>
        <v>2</v>
      </c>
      <c r="I330" s="3" t="n">
        <f aca="false">F330*Моделирование!$F$3*M330*G330/1000</f>
        <v>962169.07008</v>
      </c>
      <c r="J330" s="3" t="n">
        <f aca="false">F330*Моделирование!$F$3*M330*H330/1000</f>
        <v>962169.07008</v>
      </c>
      <c r="K330" s="3" t="n">
        <f aca="false">J330-I330</f>
        <v>0</v>
      </c>
      <c r="L330" s="4" t="n">
        <f aca="false">IFERROR(K330/I330,0)</f>
        <v>0</v>
      </c>
      <c r="M330" s="15" t="n">
        <f aca="false">IF(INDEX('Расчет Кплотн'!$D:$D,MATCH(D330,'Расчет Кплотн'!$A:$A,0))="район",IFERROR(VLOOKUP(INDEX('Расчет Кплотн'!$B:$B,MATCH(D330,'Расчет Кплотн'!$A:$A,0)),'БКПН (приказ 170)'!$A$4:$C$10,3,FALSE()),Моделирование!$F$2),Моделирование!$F$2)</f>
        <v>1686.17</v>
      </c>
    </row>
    <row r="331" customFormat="false" ht="15" hidden="false" customHeight="false" outlineLevel="0" collapsed="false">
      <c r="A331" s="12" t="n">
        <v>326</v>
      </c>
      <c r="B331" s="12" t="str">
        <f aca="false">'РПН 01.08 по МО'!B329</f>
        <v>ЖАМБЫЛСКАЯ</v>
      </c>
      <c r="C331" s="12" t="str">
        <f aca="false">'РПН 01.08 по МО'!C329</f>
        <v>КГП на ПХВ "Шуская центральная районная больница управления здравоохранения акимата Жамбылской области"</v>
      </c>
      <c r="D331" s="12" t="str">
        <f aca="false">'РПН 01.08 по МО'!E329</f>
        <v>3166</v>
      </c>
      <c r="E331" s="12" t="str">
        <f aca="false">'РПН 01.08 по МО'!F329</f>
        <v>Шуский район</v>
      </c>
      <c r="F331" s="13" t="n">
        <f aca="false">'РПН 01.08 по МО'!D329</f>
        <v>54853</v>
      </c>
      <c r="G331" s="14" t="n">
        <f aca="false">INDEX('Расчет Кплотн'!$K:$K,MATCH(D331,'Расчет Кплотн'!$A:$A,0))</f>
        <v>1.2319</v>
      </c>
      <c r="H331" s="14" t="n">
        <f aca="false">INDEX('Расчет Кплотн'!$J:$J,MATCH(D331,'Расчет Кплотн'!$A:$A,0))</f>
        <v>1.6507</v>
      </c>
      <c r="I331" s="3" t="n">
        <f aca="false">F331*Моделирование!$F$3*M331*G331/1000</f>
        <v>1367283.09504023</v>
      </c>
      <c r="J331" s="3" t="n">
        <f aca="false">F331*Моделирование!$F$3*M331*H331/1000</f>
        <v>1832108.29205528</v>
      </c>
      <c r="K331" s="3" t="n">
        <f aca="false">J331-I331</f>
        <v>464825.197015056</v>
      </c>
      <c r="L331" s="4" t="n">
        <f aca="false">IFERROR(K331/I331,0)</f>
        <v>0.339962659306762</v>
      </c>
      <c r="M331" s="15" t="n">
        <f aca="false">IF(INDEX('Расчет Кплотн'!$D:$D,MATCH(D331,'Расчет Кплотн'!$A:$A,0))="район",IFERROR(VLOOKUP(INDEX('Расчет Кплотн'!$B:$B,MATCH(D331,'Расчет Кплотн'!$A:$A,0)),'БКПН (приказ 170)'!$A$4:$C$10,3,FALSE()),Моделирование!$F$2),Моделирование!$F$2)</f>
        <v>1686.17</v>
      </c>
    </row>
    <row r="332" customFormat="false" ht="15" hidden="false" customHeight="false" outlineLevel="0" collapsed="false">
      <c r="A332" s="12" t="n">
        <v>327</v>
      </c>
      <c r="B332" s="12" t="str">
        <f aca="false">'РПН 01.08 по МО'!B330</f>
        <v>ЖАМБЫЛСКАЯ</v>
      </c>
      <c r="C332" s="12" t="str">
        <f aca="false">'РПН 01.08 по МО'!C330</f>
        <v>ГКП ПХВ "Шуская городская поликлиника управления здравоохранения акимата Жамбылской области"</v>
      </c>
      <c r="D332" s="12" t="str">
        <f aca="false">'РПН 01.08 по МО'!E330</f>
        <v>3166</v>
      </c>
      <c r="E332" s="12" t="str">
        <f aca="false">'РПН 01.08 по МО'!F330</f>
        <v>Шуский район</v>
      </c>
      <c r="F332" s="13" t="n">
        <f aca="false">'РПН 01.08 по МО'!D330</f>
        <v>40339</v>
      </c>
      <c r="G332" s="14" t="n">
        <f aca="false">INDEX('Расчет Кплотн'!$K:$K,MATCH(D332,'Расчет Кплотн'!$A:$A,0))</f>
        <v>1.2319</v>
      </c>
      <c r="H332" s="14" t="n">
        <f aca="false">INDEX('Расчет Кплотн'!$J:$J,MATCH(D332,'Расчет Кплотн'!$A:$A,0))</f>
        <v>1.6507</v>
      </c>
      <c r="I332" s="3" t="n">
        <f aca="false">F332*Моделирование!$F$3*M332*G332/1000</f>
        <v>1005502.57544396</v>
      </c>
      <c r="J332" s="3" t="n">
        <f aca="false">F332*Моделирование!$F$3*M332*H332/1000</f>
        <v>1347335.90493169</v>
      </c>
      <c r="K332" s="3" t="n">
        <f aca="false">J332-I332</f>
        <v>341833.329487728</v>
      </c>
      <c r="L332" s="4" t="n">
        <f aca="false">IFERROR(K332/I332,0)</f>
        <v>0.339962659306762</v>
      </c>
      <c r="M332" s="15" t="n">
        <f aca="false">IF(INDEX('Расчет Кплотн'!$D:$D,MATCH(D332,'Расчет Кплотн'!$A:$A,0))="район",IFERROR(VLOOKUP(INDEX('Расчет Кплотн'!$B:$B,MATCH(D332,'Расчет Кплотн'!$A:$A,0)),'БКПН (приказ 170)'!$A$4:$C$10,3,FALSE()),Моделирование!$F$2),Моделирование!$F$2)</f>
        <v>1686.17</v>
      </c>
    </row>
    <row r="333" customFormat="false" ht="15" hidden="false" customHeight="false" outlineLevel="0" collapsed="false">
      <c r="A333" s="12" t="n">
        <v>328</v>
      </c>
      <c r="B333" s="12" t="str">
        <f aca="false">'РПН 01.08 по МО'!B331</f>
        <v>ЖАМБЫЛСКАЯ</v>
      </c>
      <c r="C333" s="12" t="str">
        <f aca="false">'РПН 01.08 по МО'!C331</f>
        <v>Коммунальное государственное предприятие на праве хозяйственного ведения "Центральная районная больница Байзакского района управления здравоохранения акимата Жамбылской области"</v>
      </c>
      <c r="D333" s="12" t="str">
        <f aca="false">'РПН 01.08 по МО'!E331</f>
        <v>3136</v>
      </c>
      <c r="E333" s="12" t="str">
        <f aca="false">'РПН 01.08 по МО'!F331</f>
        <v>Байзакский район</v>
      </c>
      <c r="F333" s="13" t="n">
        <f aca="false">'РПН 01.08 по МО'!D331</f>
        <v>83832</v>
      </c>
      <c r="G333" s="14" t="n">
        <f aca="false">INDEX('Расчет Кплотн'!$K:$K,MATCH(D333,'Расчет Кплотн'!$A:$A,0))</f>
        <v>1.0874</v>
      </c>
      <c r="H333" s="14" t="n">
        <f aca="false">INDEX('Расчет Кплотн'!$J:$J,MATCH(D333,'Расчет Кплотн'!$A:$A,0))</f>
        <v>1.2754</v>
      </c>
      <c r="I333" s="3" t="n">
        <f aca="false">F333*Моделирование!$F$3*M333*G333/1000</f>
        <v>1844513.16888787</v>
      </c>
      <c r="J333" s="3" t="n">
        <f aca="false">F333*Моделирование!$F$3*M333*H333/1000</f>
        <v>2163410.05664851</v>
      </c>
      <c r="K333" s="3" t="n">
        <f aca="false">J333-I333</f>
        <v>318896.88776064</v>
      </c>
      <c r="L333" s="4" t="n">
        <f aca="false">IFERROR(K333/I333,0)</f>
        <v>0.172889461099871</v>
      </c>
      <c r="M333" s="15" t="n">
        <f aca="false">IF(INDEX('Расчет Кплотн'!$D:$D,MATCH(D333,'Расчет Кплотн'!$A:$A,0))="район",IFERROR(VLOOKUP(INDEX('Расчет Кплотн'!$B:$B,MATCH(D333,'Расчет Кплотн'!$A:$A,0)),'БКПН (приказ 170)'!$A$4:$C$10,3,FALSE()),Моделирование!$F$2),Моделирование!$F$2)</f>
        <v>1686.17</v>
      </c>
    </row>
    <row r="334" customFormat="false" ht="15" hidden="false" customHeight="false" outlineLevel="0" collapsed="false">
      <c r="A334" s="12" t="n">
        <v>329</v>
      </c>
      <c r="B334" s="12" t="str">
        <f aca="false">'РПН 01.08 по МО'!B332</f>
        <v>ЖЕТІСУ</v>
      </c>
      <c r="C334" s="12" t="str">
        <f aca="false">'РПН 01.08 по МО'!C332</f>
        <v>ГКП на ПХВ «Текелийская городская больница» ГУ «Управление здравоохранения области Жетісу»</v>
      </c>
      <c r="D334" s="12" t="str">
        <f aca="false">'РПН 01.08 по МО'!E332</f>
        <v>3318</v>
      </c>
      <c r="E334" s="12" t="str">
        <f aca="false">'РПН 01.08 по МО'!F332</f>
        <v>Текели</v>
      </c>
      <c r="F334" s="13" t="n">
        <f aca="false">'РПН 01.08 по МО'!D332</f>
        <v>27167</v>
      </c>
      <c r="G334" s="14" t="n">
        <f aca="false">INDEX('Расчет Кплотн'!$K:$K,MATCH(D334,'Расчет Кплотн'!$A:$A,0))</f>
        <v>1.5</v>
      </c>
      <c r="H334" s="14" t="n">
        <f aca="false">INDEX('Расчет Кплотн'!$J:$J,MATCH(D334,'Расчет Кплотн'!$A:$A,0))</f>
        <v>1.5</v>
      </c>
      <c r="I334" s="3" t="n">
        <f aca="false">F334*Моделирование!$F$3*M334*G334/1000</f>
        <v>824547.24702</v>
      </c>
      <c r="J334" s="3" t="n">
        <f aca="false">F334*Моделирование!$F$3*M334*H334/1000</f>
        <v>824547.24702</v>
      </c>
      <c r="K334" s="3" t="n">
        <f aca="false">J334-I334</f>
        <v>0</v>
      </c>
      <c r="L334" s="4" t="n">
        <f aca="false">IFERROR(K334/I334,0)</f>
        <v>0</v>
      </c>
      <c r="M334" s="15" t="n">
        <f aca="false">IF(INDEX('Расчет Кплотн'!$D:$D,MATCH(D334,'Расчет Кплотн'!$A:$A,0))="район",IFERROR(VLOOKUP(INDEX('Расчет Кплотн'!$B:$B,MATCH(D334,'Расчет Кплотн'!$A:$A,0)),'БКПН (приказ 170)'!$A$4:$C$10,3,FALSE()),Моделирование!$F$2),Моделирование!$F$2)</f>
        <v>1686.17</v>
      </c>
    </row>
    <row r="335" customFormat="false" ht="15" hidden="false" customHeight="false" outlineLevel="0" collapsed="false">
      <c r="A335" s="12" t="n">
        <v>330</v>
      </c>
      <c r="B335" s="12" t="str">
        <f aca="false">'РПН 01.08 по МО'!B333</f>
        <v>ЖЕТІСУ</v>
      </c>
      <c r="C335" s="12" t="str">
        <f aca="false">'РПН 01.08 по МО'!C333</f>
        <v>ТОО "Медицинский центр ХАК"</v>
      </c>
      <c r="D335" s="12" t="str">
        <f aca="false">'РПН 01.08 по МО'!E333</f>
        <v>3310</v>
      </c>
      <c r="E335" s="12" t="str">
        <f aca="false">'РПН 01.08 по МО'!F333</f>
        <v>Талдыкорган</v>
      </c>
      <c r="F335" s="13" t="n">
        <f aca="false">'РПН 01.08 по МО'!D333</f>
        <v>17598</v>
      </c>
      <c r="G335" s="14" t="n">
        <f aca="false">INDEX('Расчет Кплотн'!$K:$K,MATCH(D335,'Расчет Кплотн'!$A:$A,0))</f>
        <v>1</v>
      </c>
      <c r="H335" s="14" t="n">
        <f aca="false">INDEX('Расчет Кплотн'!$J:$J,MATCH(D335,'Расчет Кплотн'!$A:$A,0))</f>
        <v>1</v>
      </c>
      <c r="I335" s="3" t="n">
        <f aca="false">F335*Моделирование!$F$3*M335*G335/1000</f>
        <v>356078.63592</v>
      </c>
      <c r="J335" s="3" t="n">
        <f aca="false">F335*Моделирование!$F$3*M335*H335/1000</f>
        <v>356078.63592</v>
      </c>
      <c r="K335" s="3" t="n">
        <f aca="false">J335-I335</f>
        <v>0</v>
      </c>
      <c r="L335" s="4" t="n">
        <f aca="false">IFERROR(K335/I335,0)</f>
        <v>0</v>
      </c>
      <c r="M335" s="15" t="n">
        <f aca="false">IF(INDEX('Расчет Кплотн'!$D:$D,MATCH(D335,'Расчет Кплотн'!$A:$A,0))="район",IFERROR(VLOOKUP(INDEX('Расчет Кплотн'!$B:$B,MATCH(D335,'Расчет Кплотн'!$A:$A,0)),'БКПН (приказ 170)'!$A$4:$C$10,3,FALSE()),Моделирование!$F$2),Моделирование!$F$2)</f>
        <v>1686.17</v>
      </c>
    </row>
    <row r="336" customFormat="false" ht="15" hidden="false" customHeight="false" outlineLevel="0" collapsed="false">
      <c r="A336" s="12" t="n">
        <v>331</v>
      </c>
      <c r="B336" s="12" t="str">
        <f aca="false">'РПН 01.08 по МО'!B334</f>
        <v>ЖЕТІСУ</v>
      </c>
      <c r="C336" s="12" t="str">
        <f aca="false">'РПН 01.08 по МО'!C334</f>
        <v>Негосударственное учреждение Медицинский Центр "Нур-Авиценум"</v>
      </c>
      <c r="D336" s="12" t="str">
        <f aca="false">'РПН 01.08 по МО'!E334</f>
        <v>3310</v>
      </c>
      <c r="E336" s="12" t="str">
        <f aca="false">'РПН 01.08 по МО'!F334</f>
        <v>Талдыкорган</v>
      </c>
      <c r="F336" s="13" t="n">
        <f aca="false">'РПН 01.08 по МО'!D334</f>
        <v>8539</v>
      </c>
      <c r="G336" s="14" t="n">
        <f aca="false">INDEX('Расчет Кплотн'!$K:$K,MATCH(D336,'Расчет Кплотн'!$A:$A,0))</f>
        <v>1</v>
      </c>
      <c r="H336" s="14" t="n">
        <f aca="false">INDEX('Расчет Кплотн'!$J:$J,MATCH(D336,'Расчет Кплотн'!$A:$A,0))</f>
        <v>1</v>
      </c>
      <c r="I336" s="3" t="n">
        <f aca="false">F336*Моделирование!$F$3*M336*G336/1000</f>
        <v>172778.46756</v>
      </c>
      <c r="J336" s="3" t="n">
        <f aca="false">F336*Моделирование!$F$3*M336*H336/1000</f>
        <v>172778.46756</v>
      </c>
      <c r="K336" s="3" t="n">
        <f aca="false">J336-I336</f>
        <v>0</v>
      </c>
      <c r="L336" s="4" t="n">
        <f aca="false">IFERROR(K336/I336,0)</f>
        <v>0</v>
      </c>
      <c r="M336" s="15" t="n">
        <f aca="false">IF(INDEX('Расчет Кплотн'!$D:$D,MATCH(D336,'Расчет Кплотн'!$A:$A,0))="район",IFERROR(VLOOKUP(INDEX('Расчет Кплотн'!$B:$B,MATCH(D336,'Расчет Кплотн'!$A:$A,0)),'БКПН (приказ 170)'!$A$4:$C$10,3,FALSE()),Моделирование!$F$2),Моделирование!$F$2)</f>
        <v>1686.17</v>
      </c>
    </row>
    <row r="337" customFormat="false" ht="15" hidden="false" customHeight="false" outlineLevel="0" collapsed="false">
      <c r="A337" s="12" t="n">
        <v>332</v>
      </c>
      <c r="B337" s="12" t="str">
        <f aca="false">'РПН 01.08 по МО'!B335</f>
        <v>ЖЕТІСУ</v>
      </c>
      <c r="C337" s="12" t="str">
        <f aca="false">'РПН 01.08 по МО'!C335</f>
        <v>КГП на ПХВ «Панфиловская многопрофильная межрайонная больница» ГУ «Управление здравоохранение области Жетісу»</v>
      </c>
      <c r="D337" s="12" t="str">
        <f aca="false">'РПН 01.08 по МО'!E335</f>
        <v>3346</v>
      </c>
      <c r="E337" s="12" t="str">
        <f aca="false">'РПН 01.08 по МО'!F335</f>
        <v>Панфиловский район</v>
      </c>
      <c r="F337" s="13" t="n">
        <f aca="false">'РПН 01.08 по МО'!D335</f>
        <v>128421</v>
      </c>
      <c r="G337" s="14" t="n">
        <f aca="false">INDEX('Расчет Кплотн'!$K:$K,MATCH(D337,'Расчет Кплотн'!$A:$A,0))</f>
        <v>1.1629</v>
      </c>
      <c r="H337" s="14" t="n">
        <f aca="false">INDEX('Расчет Кплотн'!$J:$J,MATCH(D337,'Расчет Кплотн'!$A:$A,0))</f>
        <v>1.4264</v>
      </c>
      <c r="I337" s="3" t="n">
        <f aca="false">F337*Моделирование!$F$3*M337*G337/1000</f>
        <v>3021767.33436184</v>
      </c>
      <c r="J337" s="3" t="n">
        <f aca="false">F337*Моделирование!$F$3*M337*H337/1000</f>
        <v>3706465.66835818</v>
      </c>
      <c r="K337" s="3" t="n">
        <f aca="false">J337-I337</f>
        <v>684698.333996339</v>
      </c>
      <c r="L337" s="4" t="n">
        <f aca="false">IFERROR(K337/I337,0)</f>
        <v>0.226588700662138</v>
      </c>
      <c r="M337" s="15" t="n">
        <f aca="false">IF(INDEX('Расчет Кплотн'!$D:$D,MATCH(D337,'Расчет Кплотн'!$A:$A,0))="район",IFERROR(VLOOKUP(INDEX('Расчет Кплотн'!$B:$B,MATCH(D337,'Расчет Кплотн'!$A:$A,0)),'БКПН (приказ 170)'!$A$4:$C$10,3,FALSE()),Моделирование!$F$2),Моделирование!$F$2)</f>
        <v>1686.17</v>
      </c>
    </row>
    <row r="338" customFormat="false" ht="15" hidden="false" customHeight="false" outlineLevel="0" collapsed="false">
      <c r="A338" s="12" t="n">
        <v>333</v>
      </c>
      <c r="B338" s="12" t="str">
        <f aca="false">'РПН 01.08 по МО'!B336</f>
        <v>ЖЕТІСУ</v>
      </c>
      <c r="C338" s="12" t="str">
        <f aca="false">'РПН 01.08 по МО'!C336</f>
        <v>Государственное коммунальное предприятие на праве хозяйственного ведения «Сарканская центральная районная больница» государственного учреждения «Управление здравоохранения области Жетісу» акимата области Жетісу</v>
      </c>
      <c r="D338" s="12" t="str">
        <f aca="false">'РПН 01.08 по МО'!E336</f>
        <v>3348</v>
      </c>
      <c r="E338" s="12" t="str">
        <f aca="false">'РПН 01.08 по МО'!F336</f>
        <v>Сарканский район</v>
      </c>
      <c r="F338" s="13" t="n">
        <f aca="false">'РПН 01.08 по МО'!D336</f>
        <v>34857</v>
      </c>
      <c r="G338" s="14" t="n">
        <f aca="false">INDEX('Расчет Кплотн'!$K:$K,MATCH(D338,'Расчет Кплотн'!$A:$A,0))</f>
        <v>2</v>
      </c>
      <c r="H338" s="14" t="n">
        <f aca="false">INDEX('Расчет Кплотн'!$J:$J,MATCH(D338,'Расчет Кплотн'!$A:$A,0))</f>
        <v>2</v>
      </c>
      <c r="I338" s="3" t="n">
        <f aca="false">F338*Моделирование!$F$3*M338*G338/1000</f>
        <v>1410595.86456</v>
      </c>
      <c r="J338" s="3" t="n">
        <f aca="false">F338*Моделирование!$F$3*M338*H338/1000</f>
        <v>1410595.86456</v>
      </c>
      <c r="K338" s="3" t="n">
        <f aca="false">J338-I338</f>
        <v>0</v>
      </c>
      <c r="L338" s="4" t="n">
        <f aca="false">IFERROR(K338/I338,0)</f>
        <v>0</v>
      </c>
      <c r="M338" s="15" t="n">
        <f aca="false">IF(INDEX('Расчет Кплотн'!$D:$D,MATCH(D338,'Расчет Кплотн'!$A:$A,0))="район",IFERROR(VLOOKUP(INDEX('Расчет Кплотн'!$B:$B,MATCH(D338,'Расчет Кплотн'!$A:$A,0)),'БКПН (приказ 170)'!$A$4:$C$10,3,FALSE()),Моделирование!$F$2),Моделирование!$F$2)</f>
        <v>1686.17</v>
      </c>
    </row>
    <row r="339" customFormat="false" ht="15" hidden="false" customHeight="false" outlineLevel="0" collapsed="false">
      <c r="A339" s="12" t="n">
        <v>334</v>
      </c>
      <c r="B339" s="12" t="str">
        <f aca="false">'РПН 01.08 по МО'!B337</f>
        <v>ЖЕТІСУ</v>
      </c>
      <c r="C339" s="12" t="str">
        <f aca="false">'РПН 01.08 по МО'!C337</f>
        <v>Государственное коммунальное предприятие на праве хозяйственного ведения «Каратальская центральная районная больница» государственного учреждения «Управление здравоохранения области Жетісу»</v>
      </c>
      <c r="D339" s="12" t="str">
        <f aca="false">'РПН 01.08 по МО'!E337</f>
        <v>3344</v>
      </c>
      <c r="E339" s="12" t="str">
        <f aca="false">'РПН 01.08 по МО'!F337</f>
        <v>Каратальский район</v>
      </c>
      <c r="F339" s="13" t="n">
        <f aca="false">'РПН 01.08 по МО'!D337</f>
        <v>39681</v>
      </c>
      <c r="G339" s="14" t="n">
        <f aca="false">INDEX('Расчет Кплотн'!$K:$K,MATCH(D339,'Расчет Кплотн'!$A:$A,0))</f>
        <v>2</v>
      </c>
      <c r="H339" s="14" t="n">
        <f aca="false">INDEX('Расчет Кплотн'!$J:$J,MATCH(D339,'Расчет Кплотн'!$A:$A,0))</f>
        <v>2</v>
      </c>
      <c r="I339" s="3" t="n">
        <f aca="false">F339*Моделирование!$F$3*M339*G339/1000</f>
        <v>1605813.88248</v>
      </c>
      <c r="J339" s="3" t="n">
        <f aca="false">F339*Моделирование!$F$3*M339*H339/1000</f>
        <v>1605813.88248</v>
      </c>
      <c r="K339" s="3" t="n">
        <f aca="false">J339-I339</f>
        <v>0</v>
      </c>
      <c r="L339" s="4" t="n">
        <f aca="false">IFERROR(K339/I339,0)</f>
        <v>0</v>
      </c>
      <c r="M339" s="15" t="n">
        <f aca="false">IF(INDEX('Расчет Кплотн'!$D:$D,MATCH(D339,'Расчет Кплотн'!$A:$A,0))="район",IFERROR(VLOOKUP(INDEX('Расчет Кплотн'!$B:$B,MATCH(D339,'Расчет Кплотн'!$A:$A,0)),'БКПН (приказ 170)'!$A$4:$C$10,3,FALSE()),Моделирование!$F$2),Моделирование!$F$2)</f>
        <v>1686.17</v>
      </c>
    </row>
    <row r="340" customFormat="false" ht="15" hidden="false" customHeight="false" outlineLevel="0" collapsed="false">
      <c r="A340" s="12" t="n">
        <v>335</v>
      </c>
      <c r="B340" s="12" t="str">
        <f aca="false">'РПН 01.08 по МО'!B338</f>
        <v>ЖЕТІСУ</v>
      </c>
      <c r="C340" s="12" t="str">
        <f aca="false">'РПН 01.08 по МО'!C338</f>
        <v>ГКП на ПХВ «Алакольская центральная районная больница» ГУ «Управление здравоохранения области Жетісу»</v>
      </c>
      <c r="D340" s="12" t="str">
        <f aca="false">'РПН 01.08 по МО'!E338</f>
        <v>3334</v>
      </c>
      <c r="E340" s="12" t="str">
        <f aca="false">'РПН 01.08 по МО'!F338</f>
        <v>Алакольский район</v>
      </c>
      <c r="F340" s="13" t="n">
        <f aca="false">'РПН 01.08 по МО'!D338</f>
        <v>62774</v>
      </c>
      <c r="G340" s="14" t="n">
        <f aca="false">INDEX('Расчет Кплотн'!$K:$K,MATCH(D340,'Расчет Кплотн'!$A:$A,0))</f>
        <v>1.649</v>
      </c>
      <c r="H340" s="14" t="n">
        <f aca="false">INDEX('Расчет Кплотн'!$J:$J,MATCH(D340,'Расчет Кплотн'!$A:$A,0))</f>
        <v>2</v>
      </c>
      <c r="I340" s="3" t="n">
        <f aca="false">F340*Моделирование!$F$3*M340*G340/1000</f>
        <v>2094513.01285704</v>
      </c>
      <c r="J340" s="3" t="n">
        <f aca="false">F340*Моделирование!$F$3*M340*H340/1000</f>
        <v>2540343.25392</v>
      </c>
      <c r="K340" s="3" t="n">
        <f aca="false">J340-I340</f>
        <v>445830.24106296</v>
      </c>
      <c r="L340" s="4" t="n">
        <f aca="false">IFERROR(K340/I340,0)</f>
        <v>0.212856276531231</v>
      </c>
      <c r="M340" s="15" t="n">
        <f aca="false">IF(INDEX('Расчет Кплотн'!$D:$D,MATCH(D340,'Расчет Кплотн'!$A:$A,0))="район",IFERROR(VLOOKUP(INDEX('Расчет Кплотн'!$B:$B,MATCH(D340,'Расчет Кплотн'!$A:$A,0)),'БКПН (приказ 170)'!$A$4:$C$10,3,FALSE()),Моделирование!$F$2),Моделирование!$F$2)</f>
        <v>1686.17</v>
      </c>
    </row>
    <row r="341" customFormat="false" ht="15" hidden="false" customHeight="false" outlineLevel="0" collapsed="false">
      <c r="A341" s="12" t="n">
        <v>336</v>
      </c>
      <c r="B341" s="12" t="str">
        <f aca="false">'РПН 01.08 по МО'!B339</f>
        <v>ЖЕТІСУ</v>
      </c>
      <c r="C341" s="12" t="str">
        <f aca="false">'РПН 01.08 по МО'!C339</f>
        <v>ГКП на ПХВ "Талдыкорганская городская поликлиника" ГУ "Управление здравоохранения области Жетісу"</v>
      </c>
      <c r="D341" s="12" t="str">
        <f aca="false">'РПН 01.08 по МО'!E339</f>
        <v>3310</v>
      </c>
      <c r="E341" s="12" t="str">
        <f aca="false">'РПН 01.08 по МО'!F339</f>
        <v>Талдыкорган</v>
      </c>
      <c r="F341" s="13" t="n">
        <f aca="false">'РПН 01.08 по МО'!D339</f>
        <v>118225</v>
      </c>
      <c r="G341" s="14" t="n">
        <f aca="false">INDEX('Расчет Кплотн'!$K:$K,MATCH(D341,'Расчет Кплотн'!$A:$A,0))</f>
        <v>1</v>
      </c>
      <c r="H341" s="14" t="n">
        <f aca="false">INDEX('Расчет Кплотн'!$J:$J,MATCH(D341,'Расчет Кплотн'!$A:$A,0))</f>
        <v>1</v>
      </c>
      <c r="I341" s="3" t="n">
        <f aca="false">F341*Моделирование!$F$3*M341*G341/1000</f>
        <v>2392169.379</v>
      </c>
      <c r="J341" s="3" t="n">
        <f aca="false">F341*Моделирование!$F$3*M341*H341/1000</f>
        <v>2392169.379</v>
      </c>
      <c r="K341" s="3" t="n">
        <f aca="false">J341-I341</f>
        <v>0</v>
      </c>
      <c r="L341" s="4" t="n">
        <f aca="false">IFERROR(K341/I341,0)</f>
        <v>0</v>
      </c>
      <c r="M341" s="15" t="n">
        <f aca="false">IF(INDEX('Расчет Кплотн'!$D:$D,MATCH(D341,'Расчет Кплотн'!$A:$A,0))="район",IFERROR(VLOOKUP(INDEX('Расчет Кплотн'!$B:$B,MATCH(D341,'Расчет Кплотн'!$A:$A,0)),'БКПН (приказ 170)'!$A$4:$C$10,3,FALSE()),Моделирование!$F$2),Моделирование!$F$2)</f>
        <v>1686.17</v>
      </c>
    </row>
    <row r="342" customFormat="false" ht="15" hidden="false" customHeight="false" outlineLevel="0" collapsed="false">
      <c r="A342" s="12" t="n">
        <v>337</v>
      </c>
      <c r="B342" s="12" t="str">
        <f aca="false">'РПН 01.08 по МО'!B340</f>
        <v>ЖЕТІСУ</v>
      </c>
      <c r="C342" s="12" t="str">
        <f aca="false">'РПН 01.08 по МО'!C340</f>
        <v>ГКП на ПХВ "Талдыкорганская городская поликлиника №2" ГУ "Управление здравоохранения области Жетісу"</v>
      </c>
      <c r="D342" s="12" t="str">
        <f aca="false">'РПН 01.08 по МО'!E340</f>
        <v>3310</v>
      </c>
      <c r="E342" s="12" t="str">
        <f aca="false">'РПН 01.08 по МО'!F340</f>
        <v>Талдыкорган</v>
      </c>
      <c r="F342" s="13" t="n">
        <f aca="false">'РПН 01.08 по МО'!D340</f>
        <v>60602</v>
      </c>
      <c r="G342" s="14" t="n">
        <f aca="false">INDEX('Расчет Кплотн'!$K:$K,MATCH(D342,'Расчет Кплотн'!$A:$A,0))</f>
        <v>1</v>
      </c>
      <c r="H342" s="14" t="n">
        <f aca="false">INDEX('Расчет Кплотн'!$J:$J,MATCH(D342,'Расчет Кплотн'!$A:$A,0))</f>
        <v>1</v>
      </c>
      <c r="I342" s="3" t="n">
        <f aca="false">F342*Моделирование!$F$3*M342*G342/1000</f>
        <v>1226223.29208</v>
      </c>
      <c r="J342" s="3" t="n">
        <f aca="false">F342*Моделирование!$F$3*M342*H342/1000</f>
        <v>1226223.29208</v>
      </c>
      <c r="K342" s="3" t="n">
        <f aca="false">J342-I342</f>
        <v>0</v>
      </c>
      <c r="L342" s="4" t="n">
        <f aca="false">IFERROR(K342/I342,0)</f>
        <v>0</v>
      </c>
      <c r="M342" s="15" t="n">
        <f aca="false">IF(INDEX('Расчет Кплотн'!$D:$D,MATCH(D342,'Расчет Кплотн'!$A:$A,0))="район",IFERROR(VLOOKUP(INDEX('Расчет Кплотн'!$B:$B,MATCH(D342,'Расчет Кплотн'!$A:$A,0)),'БКПН (приказ 170)'!$A$4:$C$10,3,FALSE()),Моделирование!$F$2),Моделирование!$F$2)</f>
        <v>1686.17</v>
      </c>
    </row>
    <row r="343" customFormat="false" ht="15" hidden="false" customHeight="false" outlineLevel="0" collapsed="false">
      <c r="A343" s="12" t="n">
        <v>338</v>
      </c>
      <c r="B343" s="12" t="str">
        <f aca="false">'РПН 01.08 по МО'!B341</f>
        <v>ЖЕТІСУ</v>
      </c>
      <c r="C343" s="12" t="str">
        <f aca="false">'РПН 01.08 по МО'!C341</f>
        <v>ГКП на ПХВ "Коксуская центральная районная больница" ГУ "Управление здравоохранения области Жетісу" акимата области Жетісу.</v>
      </c>
      <c r="D343" s="12" t="str">
        <f aca="false">'РПН 01.08 по МО'!E341</f>
        <v>3342</v>
      </c>
      <c r="E343" s="12" t="str">
        <f aca="false">'РПН 01.08 по МО'!F341</f>
        <v>Коксуский район</v>
      </c>
      <c r="F343" s="13" t="n">
        <f aca="false">'РПН 01.08 по МО'!D341</f>
        <v>38910</v>
      </c>
      <c r="G343" s="14" t="n">
        <f aca="false">INDEX('Расчет Кплотн'!$K:$K,MATCH(D343,'Расчет Кплотн'!$A:$A,0))</f>
        <v>1.3462</v>
      </c>
      <c r="H343" s="14" t="n">
        <f aca="false">INDEX('Расчет Кплотн'!$J:$J,MATCH(D343,'Расчет Кплотн'!$A:$A,0))</f>
        <v>1.9311</v>
      </c>
      <c r="I343" s="3" t="n">
        <f aca="false">F343*Моделирование!$F$3*M343*G343/1000</f>
        <v>1059872.00545368</v>
      </c>
      <c r="J343" s="3" t="n">
        <f aca="false">F343*Моделирование!$F$3*M343*H343/1000</f>
        <v>1520367.57519804</v>
      </c>
      <c r="K343" s="3" t="n">
        <f aca="false">J343-I343</f>
        <v>460495.56974436</v>
      </c>
      <c r="L343" s="4" t="n">
        <f aca="false">IFERROR(K343/I343,0)</f>
        <v>0.434482246322983</v>
      </c>
      <c r="M343" s="15" t="n">
        <f aca="false">IF(INDEX('Расчет Кплотн'!$D:$D,MATCH(D343,'Расчет Кплотн'!$A:$A,0))="район",IFERROR(VLOOKUP(INDEX('Расчет Кплотн'!$B:$B,MATCH(D343,'Расчет Кплотн'!$A:$A,0)),'БКПН (приказ 170)'!$A$4:$C$10,3,FALSE()),Моделирование!$F$2),Моделирование!$F$2)</f>
        <v>1686.17</v>
      </c>
    </row>
    <row r="344" customFormat="false" ht="15" hidden="false" customHeight="false" outlineLevel="0" collapsed="false">
      <c r="A344" s="12" t="n">
        <v>339</v>
      </c>
      <c r="B344" s="12" t="str">
        <f aca="false">'РПН 01.08 по МО'!B342</f>
        <v>ЖЕТІСУ</v>
      </c>
      <c r="C344" s="12" t="str">
        <f aca="false">'РПН 01.08 по МО'!C342</f>
        <v>ГКП на ПХВ "Кербулакская центральная районная больница" ГУ "Управление здравоохранения Жетісуской области"</v>
      </c>
      <c r="D344" s="12" t="str">
        <f aca="false">'РПН 01.08 по МО'!E342</f>
        <v>3340</v>
      </c>
      <c r="E344" s="12" t="str">
        <f aca="false">'РПН 01.08 по МО'!F342</f>
        <v>Кербулакский район</v>
      </c>
      <c r="F344" s="13" t="n">
        <f aca="false">'РПН 01.08 по МО'!D342</f>
        <v>37265</v>
      </c>
      <c r="G344" s="14" t="n">
        <f aca="false">INDEX('Расчет Кплотн'!$K:$K,MATCH(D344,'Расчет Кплотн'!$A:$A,0))</f>
        <v>1.5318</v>
      </c>
      <c r="H344" s="14" t="n">
        <f aca="false">INDEX('Расчет Кплотн'!$J:$J,MATCH(D344,'Расчет Кплотн'!$A:$A,0))</f>
        <v>2</v>
      </c>
      <c r="I344" s="3" t="n">
        <f aca="false">F344*Моделирование!$F$3*M344*G344/1000</f>
        <v>1155010.13461908</v>
      </c>
      <c r="J344" s="3" t="n">
        <f aca="false">F344*Моделирование!$F$3*M344*H344/1000</f>
        <v>1508043.0012</v>
      </c>
      <c r="K344" s="3" t="n">
        <f aca="false">J344-I344</f>
        <v>353032.86658092</v>
      </c>
      <c r="L344" s="4" t="n">
        <f aca="false">IFERROR(K344/I344,0)</f>
        <v>0.305653479566523</v>
      </c>
      <c r="M344" s="15" t="n">
        <f aca="false">IF(INDEX('Расчет Кплотн'!$D:$D,MATCH(D344,'Расчет Кплотн'!$A:$A,0))="район",IFERROR(VLOOKUP(INDEX('Расчет Кплотн'!$B:$B,MATCH(D344,'Расчет Кплотн'!$A:$A,0)),'БКПН (приказ 170)'!$A$4:$C$10,3,FALSE()),Моделирование!$F$2),Моделирование!$F$2)</f>
        <v>1686.17</v>
      </c>
    </row>
    <row r="345" customFormat="false" ht="15" hidden="false" customHeight="false" outlineLevel="0" collapsed="false">
      <c r="A345" s="12" t="n">
        <v>340</v>
      </c>
      <c r="B345" s="12" t="str">
        <f aca="false">'РПН 01.08 по МО'!B343</f>
        <v>ЖЕТІСУ</v>
      </c>
      <c r="C345" s="12" t="str">
        <f aca="false">'РПН 01.08 по МО'!C343</f>
        <v>ГКП на праве хозяйственного ведения «Аксуская центральная районная больница» государственного учреждения «Управление здравоохранения области Жетісу»</v>
      </c>
      <c r="D345" s="12" t="str">
        <f aca="false">'РПН 01.08 по МО'!E343</f>
        <v>3332</v>
      </c>
      <c r="E345" s="12" t="str">
        <f aca="false">'РПН 01.08 по МО'!F343</f>
        <v>Аксуский район</v>
      </c>
      <c r="F345" s="13" t="n">
        <f aca="false">'РПН 01.08 по МО'!D343</f>
        <v>31467</v>
      </c>
      <c r="G345" s="14" t="n">
        <f aca="false">INDEX('Расчет Кплотн'!$K:$K,MATCH(D345,'Расчет Кплотн'!$A:$A,0))</f>
        <v>1.6968</v>
      </c>
      <c r="H345" s="14" t="n">
        <f aca="false">INDEX('Расчет Кплотн'!$J:$J,MATCH(D345,'Расчет Кплотн'!$A:$A,0))</f>
        <v>2</v>
      </c>
      <c r="I345" s="3" t="n">
        <f aca="false">F345*Моделирование!$F$3*M345*G345/1000</f>
        <v>1080360.25783862</v>
      </c>
      <c r="J345" s="3" t="n">
        <f aca="false">F345*Моделирование!$F$3*M345*H345/1000</f>
        <v>1273409.07336</v>
      </c>
      <c r="K345" s="3" t="n">
        <f aca="false">J345-I345</f>
        <v>193048.815521376</v>
      </c>
      <c r="L345" s="4" t="n">
        <f aca="false">IFERROR(K345/I345,0)</f>
        <v>0.178689297501178</v>
      </c>
      <c r="M345" s="15" t="n">
        <f aca="false">IF(INDEX('Расчет Кплотн'!$D:$D,MATCH(D345,'Расчет Кплотн'!$A:$A,0))="район",IFERROR(VLOOKUP(INDEX('Расчет Кплотн'!$B:$B,MATCH(D345,'Расчет Кплотн'!$A:$A,0)),'БКПН (приказ 170)'!$A$4:$C$10,3,FALSE()),Моделирование!$F$2),Моделирование!$F$2)</f>
        <v>1686.17</v>
      </c>
    </row>
    <row r="346" customFormat="false" ht="15" hidden="false" customHeight="false" outlineLevel="0" collapsed="false">
      <c r="A346" s="12" t="n">
        <v>341</v>
      </c>
      <c r="B346" s="12" t="str">
        <f aca="false">'РПН 01.08 по МО'!B344</f>
        <v>ЖЕТІСУ</v>
      </c>
      <c r="C346" s="12" t="str">
        <f aca="false">'РПН 01.08 по МО'!C344</f>
        <v>ГКП на ПХВ «Ескельдинская центральная районная больница» ГУ «Управление здравоохранения области Жетісу» акимата области Жетісу</v>
      </c>
      <c r="D346" s="12" t="str">
        <f aca="false">'РПН 01.08 по МО'!E344</f>
        <v>3336</v>
      </c>
      <c r="E346" s="12" t="str">
        <f aca="false">'РПН 01.08 по МО'!F344</f>
        <v>Ескельдинский район</v>
      </c>
      <c r="F346" s="13" t="n">
        <f aca="false">'РПН 01.08 по МО'!D344</f>
        <v>48305</v>
      </c>
      <c r="G346" s="14" t="n">
        <f aca="false">INDEX('Расчет Кплотн'!$K:$K,MATCH(D346,'Расчет Кплотн'!$A:$A,0))</f>
        <v>1.1572</v>
      </c>
      <c r="H346" s="14" t="n">
        <f aca="false">INDEX('Расчет Кплотн'!$J:$J,MATCH(D346,'Расчет Кплотн'!$A:$A,0))</f>
        <v>1.4211</v>
      </c>
      <c r="I346" s="3" t="n">
        <f aca="false">F346*Моделирование!$F$3*M346*G346/1000</f>
        <v>1131053.41570584</v>
      </c>
      <c r="J346" s="3" t="n">
        <f aca="false">F346*Моделирование!$F$3*M346*H346/1000</f>
        <v>1388990.67495642</v>
      </c>
      <c r="K346" s="3" t="n">
        <f aca="false">J346-I346</f>
        <v>257937.25925058</v>
      </c>
      <c r="L346" s="4" t="n">
        <f aca="false">IFERROR(K346/I346,0)</f>
        <v>0.228050466643623</v>
      </c>
      <c r="M346" s="15" t="n">
        <f aca="false">IF(INDEX('Расчет Кплотн'!$D:$D,MATCH(D346,'Расчет Кплотн'!$A:$A,0))="район",IFERROR(VLOOKUP(INDEX('Расчет Кплотн'!$B:$B,MATCH(D346,'Расчет Кплотн'!$A:$A,0)),'БКПН (приказ 170)'!$A$4:$C$10,3,FALSE()),Моделирование!$F$2),Моделирование!$F$2)</f>
        <v>1686.17</v>
      </c>
    </row>
    <row r="347" customFormat="false" ht="15" hidden="false" customHeight="false" outlineLevel="0" collapsed="false">
      <c r="A347" s="12" t="n">
        <v>342</v>
      </c>
      <c r="B347" s="12" t="str">
        <f aca="false">'РПН 01.08 по МО'!B345</f>
        <v>ЗАПАДНО-КАЗАХСТАНСКАЯ</v>
      </c>
      <c r="C347" s="12" t="str">
        <f aca="false">'РПН 01.08 по МО'!C345</f>
        <v>ГКП на ПХВ "Чингирлауская районная больница" УЗ ЗКО</v>
      </c>
      <c r="D347" s="12" t="str">
        <f aca="false">'РПН 01.08 по МО'!E345</f>
        <v>2766</v>
      </c>
      <c r="E347" s="12" t="str">
        <f aca="false">'РПН 01.08 по МО'!F345</f>
        <v>Чингирлауский район</v>
      </c>
      <c r="F347" s="13" t="n">
        <f aca="false">'РПН 01.08 по МО'!D345</f>
        <v>11146</v>
      </c>
      <c r="G347" s="14" t="n">
        <f aca="false">INDEX('Расчет Кплотн'!$K:$K,MATCH(D347,'Расчет Кплотн'!$A:$A,0))</f>
        <v>2</v>
      </c>
      <c r="H347" s="14" t="n">
        <f aca="false">INDEX('Расчет Кплотн'!$J:$J,MATCH(D347,'Расчет Кплотн'!$A:$A,0))</f>
        <v>2</v>
      </c>
      <c r="I347" s="3" t="n">
        <f aca="false">F347*Моделирование!$F$3*M347*G347/1000</f>
        <v>580780.60944</v>
      </c>
      <c r="J347" s="3" t="n">
        <f aca="false">F347*Моделирование!$F$3*M347*H347/1000</f>
        <v>580780.60944</v>
      </c>
      <c r="K347" s="3" t="n">
        <f aca="false">J347-I347</f>
        <v>0</v>
      </c>
      <c r="L347" s="4" t="n">
        <f aca="false">IFERROR(K347/I347,0)</f>
        <v>0</v>
      </c>
      <c r="M347" s="15" t="n">
        <f aca="false">IF(INDEX('Расчет Кплотн'!$D:$D,MATCH(D347,'Расчет Кплотн'!$A:$A,0))="район",IFERROR(VLOOKUP(INDEX('Расчет Кплотн'!$B:$B,MATCH(D347,'Расчет Кплотн'!$A:$A,0)),'БКПН (приказ 170)'!$A$4:$C$10,3,FALSE()),Моделирование!$F$2),Моделирование!$F$2)</f>
        <v>2171.11</v>
      </c>
    </row>
    <row r="348" customFormat="false" ht="15" hidden="false" customHeight="false" outlineLevel="0" collapsed="false">
      <c r="A348" s="12" t="n">
        <v>343</v>
      </c>
      <c r="B348" s="12" t="str">
        <f aca="false">'РПН 01.08 по МО'!B346</f>
        <v>ЗАПАДНО-КАЗАХСТАНСКАЯ</v>
      </c>
      <c r="C348" s="12" t="str">
        <f aca="false">'РПН 01.08 по МО'!C346</f>
        <v>ГКП на ПХВ «Жангалинская РБ» УЗ ЗКО</v>
      </c>
      <c r="D348" s="12" t="str">
        <f aca="false">'РПН 01.08 по МО'!E346</f>
        <v>2740</v>
      </c>
      <c r="E348" s="12" t="str">
        <f aca="false">'РПН 01.08 по МО'!F346</f>
        <v>Жангалинский район</v>
      </c>
      <c r="F348" s="13" t="n">
        <f aca="false">'РПН 01.08 по МО'!D346</f>
        <v>19058</v>
      </c>
      <c r="G348" s="14" t="n">
        <f aca="false">INDEX('Расчет Кплотн'!$K:$K,MATCH(D348,'Расчет Кплотн'!$A:$A,0))</f>
        <v>2</v>
      </c>
      <c r="H348" s="14" t="n">
        <f aca="false">INDEX('Расчет Кплотн'!$J:$J,MATCH(D348,'Расчет Кплотн'!$A:$A,0))</f>
        <v>2</v>
      </c>
      <c r="I348" s="3" t="n">
        <f aca="false">F348*Моделирование!$F$3*M348*G348/1000</f>
        <v>993048.34512</v>
      </c>
      <c r="J348" s="3" t="n">
        <f aca="false">F348*Моделирование!$F$3*M348*H348/1000</f>
        <v>993048.34512</v>
      </c>
      <c r="K348" s="3" t="n">
        <f aca="false">J348-I348</f>
        <v>0</v>
      </c>
      <c r="L348" s="4" t="n">
        <f aca="false">IFERROR(K348/I348,0)</f>
        <v>0</v>
      </c>
      <c r="M348" s="15" t="n">
        <f aca="false">IF(INDEX('Расчет Кплотн'!$D:$D,MATCH(D348,'Расчет Кплотн'!$A:$A,0))="район",IFERROR(VLOOKUP(INDEX('Расчет Кплотн'!$B:$B,MATCH(D348,'Расчет Кплотн'!$A:$A,0)),'БКПН (приказ 170)'!$A$4:$C$10,3,FALSE()),Моделирование!$F$2),Моделирование!$F$2)</f>
        <v>2171.11</v>
      </c>
    </row>
    <row r="349" customFormat="false" ht="15" hidden="false" customHeight="false" outlineLevel="0" collapsed="false">
      <c r="A349" s="12" t="n">
        <v>344</v>
      </c>
      <c r="B349" s="12" t="str">
        <f aca="false">'РПН 01.08 по МО'!B347</f>
        <v>ЗАПАДНО-КАЗАХСТАНСКАЯ</v>
      </c>
      <c r="C349" s="12" t="str">
        <f aca="false">'РПН 01.08 по МО'!C347</f>
        <v>Государственное коммунальное предприятие на праве хозяйственного ведения "2- больница Казталовского района" управления здравоохранения акимата Западно-Казахстанской области"</v>
      </c>
      <c r="D349" s="12" t="str">
        <f aca="false">'РПН 01.08 по МО'!E347</f>
        <v>2748</v>
      </c>
      <c r="E349" s="12" t="str">
        <f aca="false">'РПН 01.08 по МО'!F347</f>
        <v>Казталовский район</v>
      </c>
      <c r="F349" s="13" t="n">
        <f aca="false">'РПН 01.08 по МО'!D347</f>
        <v>11391</v>
      </c>
      <c r="G349" s="14" t="n">
        <f aca="false">INDEX('Расчет Кплотн'!$K:$K,MATCH(D349,'Расчет Кплотн'!$A:$A,0))</f>
        <v>2</v>
      </c>
      <c r="H349" s="14" t="n">
        <f aca="false">INDEX('Расчет Кплотн'!$J:$J,MATCH(D349,'Расчет Кплотн'!$A:$A,0))</f>
        <v>2</v>
      </c>
      <c r="I349" s="3" t="n">
        <f aca="false">F349*Моделирование!$F$3*M349*G349/1000</f>
        <v>593546.73624</v>
      </c>
      <c r="J349" s="3" t="n">
        <f aca="false">F349*Моделирование!$F$3*M349*H349/1000</f>
        <v>593546.73624</v>
      </c>
      <c r="K349" s="3" t="n">
        <f aca="false">J349-I349</f>
        <v>0</v>
      </c>
      <c r="L349" s="4" t="n">
        <f aca="false">IFERROR(K349/I349,0)</f>
        <v>0</v>
      </c>
      <c r="M349" s="15" t="n">
        <f aca="false">IF(INDEX('Расчет Кплотн'!$D:$D,MATCH(D349,'Расчет Кплотн'!$A:$A,0))="район",IFERROR(VLOOKUP(INDEX('Расчет Кплотн'!$B:$B,MATCH(D349,'Расчет Кплотн'!$A:$A,0)),'БКПН (приказ 170)'!$A$4:$C$10,3,FALSE()),Моделирование!$F$2),Моделирование!$F$2)</f>
        <v>2171.11</v>
      </c>
    </row>
    <row r="350" customFormat="false" ht="15" hidden="false" customHeight="false" outlineLevel="0" collapsed="false">
      <c r="A350" s="12" t="n">
        <v>345</v>
      </c>
      <c r="B350" s="12" t="str">
        <f aca="false">'РПН 01.08 по МО'!B348</f>
        <v>ЗАПАДНО-КАЗАХСТАНСКАЯ</v>
      </c>
      <c r="C350" s="12" t="str">
        <f aca="false">'РПН 01.08 по МО'!C348</f>
        <v>Государственное коммунальное предприятие на праве хозяйственного ведения "Казталовская районная больница" управления здравоохранения акимата Западно-Казахстанской области"</v>
      </c>
      <c r="D350" s="12" t="str">
        <f aca="false">'РПН 01.08 по МО'!E348</f>
        <v>2748</v>
      </c>
      <c r="E350" s="12" t="str">
        <f aca="false">'РПН 01.08 по МО'!F348</f>
        <v>Казталовский район</v>
      </c>
      <c r="F350" s="13" t="n">
        <f aca="false">'РПН 01.08 по МО'!D348</f>
        <v>12338</v>
      </c>
      <c r="G350" s="14" t="n">
        <f aca="false">INDEX('Расчет Кплотн'!$K:$K,MATCH(D350,'Расчет Кплотн'!$A:$A,0))</f>
        <v>2</v>
      </c>
      <c r="H350" s="14" t="n">
        <f aca="false">INDEX('Расчет Кплотн'!$J:$J,MATCH(D350,'Расчет Кплотн'!$A:$A,0))</f>
        <v>2</v>
      </c>
      <c r="I350" s="3" t="n">
        <f aca="false">F350*Моделирование!$F$3*M350*G350/1000</f>
        <v>642891.72432</v>
      </c>
      <c r="J350" s="3" t="n">
        <f aca="false">F350*Моделирование!$F$3*M350*H350/1000</f>
        <v>642891.72432</v>
      </c>
      <c r="K350" s="3" t="n">
        <f aca="false">J350-I350</f>
        <v>0</v>
      </c>
      <c r="L350" s="4" t="n">
        <f aca="false">IFERROR(K350/I350,0)</f>
        <v>0</v>
      </c>
      <c r="M350" s="15" t="n">
        <f aca="false">IF(INDEX('Расчет Кплотн'!$D:$D,MATCH(D350,'Расчет Кплотн'!$A:$A,0))="район",IFERROR(VLOOKUP(INDEX('Расчет Кплотн'!$B:$B,MATCH(D350,'Расчет Кплотн'!$A:$A,0)),'БКПН (приказ 170)'!$A$4:$C$10,3,FALSE()),Моделирование!$F$2),Моделирование!$F$2)</f>
        <v>2171.11</v>
      </c>
    </row>
    <row r="351" customFormat="false" ht="15" hidden="false" customHeight="false" outlineLevel="0" collapsed="false">
      <c r="A351" s="12" t="n">
        <v>346</v>
      </c>
      <c r="B351" s="12" t="str">
        <f aca="false">'РПН 01.08 по МО'!B349</f>
        <v>ЗАПАДНО-КАЗАХСТАНСКАЯ</v>
      </c>
      <c r="C351" s="12" t="str">
        <f aca="false">'РПН 01.08 по МО'!C349</f>
        <v>Государственное коммунальное предприятие на праве хозяйственного ведения «Акжаикская районная больница» управления здравоохранения акимата Западно- Казахстанской области</v>
      </c>
      <c r="D351" s="12" t="str">
        <f aca="false">'РПН 01.08 по МО'!E349</f>
        <v>2732</v>
      </c>
      <c r="E351" s="12" t="str">
        <f aca="false">'РПН 01.08 по МО'!F349</f>
        <v>Акжаикский район</v>
      </c>
      <c r="F351" s="13" t="n">
        <f aca="false">'РПН 01.08 по МО'!D349</f>
        <v>29916</v>
      </c>
      <c r="G351" s="14" t="n">
        <f aca="false">INDEX('Расчет Кплотн'!$K:$K,MATCH(D351,'Расчет Кплотн'!$A:$A,0))</f>
        <v>2</v>
      </c>
      <c r="H351" s="14" t="n">
        <f aca="false">INDEX('Расчет Кплотн'!$J:$J,MATCH(D351,'Расчет Кплотн'!$A:$A,0))</f>
        <v>2</v>
      </c>
      <c r="I351" s="3" t="n">
        <f aca="false">F351*Моделирование!$F$3*M351*G351/1000</f>
        <v>1558822.24224</v>
      </c>
      <c r="J351" s="3" t="n">
        <f aca="false">F351*Моделирование!$F$3*M351*H351/1000</f>
        <v>1558822.24224</v>
      </c>
      <c r="K351" s="3" t="n">
        <f aca="false">J351-I351</f>
        <v>0</v>
      </c>
      <c r="L351" s="4" t="n">
        <f aca="false">IFERROR(K351/I351,0)</f>
        <v>0</v>
      </c>
      <c r="M351" s="15" t="n">
        <f aca="false">IF(INDEX('Расчет Кплотн'!$D:$D,MATCH(D351,'Расчет Кплотн'!$A:$A,0))="район",IFERROR(VLOOKUP(INDEX('Расчет Кплотн'!$B:$B,MATCH(D351,'Расчет Кплотн'!$A:$A,0)),'БКПН (приказ 170)'!$A$4:$C$10,3,FALSE()),Моделирование!$F$2),Моделирование!$F$2)</f>
        <v>2171.11</v>
      </c>
    </row>
    <row r="352" customFormat="false" ht="15" hidden="false" customHeight="false" outlineLevel="0" collapsed="false">
      <c r="A352" s="12" t="n">
        <v>347</v>
      </c>
      <c r="B352" s="12" t="str">
        <f aca="false">'РПН 01.08 по МО'!B350</f>
        <v>ЗАПАДНО-КАЗАХСТАНСКАЯ</v>
      </c>
      <c r="C352" s="12" t="str">
        <f aca="false">'РПН 01.08 по МО'!C350</f>
        <v>ТОО "Медикер Аксай"</v>
      </c>
      <c r="D352" s="12" t="str">
        <f aca="false">'РПН 01.08 по МО'!E350</f>
        <v>2710</v>
      </c>
      <c r="E352" s="12" t="str">
        <f aca="false">'РПН 01.08 по МО'!F350</f>
        <v>Уральск</v>
      </c>
      <c r="F352" s="13" t="n">
        <f aca="false">'РПН 01.08 по МО'!D350</f>
        <v>10262</v>
      </c>
      <c r="G352" s="14" t="n">
        <f aca="false">INDEX('Расчет Кплотн'!$K:$K,MATCH(D352,'Расчет Кплотн'!$A:$A,0))</f>
        <v>1</v>
      </c>
      <c r="H352" s="14" t="n">
        <f aca="false">INDEX('Расчет Кплотн'!$J:$J,MATCH(D352,'Расчет Кплотн'!$A:$A,0))</f>
        <v>1</v>
      </c>
      <c r="I352" s="3" t="n">
        <f aca="false">F352*Моделирование!$F$3*M352*G352/1000</f>
        <v>207641.71848</v>
      </c>
      <c r="J352" s="3" t="n">
        <f aca="false">F352*Моделирование!$F$3*M352*H352/1000</f>
        <v>207641.71848</v>
      </c>
      <c r="K352" s="3" t="n">
        <f aca="false">J352-I352</f>
        <v>0</v>
      </c>
      <c r="L352" s="4" t="n">
        <f aca="false">IFERROR(K352/I352,0)</f>
        <v>0</v>
      </c>
      <c r="M352" s="15" t="n">
        <f aca="false">IF(INDEX('Расчет Кплотн'!$D:$D,MATCH(D352,'Расчет Кплотн'!$A:$A,0))="район",IFERROR(VLOOKUP(INDEX('Расчет Кплотн'!$B:$B,MATCH(D352,'Расчет Кплотн'!$A:$A,0)),'БКПН (приказ 170)'!$A$4:$C$10,3,FALSE()),Моделирование!$F$2),Моделирование!$F$2)</f>
        <v>1686.17</v>
      </c>
    </row>
    <row r="353" customFormat="false" ht="15" hidden="false" customHeight="false" outlineLevel="0" collapsed="false">
      <c r="A353" s="12" t="n">
        <v>348</v>
      </c>
      <c r="B353" s="12" t="str">
        <f aca="false">'РПН 01.08 по МО'!B351</f>
        <v>ЗАПАДНО-КАЗАХСТАНСКАЯ</v>
      </c>
      <c r="C353" s="12" t="str">
        <f aca="false">'РПН 01.08 по МО'!C351</f>
        <v>ТОО "Батыс АвиГип"</v>
      </c>
      <c r="D353" s="12" t="str">
        <f aca="false">'РПН 01.08 по МО'!E351</f>
        <v>2710</v>
      </c>
      <c r="E353" s="12" t="str">
        <f aca="false">'РПН 01.08 по МО'!F351</f>
        <v>Уральск</v>
      </c>
      <c r="F353" s="13" t="n">
        <f aca="false">'РПН 01.08 по МО'!D351</f>
        <v>13952</v>
      </c>
      <c r="G353" s="14" t="n">
        <f aca="false">INDEX('Расчет Кплотн'!$K:$K,MATCH(D353,'Расчет Кплотн'!$A:$A,0))</f>
        <v>1</v>
      </c>
      <c r="H353" s="14" t="n">
        <f aca="false">INDEX('Расчет Кплотн'!$J:$J,MATCH(D353,'Расчет Кплотн'!$A:$A,0))</f>
        <v>1</v>
      </c>
      <c r="I353" s="3" t="n">
        <f aca="false">F353*Моделирование!$F$3*M353*G353/1000</f>
        <v>282305.32608</v>
      </c>
      <c r="J353" s="3" t="n">
        <f aca="false">F353*Моделирование!$F$3*M353*H353/1000</f>
        <v>282305.32608</v>
      </c>
      <c r="K353" s="3" t="n">
        <f aca="false">J353-I353</f>
        <v>0</v>
      </c>
      <c r="L353" s="4" t="n">
        <f aca="false">IFERROR(K353/I353,0)</f>
        <v>0</v>
      </c>
      <c r="M353" s="15" t="n">
        <f aca="false">IF(INDEX('Расчет Кплотн'!$D:$D,MATCH(D353,'Расчет Кплотн'!$A:$A,0))="район",IFERROR(VLOOKUP(INDEX('Расчет Кплотн'!$B:$B,MATCH(D353,'Расчет Кплотн'!$A:$A,0)),'БКПН (приказ 170)'!$A$4:$C$10,3,FALSE()),Моделирование!$F$2),Моделирование!$F$2)</f>
        <v>1686.17</v>
      </c>
    </row>
    <row r="354" customFormat="false" ht="15" hidden="false" customHeight="false" outlineLevel="0" collapsed="false">
      <c r="A354" s="12" t="n">
        <v>349</v>
      </c>
      <c r="B354" s="12" t="str">
        <f aca="false">'РПН 01.08 по МО'!B352</f>
        <v>ЗАПАДНО-КАЗАХСТАНСКАЯ</v>
      </c>
      <c r="C354" s="12" t="str">
        <f aca="false">'РПН 01.08 по МО'!C352</f>
        <v>ТОО "Медицинский Центр "ИНТЕРТИЧ" города Уральск"</v>
      </c>
      <c r="D354" s="12" t="str">
        <f aca="false">'РПН 01.08 по МО'!E352</f>
        <v>2710</v>
      </c>
      <c r="E354" s="12" t="str">
        <f aca="false">'РПН 01.08 по МО'!F352</f>
        <v>Уральск</v>
      </c>
      <c r="F354" s="13" t="n">
        <f aca="false">'РПН 01.08 по МО'!D352</f>
        <v>3951</v>
      </c>
      <c r="G354" s="14" t="n">
        <f aca="false">INDEX('Расчет Кплотн'!$K:$K,MATCH(D354,'Расчет Кплотн'!$A:$A,0))</f>
        <v>1</v>
      </c>
      <c r="H354" s="14" t="n">
        <f aca="false">INDEX('Расчет Кплотн'!$J:$J,MATCH(D354,'Расчет Кплотн'!$A:$A,0))</f>
        <v>1</v>
      </c>
      <c r="I354" s="3" t="n">
        <f aca="false">F354*Моделирование!$F$3*M354*G354/1000</f>
        <v>79944.69204</v>
      </c>
      <c r="J354" s="3" t="n">
        <f aca="false">F354*Моделирование!$F$3*M354*H354/1000</f>
        <v>79944.69204</v>
      </c>
      <c r="K354" s="3" t="n">
        <f aca="false">J354-I354</f>
        <v>0</v>
      </c>
      <c r="L354" s="4" t="n">
        <f aca="false">IFERROR(K354/I354,0)</f>
        <v>0</v>
      </c>
      <c r="M354" s="15" t="n">
        <f aca="false">IF(INDEX('Расчет Кплотн'!$D:$D,MATCH(D354,'Расчет Кплотн'!$A:$A,0))="район",IFERROR(VLOOKUP(INDEX('Расчет Кплотн'!$B:$B,MATCH(D354,'Расчет Кплотн'!$A:$A,0)),'БКПН (приказ 170)'!$A$4:$C$10,3,FALSE()),Моделирование!$F$2),Моделирование!$F$2)</f>
        <v>1686.17</v>
      </c>
    </row>
    <row r="355" customFormat="false" ht="15" hidden="false" customHeight="false" outlineLevel="0" collapsed="false">
      <c r="A355" s="12" t="n">
        <v>350</v>
      </c>
      <c r="B355" s="12" t="str">
        <f aca="false">'РПН 01.08 по МО'!B353</f>
        <v>ЗАПАДНО-КАЗАХСТАНСКАЯ</v>
      </c>
      <c r="C355" s="12" t="str">
        <f aca="false">'РПН 01.08 по МО'!C353</f>
        <v>ТОО "Медицинский центр"</v>
      </c>
      <c r="D355" s="12" t="str">
        <f aca="false">'РПН 01.08 по МО'!E353</f>
        <v>2710</v>
      </c>
      <c r="E355" s="12" t="str">
        <f aca="false">'РПН 01.08 по МО'!F353</f>
        <v>Уральск</v>
      </c>
      <c r="F355" s="13" t="n">
        <f aca="false">'РПН 01.08 по МО'!D353</f>
        <v>20323</v>
      </c>
      <c r="G355" s="14" t="n">
        <f aca="false">INDEX('Расчет Кплотн'!$K:$K,MATCH(D355,'Расчет Кплотн'!$A:$A,0))</f>
        <v>1</v>
      </c>
      <c r="H355" s="14" t="n">
        <f aca="false">INDEX('Расчет Кплотн'!$J:$J,MATCH(D355,'Расчет Кплотн'!$A:$A,0))</f>
        <v>1</v>
      </c>
      <c r="I355" s="3" t="n">
        <f aca="false">F355*Моделирование!$F$3*M355*G355/1000</f>
        <v>411216.39492</v>
      </c>
      <c r="J355" s="3" t="n">
        <f aca="false">F355*Моделирование!$F$3*M355*H355/1000</f>
        <v>411216.39492</v>
      </c>
      <c r="K355" s="3" t="n">
        <f aca="false">J355-I355</f>
        <v>0</v>
      </c>
      <c r="L355" s="4" t="n">
        <f aca="false">IFERROR(K355/I355,0)</f>
        <v>0</v>
      </c>
      <c r="M355" s="15" t="n">
        <f aca="false">IF(INDEX('Расчет Кплотн'!$D:$D,MATCH(D355,'Расчет Кплотн'!$A:$A,0))="район",IFERROR(VLOOKUP(INDEX('Расчет Кплотн'!$B:$B,MATCH(D355,'Расчет Кплотн'!$A:$A,0)),'БКПН (приказ 170)'!$A$4:$C$10,3,FALSE()),Моделирование!$F$2),Моделирование!$F$2)</f>
        <v>1686.17</v>
      </c>
    </row>
    <row r="356" customFormat="false" ht="15" hidden="false" customHeight="false" outlineLevel="0" collapsed="false">
      <c r="A356" s="12" t="n">
        <v>351</v>
      </c>
      <c r="B356" s="12" t="str">
        <f aca="false">'РПН 01.08 по МО'!B354</f>
        <v>ЗАПАДНО-КАЗАХСТАНСКАЯ</v>
      </c>
      <c r="C356" s="12" t="str">
        <f aca="false">'РПН 01.08 по МО'!C354</f>
        <v>ТОО "СВА ИНТЕРТИЧ"</v>
      </c>
      <c r="D356" s="12" t="str">
        <f aca="false">'РПН 01.08 по МО'!E354</f>
        <v>2736</v>
      </c>
      <c r="E356" s="12" t="str">
        <f aca="false">'РПН 01.08 по МО'!F354</f>
        <v>Бурлинский район</v>
      </c>
      <c r="F356" s="13" t="n">
        <f aca="false">'РПН 01.08 по МО'!D354</f>
        <v>3393</v>
      </c>
      <c r="G356" s="14" t="n">
        <f aca="false">INDEX('Расчет Кплотн'!$K:$K,MATCH(D356,'Расчет Кплотн'!$A:$A,0))</f>
        <v>1.1977</v>
      </c>
      <c r="H356" s="14" t="n">
        <f aca="false">INDEX('Расчет Кплотн'!$J:$J,MATCH(D356,'Расчет Кплотн'!$A:$A,0))</f>
        <v>1.5397</v>
      </c>
      <c r="I356" s="3" t="n">
        <f aca="false">F356*Моделирование!$F$3*M356*G356/1000</f>
        <v>105875.380208052</v>
      </c>
      <c r="J356" s="3" t="n">
        <f aca="false">F356*Моделирование!$F$3*M356*H356/1000</f>
        <v>136107.809055972</v>
      </c>
      <c r="K356" s="3" t="n">
        <f aca="false">J356-I356</f>
        <v>30232.42884792</v>
      </c>
      <c r="L356" s="4" t="n">
        <f aca="false">IFERROR(K356/I356,0)</f>
        <v>0.28554729898973</v>
      </c>
      <c r="M356" s="15" t="n">
        <f aca="false">IF(INDEX('Расчет Кплотн'!$D:$D,MATCH(D356,'Расчет Кплотн'!$A:$A,0))="район",IFERROR(VLOOKUP(INDEX('Расчет Кплотн'!$B:$B,MATCH(D356,'Расчет Кплотн'!$A:$A,0)),'БКПН (приказ 170)'!$A$4:$C$10,3,FALSE()),Моделирование!$F$2),Моделирование!$F$2)</f>
        <v>2171.11</v>
      </c>
    </row>
    <row r="357" customFormat="false" ht="15" hidden="false" customHeight="false" outlineLevel="0" collapsed="false">
      <c r="A357" s="12" t="n">
        <v>352</v>
      </c>
      <c r="B357" s="12" t="str">
        <f aca="false">'РПН 01.08 по МО'!B355</f>
        <v>ЗАПАДНО-КАЗАХСТАНСКАЯ</v>
      </c>
      <c r="C357" s="12" t="str">
        <f aca="false">'РПН 01.08 по МО'!C355</f>
        <v>ГКП на ПХВ "Теректинская районная больница" УЗ ЗКО"</v>
      </c>
      <c r="D357" s="12" t="str">
        <f aca="false">'РПН 01.08 по МО'!E355</f>
        <v>2762</v>
      </c>
      <c r="E357" s="12" t="str">
        <f aca="false">'РПН 01.08 по МО'!F355</f>
        <v>Теректинский район</v>
      </c>
      <c r="F357" s="13" t="n">
        <f aca="false">'РПН 01.08 по МО'!D355</f>
        <v>33641</v>
      </c>
      <c r="G357" s="14" t="n">
        <f aca="false">INDEX('Расчет Кплотн'!$K:$K,MATCH(D357,'Расчет Кплотн'!$A:$A,0))</f>
        <v>1.4162</v>
      </c>
      <c r="H357" s="14" t="n">
        <f aca="false">INDEX('Расчет Кплотн'!$J:$J,MATCH(D357,'Расчет Кплотн'!$A:$A,0))</f>
        <v>2</v>
      </c>
      <c r="I357" s="3" t="n">
        <f aca="false">F357*Моделирование!$F$3*M357*G357/1000</f>
        <v>1241242.28112554</v>
      </c>
      <c r="J357" s="3" t="n">
        <f aca="false">F357*Моделирование!$F$3*M357*H357/1000</f>
        <v>1752919.47624</v>
      </c>
      <c r="K357" s="3" t="n">
        <f aca="false">J357-I357</f>
        <v>511677.195114456</v>
      </c>
      <c r="L357" s="4" t="n">
        <f aca="false">IFERROR(K357/I357,0)</f>
        <v>0.412229911029516</v>
      </c>
      <c r="M357" s="15" t="n">
        <f aca="false">IF(INDEX('Расчет Кплотн'!$D:$D,MATCH(D357,'Расчет Кплотн'!$A:$A,0))="район",IFERROR(VLOOKUP(INDEX('Расчет Кплотн'!$B:$B,MATCH(D357,'Расчет Кплотн'!$A:$A,0)),'БКПН (приказ 170)'!$A$4:$C$10,3,FALSE()),Моделирование!$F$2),Моделирование!$F$2)</f>
        <v>2171.11</v>
      </c>
    </row>
    <row r="358" customFormat="false" ht="15" hidden="false" customHeight="false" outlineLevel="0" collapsed="false">
      <c r="A358" s="12" t="n">
        <v>353</v>
      </c>
      <c r="B358" s="12" t="str">
        <f aca="false">'РПН 01.08 по МО'!B356</f>
        <v>ЗАПАДНО-КАЗАХСТАНСКАЯ</v>
      </c>
      <c r="C358" s="12" t="str">
        <f aca="false">'РПН 01.08 по МО'!C356</f>
        <v>ТОО "Uniserv Medical Center"</v>
      </c>
      <c r="D358" s="12" t="str">
        <f aca="false">'РПН 01.08 по МО'!E356</f>
        <v>2710</v>
      </c>
      <c r="E358" s="12" t="str">
        <f aca="false">'РПН 01.08 по МО'!F356</f>
        <v>Уральск</v>
      </c>
      <c r="F358" s="13" t="n">
        <f aca="false">'РПН 01.08 по МО'!D356</f>
        <v>19803</v>
      </c>
      <c r="G358" s="14" t="n">
        <f aca="false">INDEX('Расчет Кплотн'!$K:$K,MATCH(D358,'Расчет Кплотн'!$A:$A,0))</f>
        <v>1</v>
      </c>
      <c r="H358" s="14" t="n">
        <f aca="false">INDEX('Расчет Кплотн'!$J:$J,MATCH(D358,'Расчет Кплотн'!$A:$A,0))</f>
        <v>1</v>
      </c>
      <c r="I358" s="3" t="n">
        <f aca="false">F358*Моделирование!$F$3*M358*G358/1000</f>
        <v>400694.69412</v>
      </c>
      <c r="J358" s="3" t="n">
        <f aca="false">F358*Моделирование!$F$3*M358*H358/1000</f>
        <v>400694.69412</v>
      </c>
      <c r="K358" s="3" t="n">
        <f aca="false">J358-I358</f>
        <v>0</v>
      </c>
      <c r="L358" s="4" t="n">
        <f aca="false">IFERROR(K358/I358,0)</f>
        <v>0</v>
      </c>
      <c r="M358" s="15" t="n">
        <f aca="false">IF(INDEX('Расчет Кплотн'!$D:$D,MATCH(D358,'Расчет Кплотн'!$A:$A,0))="район",IFERROR(VLOOKUP(INDEX('Расчет Кплотн'!$B:$B,MATCH(D358,'Расчет Кплотн'!$A:$A,0)),'БКПН (приказ 170)'!$A$4:$C$10,3,FALSE()),Моделирование!$F$2),Моделирование!$F$2)</f>
        <v>1686.17</v>
      </c>
    </row>
    <row r="359" customFormat="false" ht="15" hidden="false" customHeight="false" outlineLevel="0" collapsed="false">
      <c r="A359" s="12" t="n">
        <v>354</v>
      </c>
      <c r="B359" s="12" t="str">
        <f aca="false">'РПН 01.08 по МО'!B357</f>
        <v>ЗАПАДНО-КАЗАХСТАНСКАЯ</v>
      </c>
      <c r="C359" s="12" t="str">
        <f aca="false">'РПН 01.08 по МО'!C357</f>
        <v>ГКП на ПХВ "Городская поликлиника №6" УЗ акимата ЗКО</v>
      </c>
      <c r="D359" s="12" t="str">
        <f aca="false">'РПН 01.08 по МО'!E357</f>
        <v>2710</v>
      </c>
      <c r="E359" s="12" t="str">
        <f aca="false">'РПН 01.08 по МО'!F357</f>
        <v>Уральск</v>
      </c>
      <c r="F359" s="13" t="n">
        <f aca="false">'РПН 01.08 по МО'!D357</f>
        <v>77603</v>
      </c>
      <c r="G359" s="14" t="n">
        <f aca="false">INDEX('Расчет Кплотн'!$K:$K,MATCH(D359,'Расчет Кплотн'!$A:$A,0))</f>
        <v>1</v>
      </c>
      <c r="H359" s="14" t="n">
        <f aca="false">INDEX('Расчет Кплотн'!$J:$J,MATCH(D359,'Расчет Кплотн'!$A:$A,0))</f>
        <v>1</v>
      </c>
      <c r="I359" s="3" t="n">
        <f aca="false">F359*Моделирование!$F$3*M359*G359/1000</f>
        <v>1570222.20612</v>
      </c>
      <c r="J359" s="3" t="n">
        <f aca="false">F359*Моделирование!$F$3*M359*H359/1000</f>
        <v>1570222.20612</v>
      </c>
      <c r="K359" s="3" t="n">
        <f aca="false">J359-I359</f>
        <v>0</v>
      </c>
      <c r="L359" s="4" t="n">
        <f aca="false">IFERROR(K359/I359,0)</f>
        <v>0</v>
      </c>
      <c r="M359" s="15" t="n">
        <f aca="false">IF(INDEX('Расчет Кплотн'!$D:$D,MATCH(D359,'Расчет Кплотн'!$A:$A,0))="район",IFERROR(VLOOKUP(INDEX('Расчет Кплотн'!$B:$B,MATCH(D359,'Расчет Кплотн'!$A:$A,0)),'БКПН (приказ 170)'!$A$4:$C$10,3,FALSE()),Моделирование!$F$2),Моделирование!$F$2)</f>
        <v>1686.17</v>
      </c>
    </row>
    <row r="360" customFormat="false" ht="15" hidden="false" customHeight="false" outlineLevel="0" collapsed="false">
      <c r="A360" s="12" t="n">
        <v>355</v>
      </c>
      <c r="B360" s="12" t="str">
        <f aca="false">'РПН 01.08 по МО'!B358</f>
        <v>ЗАПАДНО-КАЗАХСТАНСКАЯ</v>
      </c>
      <c r="C360" s="12" t="str">
        <f aca="false">'РПН 01.08 по МО'!C358</f>
        <v>ГКП на праве хозяйственного ведения "Бокейординская районная больница" управления здравоохранения акимата Западно-Казахстанской области</v>
      </c>
      <c r="D360" s="12" t="str">
        <f aca="false">'РПН 01.08 по МО'!E358</f>
        <v>2754</v>
      </c>
      <c r="E360" s="12" t="str">
        <f aca="false">'РПН 01.08 по МО'!F358</f>
        <v>Бокейординский район</v>
      </c>
      <c r="F360" s="13" t="n">
        <f aca="false">'РПН 01.08 по МО'!D358</f>
        <v>12075</v>
      </c>
      <c r="G360" s="14" t="n">
        <f aca="false">INDEX('Расчет Кплотн'!$K:$K,MATCH(D360,'Расчет Кплотн'!$A:$A,0))</f>
        <v>2</v>
      </c>
      <c r="H360" s="14" t="n">
        <f aca="false">INDEX('Расчет Кплотн'!$J:$J,MATCH(D360,'Расчет Кплотн'!$A:$A,0))</f>
        <v>2</v>
      </c>
      <c r="I360" s="3" t="n">
        <f aca="false">F360*Моделирование!$F$3*M360*G360/1000</f>
        <v>629187.678</v>
      </c>
      <c r="J360" s="3" t="n">
        <f aca="false">F360*Моделирование!$F$3*M360*H360/1000</f>
        <v>629187.678</v>
      </c>
      <c r="K360" s="3" t="n">
        <f aca="false">J360-I360</f>
        <v>0</v>
      </c>
      <c r="L360" s="4" t="n">
        <f aca="false">IFERROR(K360/I360,0)</f>
        <v>0</v>
      </c>
      <c r="M360" s="15" t="n">
        <f aca="false">IF(INDEX('Расчет Кплотн'!$D:$D,MATCH(D360,'Расчет Кплотн'!$A:$A,0))="район",IFERROR(VLOOKUP(INDEX('Расчет Кплотн'!$B:$B,MATCH(D360,'Расчет Кплотн'!$A:$A,0)),'БКПН (приказ 170)'!$A$4:$C$10,3,FALSE()),Моделирование!$F$2),Моделирование!$F$2)</f>
        <v>2171.11</v>
      </c>
    </row>
    <row r="361" customFormat="false" ht="15" hidden="false" customHeight="false" outlineLevel="0" collapsed="false">
      <c r="A361" s="12" t="n">
        <v>356</v>
      </c>
      <c r="B361" s="12" t="str">
        <f aca="false">'РПН 01.08 по МО'!B359</f>
        <v>ЗАПАДНО-КАЗАХСТАНСКАЯ</v>
      </c>
      <c r="C361" s="12" t="str">
        <f aca="false">'РПН 01.08 по МО'!C359</f>
        <v>ГКП на ПХВ "Городская поликлиника № 5" УЗ акимата ЗКО</v>
      </c>
      <c r="D361" s="12" t="str">
        <f aca="false">'РПН 01.08 по МО'!E359</f>
        <v>2710</v>
      </c>
      <c r="E361" s="12" t="str">
        <f aca="false">'РПН 01.08 по МО'!F359</f>
        <v>Уральск</v>
      </c>
      <c r="F361" s="13" t="n">
        <f aca="false">'РПН 01.08 по МО'!D359</f>
        <v>65131</v>
      </c>
      <c r="G361" s="14" t="n">
        <f aca="false">INDEX('Расчет Кплотн'!$K:$K,MATCH(D361,'Расчет Кплотн'!$A:$A,0))</f>
        <v>1</v>
      </c>
      <c r="H361" s="14" t="n">
        <f aca="false">INDEX('Расчет Кплотн'!$J:$J,MATCH(D361,'Расчет Кплотн'!$A:$A,0))</f>
        <v>1</v>
      </c>
      <c r="I361" s="3" t="n">
        <f aca="false">F361*Моделирование!$F$3*M361*G361/1000</f>
        <v>1317863.25924</v>
      </c>
      <c r="J361" s="3" t="n">
        <f aca="false">F361*Моделирование!$F$3*M361*H361/1000</f>
        <v>1317863.25924</v>
      </c>
      <c r="K361" s="3" t="n">
        <f aca="false">J361-I361</f>
        <v>0</v>
      </c>
      <c r="L361" s="4" t="n">
        <f aca="false">IFERROR(K361/I361,0)</f>
        <v>0</v>
      </c>
      <c r="M361" s="15" t="n">
        <f aca="false">IF(INDEX('Расчет Кплотн'!$D:$D,MATCH(D361,'Расчет Кплотн'!$A:$A,0))="район",IFERROR(VLOOKUP(INDEX('Расчет Кплотн'!$B:$B,MATCH(D361,'Расчет Кплотн'!$A:$A,0)),'БКПН (приказ 170)'!$A$4:$C$10,3,FALSE()),Моделирование!$F$2),Моделирование!$F$2)</f>
        <v>1686.17</v>
      </c>
    </row>
    <row r="362" customFormat="false" ht="15" hidden="false" customHeight="false" outlineLevel="0" collapsed="false">
      <c r="A362" s="12" t="n">
        <v>357</v>
      </c>
      <c r="B362" s="12" t="str">
        <f aca="false">'РПН 01.08 по МО'!B360</f>
        <v>ЗАПАДНО-КАЗАХСТАНСКАЯ</v>
      </c>
      <c r="C362" s="12" t="str">
        <f aca="false">'РПН 01.08 по МО'!C360</f>
        <v>ГКП "Городская поликлиника №2" на праве хозяйственного ведения управления здравоохранения акимата Западно-Казахстанской области</v>
      </c>
      <c r="D362" s="12" t="str">
        <f aca="false">'РПН 01.08 по МО'!E360</f>
        <v>2710</v>
      </c>
      <c r="E362" s="12" t="str">
        <f aca="false">'РПН 01.08 по МО'!F360</f>
        <v>Уральск</v>
      </c>
      <c r="F362" s="13" t="n">
        <f aca="false">'РПН 01.08 по МО'!D360</f>
        <v>47218</v>
      </c>
      <c r="G362" s="14" t="n">
        <f aca="false">INDEX('Расчет Кплотн'!$K:$K,MATCH(D362,'Расчет Кплотн'!$A:$A,0))</f>
        <v>1</v>
      </c>
      <c r="H362" s="14" t="n">
        <f aca="false">INDEX('Расчет Кплотн'!$J:$J,MATCH(D362,'Расчет Кплотн'!$A:$A,0))</f>
        <v>1</v>
      </c>
      <c r="I362" s="3" t="n">
        <f aca="false">F362*Моделирование!$F$3*M362*G362/1000</f>
        <v>955410.90072</v>
      </c>
      <c r="J362" s="3" t="n">
        <f aca="false">F362*Моделирование!$F$3*M362*H362/1000</f>
        <v>955410.90072</v>
      </c>
      <c r="K362" s="3" t="n">
        <f aca="false">J362-I362</f>
        <v>0</v>
      </c>
      <c r="L362" s="4" t="n">
        <f aca="false">IFERROR(K362/I362,0)</f>
        <v>0</v>
      </c>
      <c r="M362" s="15" t="n">
        <f aca="false">IF(INDEX('Расчет Кплотн'!$D:$D,MATCH(D362,'Расчет Кплотн'!$A:$A,0))="район",IFERROR(VLOOKUP(INDEX('Расчет Кплотн'!$B:$B,MATCH(D362,'Расчет Кплотн'!$A:$A,0)),'БКПН (приказ 170)'!$A$4:$C$10,3,FALSE()),Моделирование!$F$2),Моделирование!$F$2)</f>
        <v>1686.17</v>
      </c>
    </row>
    <row r="363" customFormat="false" ht="15" hidden="false" customHeight="false" outlineLevel="0" collapsed="false">
      <c r="A363" s="12" t="n">
        <v>358</v>
      </c>
      <c r="B363" s="12" t="str">
        <f aca="false">'РПН 01.08 по МО'!B361</f>
        <v>ЗАПАДНО-КАЗАХСТАНСКАЯ</v>
      </c>
      <c r="C363" s="12" t="str">
        <f aca="false">'РПН 01.08 по МО'!C361</f>
        <v>ГКП "Городская поликлиника №4" на ПХВ УЗ акимата ЗКО</v>
      </c>
      <c r="D363" s="12" t="str">
        <f aca="false">'РПН 01.08 по МО'!E361</f>
        <v>2710</v>
      </c>
      <c r="E363" s="12" t="str">
        <f aca="false">'РПН 01.08 по МО'!F361</f>
        <v>Уральск</v>
      </c>
      <c r="F363" s="13" t="n">
        <f aca="false">'РПН 01.08 по МО'!D361</f>
        <v>47912</v>
      </c>
      <c r="G363" s="14" t="n">
        <f aca="false">INDEX('Расчет Кплотн'!$K:$K,MATCH(D363,'Расчет Кплотн'!$A:$A,0))</f>
        <v>1</v>
      </c>
      <c r="H363" s="14" t="n">
        <f aca="false">INDEX('Расчет Кплотн'!$J:$J,MATCH(D363,'Расчет Кплотн'!$A:$A,0))</f>
        <v>1</v>
      </c>
      <c r="I363" s="3" t="n">
        <f aca="false">F363*Моделирование!$F$3*M363*G363/1000</f>
        <v>969453.32448</v>
      </c>
      <c r="J363" s="3" t="n">
        <f aca="false">F363*Моделирование!$F$3*M363*H363/1000</f>
        <v>969453.32448</v>
      </c>
      <c r="K363" s="3" t="n">
        <f aca="false">J363-I363</f>
        <v>0</v>
      </c>
      <c r="L363" s="4" t="n">
        <f aca="false">IFERROR(K363/I363,0)</f>
        <v>0</v>
      </c>
      <c r="M363" s="15" t="n">
        <f aca="false">IF(INDEX('Расчет Кплотн'!$D:$D,MATCH(D363,'Расчет Кплотн'!$A:$A,0))="район",IFERROR(VLOOKUP(INDEX('Расчет Кплотн'!$B:$B,MATCH(D363,'Расчет Кплотн'!$A:$A,0)),'БКПН (приказ 170)'!$A$4:$C$10,3,FALSE()),Моделирование!$F$2),Моделирование!$F$2)</f>
        <v>1686.17</v>
      </c>
    </row>
    <row r="364" customFormat="false" ht="15" hidden="false" customHeight="false" outlineLevel="0" collapsed="false">
      <c r="A364" s="12" t="n">
        <v>359</v>
      </c>
      <c r="B364" s="12" t="str">
        <f aca="false">'РПН 01.08 по МО'!B362</f>
        <v>ЗАПАДНО-КАЗАХСТАНСКАЯ</v>
      </c>
      <c r="C364" s="12" t="str">
        <f aca="false">'РПН 01.08 по МО'!C362</f>
        <v>ГКП на праве хозяйственного ведения "Городская поликлиника №1" управления здравоохранения акимата Западно-Казахстанской области</v>
      </c>
      <c r="D364" s="12" t="str">
        <f aca="false">'РПН 01.08 по МО'!E362</f>
        <v>2710</v>
      </c>
      <c r="E364" s="12" t="str">
        <f aca="false">'РПН 01.08 по МО'!F362</f>
        <v>Уральск</v>
      </c>
      <c r="F364" s="13" t="n">
        <f aca="false">'РПН 01.08 по МО'!D362</f>
        <v>62417</v>
      </c>
      <c r="G364" s="14" t="n">
        <f aca="false">INDEX('Расчет Кплотн'!$K:$K,MATCH(D364,'Расчет Кплотн'!$A:$A,0))</f>
        <v>1</v>
      </c>
      <c r="H364" s="14" t="n">
        <f aca="false">INDEX('Расчет Кплотн'!$J:$J,MATCH(D364,'Расчет Кплотн'!$A:$A,0))</f>
        <v>1</v>
      </c>
      <c r="I364" s="3" t="n">
        <f aca="false">F364*Моделирование!$F$3*M364*G364/1000</f>
        <v>1262948.07468</v>
      </c>
      <c r="J364" s="3" t="n">
        <f aca="false">F364*Моделирование!$F$3*M364*H364/1000</f>
        <v>1262948.07468</v>
      </c>
      <c r="K364" s="3" t="n">
        <f aca="false">J364-I364</f>
        <v>0</v>
      </c>
      <c r="L364" s="4" t="n">
        <f aca="false">IFERROR(K364/I364,0)</f>
        <v>0</v>
      </c>
      <c r="M364" s="15" t="n">
        <f aca="false">IF(INDEX('Расчет Кплотн'!$D:$D,MATCH(D364,'Расчет Кплотн'!$A:$A,0))="район",IFERROR(VLOOKUP(INDEX('Расчет Кплотн'!$B:$B,MATCH(D364,'Расчет Кплотн'!$A:$A,0)),'БКПН (приказ 170)'!$A$4:$C$10,3,FALSE()),Моделирование!$F$2),Моделирование!$F$2)</f>
        <v>1686.17</v>
      </c>
    </row>
    <row r="365" customFormat="false" ht="15" hidden="false" customHeight="false" outlineLevel="0" collapsed="false">
      <c r="A365" s="12" t="n">
        <v>360</v>
      </c>
      <c r="B365" s="12" t="str">
        <f aca="false">'РПН 01.08 по МО'!B363</f>
        <v>ЗАПАДНО-КАЗАХСТАНСКАЯ</v>
      </c>
      <c r="C365" s="12" t="str">
        <f aca="false">'РПН 01.08 по МО'!C363</f>
        <v>ГКП на праве хозяйственного ведения "Жанибекская районная больница" управления здравохранения акимата ЗКО</v>
      </c>
      <c r="D365" s="12" t="str">
        <f aca="false">'РПН 01.08 по МО'!E363</f>
        <v>2742</v>
      </c>
      <c r="E365" s="12" t="str">
        <f aca="false">'РПН 01.08 по МО'!F363</f>
        <v>Жанибекский район</v>
      </c>
      <c r="F365" s="13" t="n">
        <f aca="false">'РПН 01.08 по МО'!D363</f>
        <v>12094</v>
      </c>
      <c r="G365" s="14" t="n">
        <f aca="false">INDEX('Расчет Кплотн'!$K:$K,MATCH(D365,'Расчет Кплотн'!$A:$A,0))</f>
        <v>2</v>
      </c>
      <c r="H365" s="14" t="n">
        <f aca="false">INDEX('Расчет Кплотн'!$J:$J,MATCH(D365,'Расчет Кплотн'!$A:$A,0))</f>
        <v>2</v>
      </c>
      <c r="I365" s="3" t="n">
        <f aca="false">F365*Моделирование!$F$3*M365*G365/1000</f>
        <v>630177.70416</v>
      </c>
      <c r="J365" s="3" t="n">
        <f aca="false">F365*Моделирование!$F$3*M365*H365/1000</f>
        <v>630177.70416</v>
      </c>
      <c r="K365" s="3" t="n">
        <f aca="false">J365-I365</f>
        <v>0</v>
      </c>
      <c r="L365" s="4" t="n">
        <f aca="false">IFERROR(K365/I365,0)</f>
        <v>0</v>
      </c>
      <c r="M365" s="15" t="n">
        <f aca="false">IF(INDEX('Расчет Кплотн'!$D:$D,MATCH(D365,'Расчет Кплотн'!$A:$A,0))="район",IFERROR(VLOOKUP(INDEX('Расчет Кплотн'!$B:$B,MATCH(D365,'Расчет Кплотн'!$A:$A,0)),'БКПН (приказ 170)'!$A$4:$C$10,3,FALSE()),Моделирование!$F$2),Моделирование!$F$2)</f>
        <v>2171.11</v>
      </c>
    </row>
    <row r="366" customFormat="false" ht="15" hidden="false" customHeight="false" outlineLevel="0" collapsed="false">
      <c r="A366" s="12" t="n">
        <v>361</v>
      </c>
      <c r="B366" s="12" t="str">
        <f aca="false">'РПН 01.08 по МО'!B364</f>
        <v>ЗАПАДНО-КАЗАХСТАНСКАЯ</v>
      </c>
      <c r="C366" s="12" t="str">
        <f aca="false">'РПН 01.08 по МО'!C364</f>
        <v>ГКП на праве хозяйственного ведения "Сырымская районная больница" управления здравоохранения акимата Западно-Казахстанской области</v>
      </c>
      <c r="D366" s="12" t="str">
        <f aca="false">'РПН 01.08 по МО'!E364</f>
        <v>2758</v>
      </c>
      <c r="E366" s="12" t="str">
        <f aca="false">'РПН 01.08 по МО'!F364</f>
        <v>Сырымский район</v>
      </c>
      <c r="F366" s="13" t="n">
        <f aca="false">'РПН 01.08 по МО'!D364</f>
        <v>14936</v>
      </c>
      <c r="G366" s="14" t="n">
        <f aca="false">INDEX('Расчет Кплотн'!$K:$K,MATCH(D366,'Расчет Кплотн'!$A:$A,0))</f>
        <v>2</v>
      </c>
      <c r="H366" s="14" t="n">
        <f aca="false">INDEX('Расчет Кплотн'!$J:$J,MATCH(D366,'Расчет Кплотн'!$A:$A,0))</f>
        <v>2</v>
      </c>
      <c r="I366" s="3" t="n">
        <f aca="false">F366*Моделирование!$F$3*M366*G366/1000</f>
        <v>778264.77504</v>
      </c>
      <c r="J366" s="3" t="n">
        <f aca="false">F366*Моделирование!$F$3*M366*H366/1000</f>
        <v>778264.77504</v>
      </c>
      <c r="K366" s="3" t="n">
        <f aca="false">J366-I366</f>
        <v>0</v>
      </c>
      <c r="L366" s="4" t="n">
        <f aca="false">IFERROR(K366/I366,0)</f>
        <v>0</v>
      </c>
      <c r="M366" s="15" t="n">
        <f aca="false">IF(INDEX('Расчет Кплотн'!$D:$D,MATCH(D366,'Расчет Кплотн'!$A:$A,0))="район",IFERROR(VLOOKUP(INDEX('Расчет Кплотн'!$B:$B,MATCH(D366,'Расчет Кплотн'!$A:$A,0)),'БКПН (приказ 170)'!$A$4:$C$10,3,FALSE()),Моделирование!$F$2),Моделирование!$F$2)</f>
        <v>2171.11</v>
      </c>
    </row>
    <row r="367" customFormat="false" ht="15" hidden="false" customHeight="false" outlineLevel="0" collapsed="false">
      <c r="A367" s="12" t="n">
        <v>362</v>
      </c>
      <c r="B367" s="12" t="str">
        <f aca="false">'РПН 01.08 по МО'!B365</f>
        <v>ЗАПАДНО-КАЗАХСТАНСКАЯ</v>
      </c>
      <c r="C367" s="12" t="str">
        <f aca="false">'РПН 01.08 по МО'!C365</f>
        <v>ГКП на ПХВ "Городская поликлиника №3" управления здравоохранения акимата Западно-Казахстанской области</v>
      </c>
      <c r="D367" s="12" t="str">
        <f aca="false">'РПН 01.08 по МО'!E365</f>
        <v>2710</v>
      </c>
      <c r="E367" s="12" t="str">
        <f aca="false">'РПН 01.08 по МО'!F365</f>
        <v>Уральск</v>
      </c>
      <c r="F367" s="13" t="n">
        <f aca="false">'РПН 01.08 по МО'!D365</f>
        <v>37945</v>
      </c>
      <c r="G367" s="14" t="n">
        <f aca="false">INDEX('Расчет Кплотн'!$K:$K,MATCH(D367,'Расчет Кплотн'!$A:$A,0))</f>
        <v>1</v>
      </c>
      <c r="H367" s="14" t="n">
        <f aca="false">INDEX('Расчет Кплотн'!$J:$J,MATCH(D367,'Расчет Кплотн'!$A:$A,0))</f>
        <v>1</v>
      </c>
      <c r="I367" s="3" t="n">
        <f aca="false">F367*Моделирование!$F$3*M367*G367/1000</f>
        <v>767780.6478</v>
      </c>
      <c r="J367" s="3" t="n">
        <f aca="false">F367*Моделирование!$F$3*M367*H367/1000</f>
        <v>767780.6478</v>
      </c>
      <c r="K367" s="3" t="n">
        <f aca="false">J367-I367</f>
        <v>0</v>
      </c>
      <c r="L367" s="4" t="n">
        <f aca="false">IFERROR(K367/I367,0)</f>
        <v>0</v>
      </c>
      <c r="M367" s="15" t="n">
        <f aca="false">IF(INDEX('Расчет Кплотн'!$D:$D,MATCH(D367,'Расчет Кплотн'!$A:$A,0))="район",IFERROR(VLOOKUP(INDEX('Расчет Кплотн'!$B:$B,MATCH(D367,'Расчет Кплотн'!$A:$A,0)),'БКПН (приказ 170)'!$A$4:$C$10,3,FALSE()),Моделирование!$F$2),Моделирование!$F$2)</f>
        <v>1686.17</v>
      </c>
    </row>
    <row r="368" customFormat="false" ht="15" hidden="false" customHeight="false" outlineLevel="0" collapsed="false">
      <c r="A368" s="12" t="n">
        <v>363</v>
      </c>
      <c r="B368" s="12" t="str">
        <f aca="false">'РПН 01.08 по МО'!B366</f>
        <v>ЗАПАДНО-КАЗАХСТАНСКАЯ</v>
      </c>
      <c r="C368" s="12" t="str">
        <f aca="false">'РПН 01.08 по МО'!C366</f>
        <v>ГКП на праве хозяйственного ведения «Каратобинская районная больница» управления здравоохранения акимата Западно-Казахстанской области</v>
      </c>
      <c r="D368" s="12" t="str">
        <f aca="false">'РПН 01.08 по МО'!E366</f>
        <v>2750</v>
      </c>
      <c r="E368" s="12" t="str">
        <f aca="false">'РПН 01.08 по МО'!F366</f>
        <v>Каратобинский район</v>
      </c>
      <c r="F368" s="13" t="n">
        <f aca="false">'РПН 01.08 по МО'!D366</f>
        <v>11367</v>
      </c>
      <c r="G368" s="14" t="n">
        <f aca="false">INDEX('Расчет Кплотн'!$K:$K,MATCH(D368,'Расчет Кплотн'!$A:$A,0))</f>
        <v>2</v>
      </c>
      <c r="H368" s="14" t="n">
        <f aca="false">INDEX('Расчет Кплотн'!$J:$J,MATCH(D368,'Расчет Кплотн'!$A:$A,0))</f>
        <v>2</v>
      </c>
      <c r="I368" s="3" t="n">
        <f aca="false">F368*Моделирование!$F$3*M368*G368/1000</f>
        <v>592296.17688</v>
      </c>
      <c r="J368" s="3" t="n">
        <f aca="false">F368*Моделирование!$F$3*M368*H368/1000</f>
        <v>592296.17688</v>
      </c>
      <c r="K368" s="3" t="n">
        <f aca="false">J368-I368</f>
        <v>0</v>
      </c>
      <c r="L368" s="4" t="n">
        <f aca="false">IFERROR(K368/I368,0)</f>
        <v>0</v>
      </c>
      <c r="M368" s="15" t="n">
        <f aca="false">IF(INDEX('Расчет Кплотн'!$D:$D,MATCH(D368,'Расчет Кплотн'!$A:$A,0))="район",IFERROR(VLOOKUP(INDEX('Расчет Кплотн'!$B:$B,MATCH(D368,'Расчет Кплотн'!$A:$A,0)),'БКПН (приказ 170)'!$A$4:$C$10,3,FALSE()),Моделирование!$F$2),Моделирование!$F$2)</f>
        <v>2171.11</v>
      </c>
    </row>
    <row r="369" customFormat="false" ht="15" hidden="false" customHeight="false" outlineLevel="0" collapsed="false">
      <c r="A369" s="12" t="n">
        <v>364</v>
      </c>
      <c r="B369" s="12" t="str">
        <f aca="false">'РПН 01.08 по МО'!B367</f>
        <v>ЗАПАДНО-КАЗАХСТАНСКАЯ</v>
      </c>
      <c r="C369" s="12" t="str">
        <f aca="false">'РПН 01.08 по МО'!C367</f>
        <v>ГКП на ПХВ "2-больница района Бәйтерек" управления здравоохранения акимата Западно-Казахстанской области</v>
      </c>
      <c r="D369" s="12" t="str">
        <f aca="false">'РПН 01.08 по МО'!E367</f>
        <v>2744</v>
      </c>
      <c r="E369" s="12" t="str">
        <f aca="false">'РПН 01.08 по МО'!F367</f>
        <v>район Бәйтерек</v>
      </c>
      <c r="F369" s="13" t="n">
        <f aca="false">'РПН 01.08 по МО'!D367</f>
        <v>28423</v>
      </c>
      <c r="G369" s="14" t="n">
        <f aca="false">INDEX('Расчет Кплотн'!$K:$K,MATCH(D369,'Расчет Кплотн'!$A:$A,0))</f>
        <v>1.2521</v>
      </c>
      <c r="H369" s="14" t="n">
        <f aca="false">INDEX('Расчет Кплотн'!$J:$J,MATCH(D369,'Расчет Кплотн'!$A:$A,0))</f>
        <v>1.8135</v>
      </c>
      <c r="I369" s="3" t="n">
        <f aca="false">F369*Моделирование!$F$3*M369*G369/1000</f>
        <v>927196.971330156</v>
      </c>
      <c r="J369" s="3" t="n">
        <f aca="false">F369*Моделирование!$F$3*M369*H369/1000</f>
        <v>1342921.25829186</v>
      </c>
      <c r="K369" s="3" t="n">
        <f aca="false">J369-I369</f>
        <v>415724.286961704</v>
      </c>
      <c r="L369" s="4" t="n">
        <f aca="false">IFERROR(K369/I369,0)</f>
        <v>0.448366743870298</v>
      </c>
      <c r="M369" s="15" t="n">
        <f aca="false">IF(INDEX('Расчет Кплотн'!$D:$D,MATCH(D369,'Расчет Кплотн'!$A:$A,0))="район",IFERROR(VLOOKUP(INDEX('Расчет Кплотн'!$B:$B,MATCH(D369,'Расчет Кплотн'!$A:$A,0)),'БКПН (приказ 170)'!$A$4:$C$10,3,FALSE()),Моделирование!$F$2),Моделирование!$F$2)</f>
        <v>2171.11</v>
      </c>
    </row>
    <row r="370" customFormat="false" ht="15" hidden="false" customHeight="false" outlineLevel="0" collapsed="false">
      <c r="A370" s="12" t="n">
        <v>365</v>
      </c>
      <c r="B370" s="12" t="str">
        <f aca="false">'РПН 01.08 по МО'!B368</f>
        <v>ЗАПАДНО-КАЗАХСТАНСКАЯ</v>
      </c>
      <c r="C370" s="12" t="str">
        <f aca="false">'РПН 01.08 по МО'!C368</f>
        <v>ГКП на ПХВ "Больница района Бәйтерек" управления здравоохранения акимата Западно-Казахстанской области</v>
      </c>
      <c r="D370" s="12" t="str">
        <f aca="false">'РПН 01.08 по МО'!E368</f>
        <v>2744</v>
      </c>
      <c r="E370" s="12" t="str">
        <f aca="false">'РПН 01.08 по МО'!F368</f>
        <v>район Бәйтерек</v>
      </c>
      <c r="F370" s="13" t="n">
        <f aca="false">'РПН 01.08 по МО'!D368</f>
        <v>18242</v>
      </c>
      <c r="G370" s="14" t="n">
        <f aca="false">INDEX('Расчет Кплотн'!$K:$K,MATCH(D370,'Расчет Кплотн'!$A:$A,0))</f>
        <v>1.2521</v>
      </c>
      <c r="H370" s="14" t="n">
        <f aca="false">INDEX('Расчет Кплотн'!$J:$J,MATCH(D370,'Расчет Кплотн'!$A:$A,0))</f>
        <v>1.8135</v>
      </c>
      <c r="I370" s="3" t="n">
        <f aca="false">F370*Моделирование!$F$3*M370*G370/1000</f>
        <v>595078.885093224</v>
      </c>
      <c r="J370" s="3" t="n">
        <f aca="false">F370*Моделирование!$F$3*M370*H370/1000</f>
        <v>861892.46714844</v>
      </c>
      <c r="K370" s="3" t="n">
        <f aca="false">J370-I370</f>
        <v>266813.582055216</v>
      </c>
      <c r="L370" s="4" t="n">
        <f aca="false">IFERROR(K370/I370,0)</f>
        <v>0.448366743870298</v>
      </c>
      <c r="M370" s="15" t="n">
        <f aca="false">IF(INDEX('Расчет Кплотн'!$D:$D,MATCH(D370,'Расчет Кплотн'!$A:$A,0))="район",IFERROR(VLOOKUP(INDEX('Расчет Кплотн'!$B:$B,MATCH(D370,'Расчет Кплотн'!$A:$A,0)),'БКПН (приказ 170)'!$A$4:$C$10,3,FALSE()),Моделирование!$F$2),Моделирование!$F$2)</f>
        <v>2171.11</v>
      </c>
    </row>
    <row r="371" customFormat="false" ht="15" hidden="false" customHeight="false" outlineLevel="0" collapsed="false">
      <c r="A371" s="12" t="n">
        <v>366</v>
      </c>
      <c r="B371" s="12" t="str">
        <f aca="false">'РПН 01.08 по МО'!B369</f>
        <v>ЗАПАДНО-КАЗАХСТАНСКАЯ</v>
      </c>
      <c r="C371" s="12" t="str">
        <f aca="false">'РПН 01.08 по МО'!C369</f>
        <v>ГКП на ПХВ "Бурлинская районная больница" УЗ ЗКО</v>
      </c>
      <c r="D371" s="12" t="str">
        <f aca="false">'РПН 01.08 по МО'!E369</f>
        <v>2736</v>
      </c>
      <c r="E371" s="12" t="str">
        <f aca="false">'РПН 01.08 по МО'!F369</f>
        <v>Бурлинский район</v>
      </c>
      <c r="F371" s="13" t="n">
        <f aca="false">'РПН 01.08 по МО'!D369</f>
        <v>48987</v>
      </c>
      <c r="G371" s="14" t="n">
        <f aca="false">INDEX('Расчет Кплотн'!$K:$K,MATCH(D371,'Расчет Кплотн'!$A:$A,0))</f>
        <v>1.1977</v>
      </c>
      <c r="H371" s="14" t="n">
        <f aca="false">INDEX('Расчет Кплотн'!$J:$J,MATCH(D371,'Расчет Кплотн'!$A:$A,0))</f>
        <v>1.5397</v>
      </c>
      <c r="I371" s="3" t="n">
        <f aca="false">F371*Моделирование!$F$3*M371*G371/1000</f>
        <v>1528593.35403827</v>
      </c>
      <c r="J371" s="3" t="n">
        <f aca="false">F371*Моделирование!$F$3*M371*H371/1000</f>
        <v>1965079.05753755</v>
      </c>
      <c r="K371" s="3" t="n">
        <f aca="false">J371-I371</f>
        <v>436485.70349928</v>
      </c>
      <c r="L371" s="4" t="n">
        <f aca="false">IFERROR(K371/I371,0)</f>
        <v>0.28554729898973</v>
      </c>
      <c r="M371" s="15" t="n">
        <f aca="false">IF(INDEX('Расчет Кплотн'!$D:$D,MATCH(D371,'Расчет Кплотн'!$A:$A,0))="район",IFERROR(VLOOKUP(INDEX('Расчет Кплотн'!$B:$B,MATCH(D371,'Расчет Кплотн'!$A:$A,0)),'БКПН (приказ 170)'!$A$4:$C$10,3,FALSE()),Моделирование!$F$2),Моделирование!$F$2)</f>
        <v>2171.11</v>
      </c>
    </row>
    <row r="372" customFormat="false" ht="15" hidden="false" customHeight="false" outlineLevel="0" collapsed="false">
      <c r="A372" s="12" t="n">
        <v>367</v>
      </c>
      <c r="B372" s="12" t="str">
        <f aca="false">'РПН 01.08 по МО'!B370</f>
        <v>ЗАПАДНО-КАЗАХСТАНСКАЯ</v>
      </c>
      <c r="C372" s="12" t="str">
        <f aca="false">'РПН 01.08 по МО'!C370</f>
        <v>ГКП на праве хозяйственного ведения "Таскалинская районная больница" Управления здравоохранения акимата ЗКО</v>
      </c>
      <c r="D372" s="12" t="str">
        <f aca="false">'РПН 01.08 по МО'!E370</f>
        <v>2760</v>
      </c>
      <c r="E372" s="12" t="str">
        <f aca="false">'РПН 01.08 по МО'!F370</f>
        <v>Таскалинский район</v>
      </c>
      <c r="F372" s="13" t="n">
        <f aca="false">'РПН 01.08 по МО'!D370</f>
        <v>14032</v>
      </c>
      <c r="G372" s="14" t="n">
        <f aca="false">INDEX('Расчет Кплотн'!$K:$K,MATCH(D372,'Расчет Кплотн'!$A:$A,0))</f>
        <v>2</v>
      </c>
      <c r="H372" s="14" t="n">
        <f aca="false">INDEX('Расчет Кплотн'!$J:$J,MATCH(D372,'Расчет Кплотн'!$A:$A,0))</f>
        <v>2</v>
      </c>
      <c r="I372" s="3" t="n">
        <f aca="false">F372*Моделирование!$F$3*M372*G372/1000</f>
        <v>731160.37248</v>
      </c>
      <c r="J372" s="3" t="n">
        <f aca="false">F372*Моделирование!$F$3*M372*H372/1000</f>
        <v>731160.37248</v>
      </c>
      <c r="K372" s="3" t="n">
        <f aca="false">J372-I372</f>
        <v>0</v>
      </c>
      <c r="L372" s="4" t="n">
        <f aca="false">IFERROR(K372/I372,0)</f>
        <v>0</v>
      </c>
      <c r="M372" s="15" t="n">
        <f aca="false">IF(INDEX('Расчет Кплотн'!$D:$D,MATCH(D372,'Расчет Кплотн'!$A:$A,0))="район",IFERROR(VLOOKUP(INDEX('Расчет Кплотн'!$B:$B,MATCH(D372,'Расчет Кплотн'!$A:$A,0)),'БКПН (приказ 170)'!$A$4:$C$10,3,FALSE()),Моделирование!$F$2),Моделирование!$F$2)</f>
        <v>2171.11</v>
      </c>
    </row>
    <row r="373" customFormat="false" ht="15" hidden="false" customHeight="false" outlineLevel="0" collapsed="false">
      <c r="A373" s="12" t="n">
        <v>368</v>
      </c>
      <c r="B373" s="12" t="str">
        <f aca="false">'РПН 01.08 по МО'!B371</f>
        <v>КАРАГАНДИНСКАЯ</v>
      </c>
      <c r="C373" s="12" t="str">
        <f aca="false">'РПН 01.08 по МО'!C371</f>
        <v>ТОО "Карагандинская железнодорожная больница"</v>
      </c>
      <c r="D373" s="12" t="str">
        <f aca="false">'РПН 01.08 по МО'!E371</f>
        <v>3510</v>
      </c>
      <c r="E373" s="12" t="str">
        <f aca="false">'РПН 01.08 по МО'!F371</f>
        <v>Караганда</v>
      </c>
      <c r="F373" s="13" t="n">
        <f aca="false">'РПН 01.08 по МО'!D371</f>
        <v>24323</v>
      </c>
      <c r="G373" s="14" t="n">
        <f aca="false">INDEX('Расчет Кплотн'!$K:$K,MATCH(D373,'Расчет Кплотн'!$A:$A,0))</f>
        <v>1</v>
      </c>
      <c r="H373" s="14" t="n">
        <f aca="false">INDEX('Расчет Кплотн'!$J:$J,MATCH(D373,'Расчет Кплотн'!$A:$A,0))</f>
        <v>1</v>
      </c>
      <c r="I373" s="3" t="n">
        <f aca="false">F373*Моделирование!$F$3*M373*G373/1000</f>
        <v>492152.55492</v>
      </c>
      <c r="J373" s="3" t="n">
        <f aca="false">F373*Моделирование!$F$3*M373*H373/1000</f>
        <v>492152.55492</v>
      </c>
      <c r="K373" s="3" t="n">
        <f aca="false">J373-I373</f>
        <v>0</v>
      </c>
      <c r="L373" s="4" t="n">
        <f aca="false">IFERROR(K373/I373,0)</f>
        <v>0</v>
      </c>
      <c r="M373" s="15" t="n">
        <f aca="false">IF(INDEX('Расчет Кплотн'!$D:$D,MATCH(D373,'Расчет Кплотн'!$A:$A,0))="район",IFERROR(VLOOKUP(INDEX('Расчет Кплотн'!$B:$B,MATCH(D373,'Расчет Кплотн'!$A:$A,0)),'БКПН (приказ 170)'!$A$4:$C$10,3,FALSE()),Моделирование!$F$2),Моделирование!$F$2)</f>
        <v>1686.17</v>
      </c>
    </row>
    <row r="374" customFormat="false" ht="15" hidden="false" customHeight="false" outlineLevel="0" collapsed="false">
      <c r="A374" s="12" t="n">
        <v>369</v>
      </c>
      <c r="B374" s="12" t="str">
        <f aca="false">'РПН 01.08 по МО'!B372</f>
        <v>КАРАГАНДИНСКАЯ</v>
      </c>
      <c r="C374" s="12" t="str">
        <f aca="false">'РПН 01.08 по МО'!C372</f>
        <v>ТОО "Clinic Miras"</v>
      </c>
      <c r="D374" s="12" t="str">
        <f aca="false">'РПН 01.08 по МО'!E372</f>
        <v>3510</v>
      </c>
      <c r="E374" s="12" t="str">
        <f aca="false">'РПН 01.08 по МО'!F372</f>
        <v>Караганда</v>
      </c>
      <c r="F374" s="13" t="n">
        <f aca="false">'РПН 01.08 по МО'!D372</f>
        <v>32291</v>
      </c>
      <c r="G374" s="14" t="n">
        <f aca="false">INDEX('Расчет Кплотн'!$K:$K,MATCH(D374,'Расчет Кплотн'!$A:$A,0))</f>
        <v>1</v>
      </c>
      <c r="H374" s="14" t="n">
        <f aca="false">INDEX('Расчет Кплотн'!$J:$J,MATCH(D374,'Расчет Кплотн'!$A:$A,0))</f>
        <v>1</v>
      </c>
      <c r="I374" s="3" t="n">
        <f aca="false">F374*Моделирование!$F$3*M374*G374/1000</f>
        <v>653377.38564</v>
      </c>
      <c r="J374" s="3" t="n">
        <f aca="false">F374*Моделирование!$F$3*M374*H374/1000</f>
        <v>653377.38564</v>
      </c>
      <c r="K374" s="3" t="n">
        <f aca="false">J374-I374</f>
        <v>0</v>
      </c>
      <c r="L374" s="4" t="n">
        <f aca="false">IFERROR(K374/I374,0)</f>
        <v>0</v>
      </c>
      <c r="M374" s="15" t="n">
        <f aca="false">IF(INDEX('Расчет Кплотн'!$D:$D,MATCH(D374,'Расчет Кплотн'!$A:$A,0))="район",IFERROR(VLOOKUP(INDEX('Расчет Кплотн'!$B:$B,MATCH(D374,'Расчет Кплотн'!$A:$A,0)),'БКПН (приказ 170)'!$A$4:$C$10,3,FALSE()),Моделирование!$F$2),Моделирование!$F$2)</f>
        <v>1686.17</v>
      </c>
    </row>
    <row r="375" customFormat="false" ht="15" hidden="false" customHeight="false" outlineLevel="0" collapsed="false">
      <c r="A375" s="12" t="n">
        <v>370</v>
      </c>
      <c r="B375" s="12" t="str">
        <f aca="false">'РПН 01.08 по МО'!B373</f>
        <v>КАРАГАНДИНСКАЯ</v>
      </c>
      <c r="C375" s="12" t="str">
        <f aca="false">'РПН 01.08 по МО'!C373</f>
        <v>ТОО "InLife"</v>
      </c>
      <c r="D375" s="12" t="str">
        <f aca="false">'РПН 01.08 по МО'!E373</f>
        <v>3510</v>
      </c>
      <c r="E375" s="12" t="str">
        <f aca="false">'РПН 01.08 по МО'!F373</f>
        <v>Караганда</v>
      </c>
      <c r="F375" s="13" t="n">
        <f aca="false">'РПН 01.08 по МО'!D373</f>
        <v>25928</v>
      </c>
      <c r="G375" s="14" t="n">
        <f aca="false">INDEX('Расчет Кплотн'!$K:$K,MATCH(D375,'Расчет Кплотн'!$A:$A,0))</f>
        <v>1</v>
      </c>
      <c r="H375" s="14" t="n">
        <f aca="false">INDEX('Расчет Кплотн'!$J:$J,MATCH(D375,'Расчет Кплотн'!$A:$A,0))</f>
        <v>1</v>
      </c>
      <c r="I375" s="3" t="n">
        <f aca="false">F375*Моделирование!$F$3*M375*G375/1000</f>
        <v>524628.18912</v>
      </c>
      <c r="J375" s="3" t="n">
        <f aca="false">F375*Моделирование!$F$3*M375*H375/1000</f>
        <v>524628.18912</v>
      </c>
      <c r="K375" s="3" t="n">
        <f aca="false">J375-I375</f>
        <v>0</v>
      </c>
      <c r="L375" s="4" t="n">
        <f aca="false">IFERROR(K375/I375,0)</f>
        <v>0</v>
      </c>
      <c r="M375" s="15" t="n">
        <f aca="false">IF(INDEX('Расчет Кплотн'!$D:$D,MATCH(D375,'Расчет Кплотн'!$A:$A,0))="район",IFERROR(VLOOKUP(INDEX('Расчет Кплотн'!$B:$B,MATCH(D375,'Расчет Кплотн'!$A:$A,0)),'БКПН (приказ 170)'!$A$4:$C$10,3,FALSE()),Моделирование!$F$2),Моделирование!$F$2)</f>
        <v>1686.17</v>
      </c>
    </row>
    <row r="376" customFormat="false" ht="15" hidden="false" customHeight="false" outlineLevel="0" collapsed="false">
      <c r="A376" s="12" t="n">
        <v>371</v>
      </c>
      <c r="B376" s="12" t="str">
        <f aca="false">'РПН 01.08 по МО'!B374</f>
        <v>КАРАГАНДИНСКАЯ</v>
      </c>
      <c r="C376" s="12" t="str">
        <f aca="false">'РПН 01.08 по МО'!C374</f>
        <v>ТОО "Jysan med"</v>
      </c>
      <c r="D376" s="12" t="str">
        <f aca="false">'РПН 01.08 по МО'!E374</f>
        <v>3510</v>
      </c>
      <c r="E376" s="12" t="str">
        <f aca="false">'РПН 01.08 по МО'!F374</f>
        <v>Караганда</v>
      </c>
      <c r="F376" s="13" t="n">
        <f aca="false">'РПН 01.08 по МО'!D374</f>
        <v>24445</v>
      </c>
      <c r="G376" s="14" t="n">
        <f aca="false">INDEX('Расчет Кплотн'!$K:$K,MATCH(D376,'Расчет Кплотн'!$A:$A,0))</f>
        <v>1</v>
      </c>
      <c r="H376" s="14" t="n">
        <f aca="false">INDEX('Расчет Кплотн'!$J:$J,MATCH(D376,'Расчет Кплотн'!$A:$A,0))</f>
        <v>1</v>
      </c>
      <c r="I376" s="3" t="n">
        <f aca="false">F376*Моделирование!$F$3*M376*G376/1000</f>
        <v>494621.1078</v>
      </c>
      <c r="J376" s="3" t="n">
        <f aca="false">F376*Моделирование!$F$3*M376*H376/1000</f>
        <v>494621.1078</v>
      </c>
      <c r="K376" s="3" t="n">
        <f aca="false">J376-I376</f>
        <v>0</v>
      </c>
      <c r="L376" s="4" t="n">
        <f aca="false">IFERROR(K376/I376,0)</f>
        <v>0</v>
      </c>
      <c r="M376" s="15" t="n">
        <f aca="false">IF(INDEX('Расчет Кплотн'!$D:$D,MATCH(D376,'Расчет Кплотн'!$A:$A,0))="район",IFERROR(VLOOKUP(INDEX('Расчет Кплотн'!$B:$B,MATCH(D376,'Расчет Кплотн'!$A:$A,0)),'БКПН (приказ 170)'!$A$4:$C$10,3,FALSE()),Моделирование!$F$2),Моделирование!$F$2)</f>
        <v>1686.17</v>
      </c>
    </row>
    <row r="377" customFormat="false" ht="15" hidden="false" customHeight="false" outlineLevel="0" collapsed="false">
      <c r="A377" s="12" t="n">
        <v>372</v>
      </c>
      <c r="B377" s="12" t="str">
        <f aca="false">'РПН 01.08 по МО'!B375</f>
        <v>КАРАГАНДИНСКАЯ</v>
      </c>
      <c r="C377" s="12" t="str">
        <f aca="false">'РПН 01.08 по МО'!C375</f>
        <v>ТОО "БЦМО"</v>
      </c>
      <c r="D377" s="12" t="str">
        <f aca="false">'РПН 01.08 по МО'!E375</f>
        <v>3516</v>
      </c>
      <c r="E377" s="12" t="str">
        <f aca="false">'РПН 01.08 по МО'!F375</f>
        <v>Балхаш</v>
      </c>
      <c r="F377" s="13" t="n">
        <f aca="false">'РПН 01.08 по МО'!D375</f>
        <v>19685</v>
      </c>
      <c r="G377" s="14" t="n">
        <f aca="false">INDEX('Расчет Кплотн'!$K:$K,MATCH(D377,'Расчет Кплотн'!$A:$A,0))</f>
        <v>1.5</v>
      </c>
      <c r="H377" s="14" t="n">
        <f aca="false">INDEX('Расчет Кплотн'!$J:$J,MATCH(D377,'Расчет Кплотн'!$A:$A,0))</f>
        <v>1.5</v>
      </c>
      <c r="I377" s="3" t="n">
        <f aca="false">F377*Моделирование!$F$3*M377*G377/1000</f>
        <v>597460.6161</v>
      </c>
      <c r="J377" s="3" t="n">
        <f aca="false">F377*Моделирование!$F$3*M377*H377/1000</f>
        <v>597460.6161</v>
      </c>
      <c r="K377" s="3" t="n">
        <f aca="false">J377-I377</f>
        <v>0</v>
      </c>
      <c r="L377" s="4" t="n">
        <f aca="false">IFERROR(K377/I377,0)</f>
        <v>0</v>
      </c>
      <c r="M377" s="15" t="n">
        <f aca="false">IF(INDEX('Расчет Кплотн'!$D:$D,MATCH(D377,'Расчет Кплотн'!$A:$A,0))="район",IFERROR(VLOOKUP(INDEX('Расчет Кплотн'!$B:$B,MATCH(D377,'Расчет Кплотн'!$A:$A,0)),'БКПН (приказ 170)'!$A$4:$C$10,3,FALSE()),Моделирование!$F$2),Моделирование!$F$2)</f>
        <v>1686.17</v>
      </c>
    </row>
    <row r="378" customFormat="false" ht="15" hidden="false" customHeight="false" outlineLevel="0" collapsed="false">
      <c r="A378" s="12" t="n">
        <v>373</v>
      </c>
      <c r="B378" s="12" t="str">
        <f aca="false">'РПН 01.08 по МО'!B376</f>
        <v>КАРАГАНДИНСКАЯ</v>
      </c>
      <c r="C378" s="12" t="str">
        <f aca="false">'РПН 01.08 по МО'!C376</f>
        <v>ТОО "Городской центр первичной медико-санитарной помощи"</v>
      </c>
      <c r="D378" s="12" t="str">
        <f aca="false">'РПН 01.08 по МО'!E376</f>
        <v>3510</v>
      </c>
      <c r="E378" s="12" t="str">
        <f aca="false">'РПН 01.08 по МО'!F376</f>
        <v>Караганда</v>
      </c>
      <c r="F378" s="13" t="n">
        <f aca="false">'РПН 01.08 по МО'!D376</f>
        <v>69053</v>
      </c>
      <c r="G378" s="14" t="n">
        <f aca="false">INDEX('Расчет Кплотн'!$K:$K,MATCH(D378,'Расчет Кплотн'!$A:$A,0))</f>
        <v>1</v>
      </c>
      <c r="H378" s="14" t="n">
        <f aca="false">INDEX('Расчет Кплотн'!$J:$J,MATCH(D378,'Расчет Кплотн'!$A:$A,0))</f>
        <v>1</v>
      </c>
      <c r="I378" s="3" t="n">
        <f aca="false">F378*Моделирование!$F$3*M378*G378/1000</f>
        <v>1397221.16412</v>
      </c>
      <c r="J378" s="3" t="n">
        <f aca="false">F378*Моделирование!$F$3*M378*H378/1000</f>
        <v>1397221.16412</v>
      </c>
      <c r="K378" s="3" t="n">
        <f aca="false">J378-I378</f>
        <v>0</v>
      </c>
      <c r="L378" s="4" t="n">
        <f aca="false">IFERROR(K378/I378,0)</f>
        <v>0</v>
      </c>
      <c r="M378" s="15" t="n">
        <f aca="false">IF(INDEX('Расчет Кплотн'!$D:$D,MATCH(D378,'Расчет Кплотн'!$A:$A,0))="район",IFERROR(VLOOKUP(INDEX('Расчет Кплотн'!$B:$B,MATCH(D378,'Расчет Кплотн'!$A:$A,0)),'БКПН (приказ 170)'!$A$4:$C$10,3,FALSE()),Моделирование!$F$2),Моделирование!$F$2)</f>
        <v>1686.17</v>
      </c>
    </row>
    <row r="379" customFormat="false" ht="15" hidden="false" customHeight="false" outlineLevel="0" collapsed="false">
      <c r="A379" s="12" t="n">
        <v>374</v>
      </c>
      <c r="B379" s="12" t="str">
        <f aca="false">'РПН 01.08 по МО'!B377</f>
        <v>КАРАГАНДИНСКАЯ</v>
      </c>
      <c r="C379" s="12" t="str">
        <f aca="false">'РПН 01.08 по МО'!C377</f>
        <v>ТОО "Детская поликлиника 1"</v>
      </c>
      <c r="D379" s="12" t="str">
        <f aca="false">'РПН 01.08 по МО'!E377</f>
        <v>3510</v>
      </c>
      <c r="E379" s="12" t="str">
        <f aca="false">'РПН 01.08 по МО'!F377</f>
        <v>Караганда</v>
      </c>
      <c r="F379" s="13" t="n">
        <f aca="false">'РПН 01.08 по МО'!D377</f>
        <v>20061</v>
      </c>
      <c r="G379" s="14" t="n">
        <f aca="false">INDEX('Расчет Кплотн'!$K:$K,MATCH(D379,'Расчет Кплотн'!$A:$A,0))</f>
        <v>1</v>
      </c>
      <c r="H379" s="14" t="n">
        <f aca="false">INDEX('Расчет Кплотн'!$J:$J,MATCH(D379,'Расчет Кплотн'!$A:$A,0))</f>
        <v>1</v>
      </c>
      <c r="I379" s="3" t="n">
        <f aca="false">F379*Моделирование!$F$3*M379*G379/1000</f>
        <v>405915.07644</v>
      </c>
      <c r="J379" s="3" t="n">
        <f aca="false">F379*Моделирование!$F$3*M379*H379/1000</f>
        <v>405915.07644</v>
      </c>
      <c r="K379" s="3" t="n">
        <f aca="false">J379-I379</f>
        <v>0</v>
      </c>
      <c r="L379" s="4" t="n">
        <f aca="false">IFERROR(K379/I379,0)</f>
        <v>0</v>
      </c>
      <c r="M379" s="15" t="n">
        <f aca="false">IF(INDEX('Расчет Кплотн'!$D:$D,MATCH(D379,'Расчет Кплотн'!$A:$A,0))="район",IFERROR(VLOOKUP(INDEX('Расчет Кплотн'!$B:$B,MATCH(D379,'Расчет Кплотн'!$A:$A,0)),'БКПН (приказ 170)'!$A$4:$C$10,3,FALSE()),Моделирование!$F$2),Моделирование!$F$2)</f>
        <v>1686.17</v>
      </c>
    </row>
    <row r="380" customFormat="false" ht="15" hidden="false" customHeight="false" outlineLevel="0" collapsed="false">
      <c r="A380" s="12" t="n">
        <v>375</v>
      </c>
      <c r="B380" s="12" t="str">
        <f aca="false">'РПН 01.08 по МО'!B378</f>
        <v>КАРАГАНДИНСКАЯ</v>
      </c>
      <c r="C380" s="12" t="str">
        <f aca="false">'РПН 01.08 по МО'!C378</f>
        <v>ТОО "Медицинская фирма "Гиппократ"</v>
      </c>
      <c r="D380" s="12" t="str">
        <f aca="false">'РПН 01.08 по МО'!E378</f>
        <v>3528</v>
      </c>
      <c r="E380" s="12" t="str">
        <f aca="false">'РПН 01.08 по МО'!F378</f>
        <v>Шахтинск</v>
      </c>
      <c r="F380" s="13" t="n">
        <f aca="false">'РПН 01.08 по МО'!D378</f>
        <v>27106</v>
      </c>
      <c r="G380" s="14" t="n">
        <f aca="false">INDEX('Расчет Кплотн'!$K:$K,MATCH(D380,'Расчет Кплотн'!$A:$A,0))</f>
        <v>1.5</v>
      </c>
      <c r="H380" s="14" t="n">
        <f aca="false">INDEX('Расчет Кплотн'!$J:$J,MATCH(D380,'Расчет Кплотн'!$A:$A,0))</f>
        <v>1.5</v>
      </c>
      <c r="I380" s="3" t="n">
        <f aca="false">F380*Моделирование!$F$3*M380*G380/1000</f>
        <v>822695.83236</v>
      </c>
      <c r="J380" s="3" t="n">
        <f aca="false">F380*Моделирование!$F$3*M380*H380/1000</f>
        <v>822695.83236</v>
      </c>
      <c r="K380" s="3" t="n">
        <f aca="false">J380-I380</f>
        <v>0</v>
      </c>
      <c r="L380" s="4" t="n">
        <f aca="false">IFERROR(K380/I380,0)</f>
        <v>0</v>
      </c>
      <c r="M380" s="15" t="n">
        <f aca="false">IF(INDEX('Расчет Кплотн'!$D:$D,MATCH(D380,'Расчет Кплотн'!$A:$A,0))="район",IFERROR(VLOOKUP(INDEX('Расчет Кплотн'!$B:$B,MATCH(D380,'Расчет Кплотн'!$A:$A,0)),'БКПН (приказ 170)'!$A$4:$C$10,3,FALSE()),Моделирование!$F$2),Моделирование!$F$2)</f>
        <v>1686.17</v>
      </c>
    </row>
    <row r="381" customFormat="false" ht="15" hidden="false" customHeight="false" outlineLevel="0" collapsed="false">
      <c r="A381" s="12" t="n">
        <v>376</v>
      </c>
      <c r="B381" s="12" t="str">
        <f aca="false">'РПН 01.08 по МО'!B379</f>
        <v>КАРАГАНДИНСКАЯ</v>
      </c>
      <c r="C381" s="12" t="str">
        <f aca="false">'РПН 01.08 по МО'!C379</f>
        <v>ТОО "Поликлиника №8 города Караганды"</v>
      </c>
      <c r="D381" s="12" t="str">
        <f aca="false">'РПН 01.08 по МО'!E379</f>
        <v>3510</v>
      </c>
      <c r="E381" s="12" t="str">
        <f aca="false">'РПН 01.08 по МО'!F379</f>
        <v>Караганда</v>
      </c>
      <c r="F381" s="13" t="n">
        <f aca="false">'РПН 01.08 по МО'!D379</f>
        <v>21010</v>
      </c>
      <c r="G381" s="14" t="n">
        <f aca="false">INDEX('Расчет Кплотн'!$K:$K,MATCH(D381,'Расчет Кплотн'!$A:$A,0))</f>
        <v>1</v>
      </c>
      <c r="H381" s="14" t="n">
        <f aca="false">INDEX('Расчет Кплотн'!$J:$J,MATCH(D381,'Расчет Кплотн'!$A:$A,0))</f>
        <v>1</v>
      </c>
      <c r="I381" s="3" t="n">
        <f aca="false">F381*Моделирование!$F$3*M381*G381/1000</f>
        <v>425117.1804</v>
      </c>
      <c r="J381" s="3" t="n">
        <f aca="false">F381*Моделирование!$F$3*M381*H381/1000</f>
        <v>425117.1804</v>
      </c>
      <c r="K381" s="3" t="n">
        <f aca="false">J381-I381</f>
        <v>0</v>
      </c>
      <c r="L381" s="4" t="n">
        <f aca="false">IFERROR(K381/I381,0)</f>
        <v>0</v>
      </c>
      <c r="M381" s="15" t="n">
        <f aca="false">IF(INDEX('Расчет Кплотн'!$D:$D,MATCH(D381,'Расчет Кплотн'!$A:$A,0))="район",IFERROR(VLOOKUP(INDEX('Расчет Кплотн'!$B:$B,MATCH(D381,'Расчет Кплотн'!$A:$A,0)),'БКПН (приказ 170)'!$A$4:$C$10,3,FALSE()),Моделирование!$F$2),Моделирование!$F$2)</f>
        <v>1686.17</v>
      </c>
    </row>
    <row r="382" customFormat="false" ht="15" hidden="false" customHeight="false" outlineLevel="0" collapsed="false">
      <c r="A382" s="12" t="n">
        <v>377</v>
      </c>
      <c r="B382" s="12" t="str">
        <f aca="false">'РПН 01.08 по МО'!B380</f>
        <v>КАРАГАНДИНСКАЯ</v>
      </c>
      <c r="C382" s="12" t="str">
        <f aca="false">'РПН 01.08 по МО'!C380</f>
        <v>ТОО "Медицинский центр "Будь Здоров"</v>
      </c>
      <c r="D382" s="12" t="str">
        <f aca="false">'РПН 01.08 по МО'!E380</f>
        <v>3524</v>
      </c>
      <c r="E382" s="12" t="str">
        <f aca="false">'РПН 01.08 по МО'!F380</f>
        <v>Темиртау</v>
      </c>
      <c r="F382" s="13" t="n">
        <f aca="false">'РПН 01.08 по МО'!D380</f>
        <v>10525</v>
      </c>
      <c r="G382" s="14" t="n">
        <f aca="false">INDEX('Расчет Кплотн'!$K:$K,MATCH(D382,'Расчет Кплотн'!$A:$A,0))</f>
        <v>1.5</v>
      </c>
      <c r="H382" s="14" t="n">
        <f aca="false">INDEX('Расчет Кплотн'!$J:$J,MATCH(D382,'Расчет Кплотн'!$A:$A,0))</f>
        <v>1.5</v>
      </c>
      <c r="I382" s="3" t="n">
        <f aca="false">F382*Моделирование!$F$3*M382*G382/1000</f>
        <v>319444.9065</v>
      </c>
      <c r="J382" s="3" t="n">
        <f aca="false">F382*Моделирование!$F$3*M382*H382/1000</f>
        <v>319444.9065</v>
      </c>
      <c r="K382" s="3" t="n">
        <f aca="false">J382-I382</f>
        <v>0</v>
      </c>
      <c r="L382" s="4" t="n">
        <f aca="false">IFERROR(K382/I382,0)</f>
        <v>0</v>
      </c>
      <c r="M382" s="15" t="n">
        <f aca="false">IF(INDEX('Расчет Кплотн'!$D:$D,MATCH(D382,'Расчет Кплотн'!$A:$A,0))="район",IFERROR(VLOOKUP(INDEX('Расчет Кплотн'!$B:$B,MATCH(D382,'Расчет Кплотн'!$A:$A,0)),'БКПН (приказ 170)'!$A$4:$C$10,3,FALSE()),Моделирование!$F$2),Моделирование!$F$2)</f>
        <v>1686.17</v>
      </c>
    </row>
    <row r="383" customFormat="false" ht="15" hidden="false" customHeight="false" outlineLevel="0" collapsed="false">
      <c r="A383" s="12" t="n">
        <v>378</v>
      </c>
      <c r="B383" s="12" t="str">
        <f aca="false">'РПН 01.08 по МО'!B381</f>
        <v>КАРАГАНДИНСКАЯ</v>
      </c>
      <c r="C383" s="12" t="str">
        <f aca="false">'РПН 01.08 по МО'!C381</f>
        <v>ТОО "МЦ Жезказган"</v>
      </c>
      <c r="D383" s="12" t="str">
        <f aca="false">'РПН 01.08 по МО'!E381</f>
        <v>3516</v>
      </c>
      <c r="E383" s="12" t="str">
        <f aca="false">'РПН 01.08 по МО'!F381</f>
        <v>Балхаш</v>
      </c>
      <c r="F383" s="13" t="n">
        <f aca="false">'РПН 01.08 по МО'!D381</f>
        <v>8164</v>
      </c>
      <c r="G383" s="14" t="n">
        <f aca="false">INDEX('Расчет Кплотн'!$K:$K,MATCH(D383,'Расчет Кплотн'!$A:$A,0))</f>
        <v>1.5</v>
      </c>
      <c r="H383" s="14" t="n">
        <f aca="false">INDEX('Расчет Кплотн'!$J:$J,MATCH(D383,'Расчет Кплотн'!$A:$A,0))</f>
        <v>1.5</v>
      </c>
      <c r="I383" s="3" t="n">
        <f aca="false">F383*Моделирование!$F$3*M383*G383/1000</f>
        <v>247786.05384</v>
      </c>
      <c r="J383" s="3" t="n">
        <f aca="false">F383*Моделирование!$F$3*M383*H383/1000</f>
        <v>247786.05384</v>
      </c>
      <c r="K383" s="3" t="n">
        <f aca="false">J383-I383</f>
        <v>0</v>
      </c>
      <c r="L383" s="4" t="n">
        <f aca="false">IFERROR(K383/I383,0)</f>
        <v>0</v>
      </c>
      <c r="M383" s="15" t="n">
        <f aca="false">IF(INDEX('Расчет Кплотн'!$D:$D,MATCH(D383,'Расчет Кплотн'!$A:$A,0))="район",IFERROR(VLOOKUP(INDEX('Расчет Кплотн'!$B:$B,MATCH(D383,'Расчет Кплотн'!$A:$A,0)),'БКПН (приказ 170)'!$A$4:$C$10,3,FALSE()),Моделирование!$F$2),Моделирование!$F$2)</f>
        <v>1686.17</v>
      </c>
    </row>
    <row r="384" customFormat="false" ht="15" hidden="false" customHeight="false" outlineLevel="0" collapsed="false">
      <c r="A384" s="12" t="n">
        <v>379</v>
      </c>
      <c r="B384" s="12" t="str">
        <f aca="false">'РПН 01.08 по МО'!B382</f>
        <v>КАРАГАНДИНСКАЯ</v>
      </c>
      <c r="C384" s="12" t="str">
        <f aca="false">'РПН 01.08 по МО'!C382</f>
        <v>ТОО "Новая Поликлиника"</v>
      </c>
      <c r="D384" s="12" t="str">
        <f aca="false">'РПН 01.08 по МО'!E382</f>
        <v>3510</v>
      </c>
      <c r="E384" s="12" t="str">
        <f aca="false">'РПН 01.08 по МО'!F382</f>
        <v>Караганда</v>
      </c>
      <c r="F384" s="13" t="n">
        <f aca="false">'РПН 01.08 по МО'!D382</f>
        <v>58450</v>
      </c>
      <c r="G384" s="14" t="n">
        <f aca="false">INDEX('Расчет Кплотн'!$K:$K,MATCH(D384,'Расчет Кплотн'!$A:$A,0))</f>
        <v>1</v>
      </c>
      <c r="H384" s="14" t="n">
        <f aca="false">INDEX('Расчет Кплотн'!$J:$J,MATCH(D384,'Расчет Кплотн'!$A:$A,0))</f>
        <v>1</v>
      </c>
      <c r="I384" s="3" t="n">
        <f aca="false">F384*Моделирование!$F$3*M384*G384/1000</f>
        <v>1182679.638</v>
      </c>
      <c r="J384" s="3" t="n">
        <f aca="false">F384*Моделирование!$F$3*M384*H384/1000</f>
        <v>1182679.638</v>
      </c>
      <c r="K384" s="3" t="n">
        <f aca="false">J384-I384</f>
        <v>0</v>
      </c>
      <c r="L384" s="4" t="n">
        <f aca="false">IFERROR(K384/I384,0)</f>
        <v>0</v>
      </c>
      <c r="M384" s="15" t="n">
        <f aca="false">IF(INDEX('Расчет Кплотн'!$D:$D,MATCH(D384,'Расчет Кплотн'!$A:$A,0))="район",IFERROR(VLOOKUP(INDEX('Расчет Кплотн'!$B:$B,MATCH(D384,'Расчет Кплотн'!$A:$A,0)),'БКПН (приказ 170)'!$A$4:$C$10,3,FALSE()),Моделирование!$F$2),Моделирование!$F$2)</f>
        <v>1686.17</v>
      </c>
    </row>
    <row r="385" customFormat="false" ht="15" hidden="false" customHeight="false" outlineLevel="0" collapsed="false">
      <c r="A385" s="12" t="n">
        <v>380</v>
      </c>
      <c r="B385" s="12" t="str">
        <f aca="false">'РПН 01.08 по МО'!B383</f>
        <v>КАРАГАНДИНСКАЯ</v>
      </c>
      <c r="C385" s="12" t="str">
        <f aca="false">'РПН 01.08 по МО'!C383</f>
        <v>ТОО "Поликлиника 15"</v>
      </c>
      <c r="D385" s="12" t="str">
        <f aca="false">'РПН 01.08 по МО'!E383</f>
        <v>3510</v>
      </c>
      <c r="E385" s="12" t="str">
        <f aca="false">'РПН 01.08 по МО'!F383</f>
        <v>Караганда</v>
      </c>
      <c r="F385" s="13" t="n">
        <f aca="false">'РПН 01.08 по МО'!D383</f>
        <v>49123</v>
      </c>
      <c r="G385" s="14" t="n">
        <f aca="false">INDEX('Расчет Кплотн'!$K:$K,MATCH(D385,'Расчет Кплотн'!$A:$A,0))</f>
        <v>1</v>
      </c>
      <c r="H385" s="14" t="n">
        <f aca="false">INDEX('Расчет Кплотн'!$J:$J,MATCH(D385,'Расчет Кплотн'!$A:$A,0))</f>
        <v>1</v>
      </c>
      <c r="I385" s="3" t="n">
        <f aca="false">F385*Моделирование!$F$3*M385*G385/1000</f>
        <v>993956.74692</v>
      </c>
      <c r="J385" s="3" t="n">
        <f aca="false">F385*Моделирование!$F$3*M385*H385/1000</f>
        <v>993956.74692</v>
      </c>
      <c r="K385" s="3" t="n">
        <f aca="false">J385-I385</f>
        <v>0</v>
      </c>
      <c r="L385" s="4" t="n">
        <f aca="false">IFERROR(K385/I385,0)</f>
        <v>0</v>
      </c>
      <c r="M385" s="15" t="n">
        <f aca="false">IF(INDEX('Расчет Кплотн'!$D:$D,MATCH(D385,'Расчет Кплотн'!$A:$A,0))="район",IFERROR(VLOOKUP(INDEX('Расчет Кплотн'!$B:$B,MATCH(D385,'Расчет Кплотн'!$A:$A,0)),'БКПН (приказ 170)'!$A$4:$C$10,3,FALSE()),Моделирование!$F$2),Моделирование!$F$2)</f>
        <v>1686.17</v>
      </c>
    </row>
    <row r="386" customFormat="false" ht="15" hidden="false" customHeight="false" outlineLevel="0" collapsed="false">
      <c r="A386" s="12" t="n">
        <v>381</v>
      </c>
      <c r="B386" s="12" t="str">
        <f aca="false">'РПН 01.08 по МО'!B384</f>
        <v>КАРАГАНДИНСКАЯ</v>
      </c>
      <c r="C386" s="12" t="str">
        <f aca="false">'РПН 01.08 по МО'!C384</f>
        <v>НАО "КМУ"</v>
      </c>
      <c r="D386" s="12" t="str">
        <f aca="false">'РПН 01.08 по МО'!E384</f>
        <v>3510</v>
      </c>
      <c r="E386" s="12" t="str">
        <f aca="false">'РПН 01.08 по МО'!F384</f>
        <v>Караганда</v>
      </c>
      <c r="F386" s="13" t="n">
        <f aca="false">'РПН 01.08 по МО'!D384</f>
        <v>6153</v>
      </c>
      <c r="G386" s="14" t="n">
        <f aca="false">INDEX('Расчет Кплотн'!$K:$K,MATCH(D386,'Расчет Кплотн'!$A:$A,0))</f>
        <v>1</v>
      </c>
      <c r="H386" s="14" t="n">
        <f aca="false">INDEX('Расчет Кплотн'!$J:$J,MATCH(D386,'Расчет Кплотн'!$A:$A,0))</f>
        <v>1</v>
      </c>
      <c r="I386" s="3" t="n">
        <f aca="false">F386*Моделирование!$F$3*M386*G386/1000</f>
        <v>124500.04812</v>
      </c>
      <c r="J386" s="3" t="n">
        <f aca="false">F386*Моделирование!$F$3*M386*H386/1000</f>
        <v>124500.04812</v>
      </c>
      <c r="K386" s="3" t="n">
        <f aca="false">J386-I386</f>
        <v>0</v>
      </c>
      <c r="L386" s="4" t="n">
        <f aca="false">IFERROR(K386/I386,0)</f>
        <v>0</v>
      </c>
      <c r="M386" s="15" t="n">
        <f aca="false">IF(INDEX('Расчет Кплотн'!$D:$D,MATCH(D386,'Расчет Кплотн'!$A:$A,0))="район",IFERROR(VLOOKUP(INDEX('Расчет Кплотн'!$B:$B,MATCH(D386,'Расчет Кплотн'!$A:$A,0)),'БКПН (приказ 170)'!$A$4:$C$10,3,FALSE()),Моделирование!$F$2),Моделирование!$F$2)</f>
        <v>1686.17</v>
      </c>
    </row>
    <row r="387" customFormat="false" ht="15" hidden="false" customHeight="false" outlineLevel="0" collapsed="false">
      <c r="A387" s="12" t="n">
        <v>382</v>
      </c>
      <c r="B387" s="12" t="str">
        <f aca="false">'РПН 01.08 по МО'!B385</f>
        <v>КАРАГАНДИНСКАЯ</v>
      </c>
      <c r="C387" s="12" t="str">
        <f aca="false">'РПН 01.08 по МО'!C385</f>
        <v>ТОО "Студенттік емхана 1"</v>
      </c>
      <c r="D387" s="12" t="str">
        <f aca="false">'РПН 01.08 по МО'!E385</f>
        <v>3510</v>
      </c>
      <c r="E387" s="12" t="str">
        <f aca="false">'РПН 01.08 по МО'!F385</f>
        <v>Караганда</v>
      </c>
      <c r="F387" s="13" t="n">
        <f aca="false">'РПН 01.08 по МО'!D385</f>
        <v>12741</v>
      </c>
      <c r="G387" s="14" t="n">
        <f aca="false">INDEX('Расчет Кплотн'!$K:$K,MATCH(D387,'Расчет Кплотн'!$A:$A,0))</f>
        <v>1</v>
      </c>
      <c r="H387" s="14" t="n">
        <f aca="false">INDEX('Расчет Кплотн'!$J:$J,MATCH(D387,'Расчет Кплотн'!$A:$A,0))</f>
        <v>1</v>
      </c>
      <c r="I387" s="3" t="n">
        <f aca="false">F387*Моделирование!$F$3*M387*G387/1000</f>
        <v>257801.90364</v>
      </c>
      <c r="J387" s="3" t="n">
        <f aca="false">F387*Моделирование!$F$3*M387*H387/1000</f>
        <v>257801.90364</v>
      </c>
      <c r="K387" s="3" t="n">
        <f aca="false">J387-I387</f>
        <v>0</v>
      </c>
      <c r="L387" s="4" t="n">
        <f aca="false">IFERROR(K387/I387,0)</f>
        <v>0</v>
      </c>
      <c r="M387" s="15" t="n">
        <f aca="false">IF(INDEX('Расчет Кплотн'!$D:$D,MATCH(D387,'Расчет Кплотн'!$A:$A,0))="район",IFERROR(VLOOKUP(INDEX('Расчет Кплотн'!$B:$B,MATCH(D387,'Расчет Кплотн'!$A:$A,0)),'БКПН (приказ 170)'!$A$4:$C$10,3,FALSE()),Моделирование!$F$2),Моделирование!$F$2)</f>
        <v>1686.17</v>
      </c>
    </row>
    <row r="388" customFormat="false" ht="15" hidden="false" customHeight="false" outlineLevel="0" collapsed="false">
      <c r="A388" s="12" t="n">
        <v>383</v>
      </c>
      <c r="B388" s="12" t="str">
        <f aca="false">'РПН 01.08 по МО'!B386</f>
        <v>КАРАГАНДИНСКАЯ</v>
      </c>
      <c r="C388" s="12" t="str">
        <f aca="false">'РПН 01.08 по МО'!C386</f>
        <v>ТОО "Центральная Поликлиника №3"</v>
      </c>
      <c r="D388" s="12" t="str">
        <f aca="false">'РПН 01.08 по МО'!E386</f>
        <v>3524</v>
      </c>
      <c r="E388" s="12" t="str">
        <f aca="false">'РПН 01.08 по МО'!F386</f>
        <v>Темиртау</v>
      </c>
      <c r="F388" s="13" t="n">
        <f aca="false">'РПН 01.08 по МО'!D386</f>
        <v>19491</v>
      </c>
      <c r="G388" s="14" t="n">
        <f aca="false">INDEX('Расчет Кплотн'!$K:$K,MATCH(D388,'Расчет Кплотн'!$A:$A,0))</f>
        <v>1.5</v>
      </c>
      <c r="H388" s="14" t="n">
        <f aca="false">INDEX('Расчет Кплотн'!$J:$J,MATCH(D388,'Расчет Кплотн'!$A:$A,0))</f>
        <v>1.5</v>
      </c>
      <c r="I388" s="3" t="n">
        <f aca="false">F388*Моделирование!$F$3*M388*G388/1000</f>
        <v>591572.51046</v>
      </c>
      <c r="J388" s="3" t="n">
        <f aca="false">F388*Моделирование!$F$3*M388*H388/1000</f>
        <v>591572.51046</v>
      </c>
      <c r="K388" s="3" t="n">
        <f aca="false">J388-I388</f>
        <v>0</v>
      </c>
      <c r="L388" s="4" t="n">
        <f aca="false">IFERROR(K388/I388,0)</f>
        <v>0</v>
      </c>
      <c r="M388" s="15" t="n">
        <f aca="false">IF(INDEX('Расчет Кплотн'!$D:$D,MATCH(D388,'Расчет Кплотн'!$A:$A,0))="район",IFERROR(VLOOKUP(INDEX('Расчет Кплотн'!$B:$B,MATCH(D388,'Расчет Кплотн'!$A:$A,0)),'БКПН (приказ 170)'!$A$4:$C$10,3,FALSE()),Моделирование!$F$2),Моделирование!$F$2)</f>
        <v>1686.17</v>
      </c>
    </row>
    <row r="389" customFormat="false" ht="15" hidden="false" customHeight="false" outlineLevel="0" collapsed="false">
      <c r="A389" s="12" t="n">
        <v>384</v>
      </c>
      <c r="B389" s="12" t="str">
        <f aca="false">'РПН 01.08 по МО'!B387</f>
        <v>КАРАГАНДИНСКАЯ</v>
      </c>
      <c r="C389" s="12" t="str">
        <f aca="false">'РПН 01.08 по МО'!C387</f>
        <v>ТОО "Медицинская фирма "Мерей"</v>
      </c>
      <c r="D389" s="12" t="str">
        <f aca="false">'РПН 01.08 по МО'!E387</f>
        <v>3510</v>
      </c>
      <c r="E389" s="12" t="str">
        <f aca="false">'РПН 01.08 по МО'!F387</f>
        <v>Караганда</v>
      </c>
      <c r="F389" s="13" t="n">
        <f aca="false">'РПН 01.08 по МО'!D387</f>
        <v>14521</v>
      </c>
      <c r="G389" s="14" t="n">
        <f aca="false">INDEX('Расчет Кплотн'!$K:$K,MATCH(D389,'Расчет Кплотн'!$A:$A,0))</f>
        <v>1</v>
      </c>
      <c r="H389" s="14" t="n">
        <f aca="false">INDEX('Расчет Кплотн'!$J:$J,MATCH(D389,'Расчет Кплотн'!$A:$A,0))</f>
        <v>1</v>
      </c>
      <c r="I389" s="3" t="n">
        <f aca="false">F389*Моделирование!$F$3*M389*G389/1000</f>
        <v>293818.49484</v>
      </c>
      <c r="J389" s="3" t="n">
        <f aca="false">F389*Моделирование!$F$3*M389*H389/1000</f>
        <v>293818.49484</v>
      </c>
      <c r="K389" s="3" t="n">
        <f aca="false">J389-I389</f>
        <v>0</v>
      </c>
      <c r="L389" s="4" t="n">
        <f aca="false">IFERROR(K389/I389,0)</f>
        <v>0</v>
      </c>
      <c r="M389" s="15" t="n">
        <f aca="false">IF(INDEX('Расчет Кплотн'!$D:$D,MATCH(D389,'Расчет Кплотн'!$A:$A,0))="район",IFERROR(VLOOKUP(INDEX('Расчет Кплотн'!$B:$B,MATCH(D389,'Расчет Кплотн'!$A:$A,0)),'БКПН (приказ 170)'!$A$4:$C$10,3,FALSE()),Моделирование!$F$2),Моделирование!$F$2)</f>
        <v>1686.17</v>
      </c>
    </row>
    <row r="390" customFormat="false" ht="15" hidden="false" customHeight="false" outlineLevel="0" collapsed="false">
      <c r="A390" s="12" t="n">
        <v>385</v>
      </c>
      <c r="B390" s="12" t="str">
        <f aca="false">'РПН 01.08 по МО'!B388</f>
        <v>КАРАГАНДИНСКАЯ</v>
      </c>
      <c r="C390" s="12" t="str">
        <f aca="false">'РПН 01.08 по МО'!C388</f>
        <v>Коммунальное государственное предприятие на праве хозяйственного ведения «Районная больница Актогайского района» управления здравоохранения Карагандинской области</v>
      </c>
      <c r="D390" s="12" t="str">
        <f aca="false">'РПН 01.08 по МО'!E388</f>
        <v>3536</v>
      </c>
      <c r="E390" s="12" t="str">
        <f aca="false">'РПН 01.08 по МО'!F388</f>
        <v>Актогайский район</v>
      </c>
      <c r="F390" s="13" t="n">
        <f aca="false">'РПН 01.08 по МО'!D388</f>
        <v>9284</v>
      </c>
      <c r="G390" s="14" t="n">
        <f aca="false">INDEX('Расчет Кплотн'!$K:$K,MATCH(D390,'Расчет Кплотн'!$A:$A,0))</f>
        <v>2</v>
      </c>
      <c r="H390" s="14" t="n">
        <f aca="false">INDEX('Расчет Кплотн'!$J:$J,MATCH(D390,'Расчет Кплотн'!$A:$A,0))</f>
        <v>2</v>
      </c>
      <c r="I390" s="3" t="n">
        <f aca="false">F390*Моделирование!$F$3*M390*G390/1000</f>
        <v>412412.36256</v>
      </c>
      <c r="J390" s="3" t="n">
        <f aca="false">F390*Моделирование!$F$3*M390*H390/1000</f>
        <v>412412.36256</v>
      </c>
      <c r="K390" s="3" t="n">
        <f aca="false">J390-I390</f>
        <v>0</v>
      </c>
      <c r="L390" s="4" t="n">
        <f aca="false">IFERROR(K390/I390,0)</f>
        <v>0</v>
      </c>
      <c r="M390" s="15" t="n">
        <f aca="false">IF(INDEX('Расчет Кплотн'!$D:$D,MATCH(D390,'Расчет Кплотн'!$A:$A,0))="район",IFERROR(VLOOKUP(INDEX('Расчет Кплотн'!$B:$B,MATCH(D390,'Расчет Кплотн'!$A:$A,0)),'БКПН (приказ 170)'!$A$4:$C$10,3,FALSE()),Моделирование!$F$2),Моделирование!$F$2)</f>
        <v>1850.91</v>
      </c>
    </row>
    <row r="391" customFormat="false" ht="15" hidden="false" customHeight="false" outlineLevel="0" collapsed="false">
      <c r="A391" s="12" t="n">
        <v>386</v>
      </c>
      <c r="B391" s="12" t="str">
        <f aca="false">'РПН 01.08 по МО'!B389</f>
        <v>КАРАГАНДИНСКАЯ</v>
      </c>
      <c r="C391" s="12" t="str">
        <f aca="false">'РПН 01.08 по МО'!C389</f>
        <v>Коммунальное государственное предприятие на праве хозяйственного ведения «Районная больница Осакаровского района" управления здравоохранения Карагандинской области</v>
      </c>
      <c r="D391" s="12" t="str">
        <f aca="false">'РПН 01.08 по МО'!E389</f>
        <v>3556</v>
      </c>
      <c r="E391" s="12" t="str">
        <f aca="false">'РПН 01.08 по МО'!F389</f>
        <v>Осакаровский район</v>
      </c>
      <c r="F391" s="13" t="n">
        <f aca="false">'РПН 01.08 по МО'!D389</f>
        <v>28037</v>
      </c>
      <c r="G391" s="14" t="n">
        <f aca="false">INDEX('Расчет Кплотн'!$K:$K,MATCH(D391,'Расчет Кплотн'!$A:$A,0))</f>
        <v>1.769</v>
      </c>
      <c r="H391" s="14" t="n">
        <f aca="false">INDEX('Расчет Кплотн'!$J:$J,MATCH(D391,'Расчет Кплотн'!$A:$A,0))</f>
        <v>2</v>
      </c>
      <c r="I391" s="3" t="n">
        <f aca="false">F391*Моделирование!$F$3*M391*G391/1000</f>
        <v>1101605.06078676</v>
      </c>
      <c r="J391" s="3" t="n">
        <f aca="false">F391*Моделирование!$F$3*M391*H391/1000</f>
        <v>1245455.12808</v>
      </c>
      <c r="K391" s="3" t="n">
        <f aca="false">J391-I391</f>
        <v>143850.06729324</v>
      </c>
      <c r="L391" s="4" t="n">
        <f aca="false">IFERROR(K391/I391,0)</f>
        <v>0.130582249858677</v>
      </c>
      <c r="M391" s="15" t="n">
        <f aca="false">IF(INDEX('Расчет Кплотн'!$D:$D,MATCH(D391,'Расчет Кплотн'!$A:$A,0))="район",IFERROR(VLOOKUP(INDEX('Расчет Кплотн'!$B:$B,MATCH(D391,'Расчет Кплотн'!$A:$A,0)),'БКПН (приказ 170)'!$A$4:$C$10,3,FALSE()),Моделирование!$F$2),Моделирование!$F$2)</f>
        <v>1850.91</v>
      </c>
    </row>
    <row r="392" customFormat="false" ht="15" hidden="false" customHeight="false" outlineLevel="0" collapsed="false">
      <c r="A392" s="12" t="n">
        <v>387</v>
      </c>
      <c r="B392" s="12" t="str">
        <f aca="false">'РПН 01.08 по МО'!B390</f>
        <v>КАРАГАНДИНСКАЯ</v>
      </c>
      <c r="C392" s="12" t="str">
        <f aca="false">'РПН 01.08 по МО'!C390</f>
        <v>Коммунальное государственное предприятие на праве хозяйственного ведения "Больница города Сарани" управления здравоохранения Карагандинской области</v>
      </c>
      <c r="D392" s="12" t="str">
        <f aca="false">'РПН 01.08 по МО'!E390</f>
        <v>3522</v>
      </c>
      <c r="E392" s="12" t="str">
        <f aca="false">'РПН 01.08 по МО'!F390</f>
        <v>Сарань</v>
      </c>
      <c r="F392" s="13" t="n">
        <f aca="false">'РПН 01.08 по МО'!D390</f>
        <v>46150</v>
      </c>
      <c r="G392" s="14" t="n">
        <f aca="false">INDEX('Расчет Кплотн'!$K:$K,MATCH(D392,'Расчет Кплотн'!$A:$A,0))</f>
        <v>1.5</v>
      </c>
      <c r="H392" s="14" t="n">
        <f aca="false">INDEX('Расчет Кплотн'!$J:$J,MATCH(D392,'Расчет Кплотн'!$A:$A,0))</f>
        <v>1.5</v>
      </c>
      <c r="I392" s="3" t="n">
        <f aca="false">F392*Моделирование!$F$3*M392*G392/1000</f>
        <v>1400701.419</v>
      </c>
      <c r="J392" s="3" t="n">
        <f aca="false">F392*Моделирование!$F$3*M392*H392/1000</f>
        <v>1400701.419</v>
      </c>
      <c r="K392" s="3" t="n">
        <f aca="false">J392-I392</f>
        <v>0</v>
      </c>
      <c r="L392" s="4" t="n">
        <f aca="false">IFERROR(K392/I392,0)</f>
        <v>0</v>
      </c>
      <c r="M392" s="15" t="n">
        <f aca="false">IF(INDEX('Расчет Кплотн'!$D:$D,MATCH(D392,'Расчет Кплотн'!$A:$A,0))="район",IFERROR(VLOOKUP(INDEX('Расчет Кплотн'!$B:$B,MATCH(D392,'Расчет Кплотн'!$A:$A,0)),'БКПН (приказ 170)'!$A$4:$C$10,3,FALSE()),Моделирование!$F$2),Моделирование!$F$2)</f>
        <v>1686.17</v>
      </c>
    </row>
    <row r="393" customFormat="false" ht="15" hidden="false" customHeight="false" outlineLevel="0" collapsed="false">
      <c r="A393" s="12" t="n">
        <v>388</v>
      </c>
      <c r="B393" s="12" t="str">
        <f aca="false">'РПН 01.08 по МО'!B391</f>
        <v>КАРАГАНДИНСКАЯ</v>
      </c>
      <c r="C393" s="12" t="str">
        <f aca="false">'РПН 01.08 по МО'!C391</f>
        <v>"КГП" на праве хозяйственного ведения "Районная больница Шетского района" управления здравоохранения Карагандинской области</v>
      </c>
      <c r="D393" s="12" t="str">
        <f aca="false">'РПН 01.08 по МО'!E391</f>
        <v>3564</v>
      </c>
      <c r="E393" s="12" t="str">
        <f aca="false">'РПН 01.08 по МО'!F391</f>
        <v>Шетский район</v>
      </c>
      <c r="F393" s="13" t="n">
        <f aca="false">'РПН 01.08 по МО'!D391</f>
        <v>31125</v>
      </c>
      <c r="G393" s="14" t="n">
        <f aca="false">INDEX('Расчет Кплотн'!$K:$K,MATCH(D393,'Расчет Кплотн'!$A:$A,0))</f>
        <v>2</v>
      </c>
      <c r="H393" s="14" t="n">
        <f aca="false">INDEX('Расчет Кплотн'!$J:$J,MATCH(D393,'Расчет Кплотн'!$A:$A,0))</f>
        <v>2</v>
      </c>
      <c r="I393" s="3" t="n">
        <f aca="false">F393*Моделирование!$F$3*M393*G393/1000</f>
        <v>1382629.77</v>
      </c>
      <c r="J393" s="3" t="n">
        <f aca="false">F393*Моделирование!$F$3*M393*H393/1000</f>
        <v>1382629.77</v>
      </c>
      <c r="K393" s="3" t="n">
        <f aca="false">J393-I393</f>
        <v>0</v>
      </c>
      <c r="L393" s="4" t="n">
        <f aca="false">IFERROR(K393/I393,0)</f>
        <v>0</v>
      </c>
      <c r="M393" s="15" t="n">
        <f aca="false">IF(INDEX('Расчет Кплотн'!$D:$D,MATCH(D393,'Расчет Кплотн'!$A:$A,0))="район",IFERROR(VLOOKUP(INDEX('Расчет Кплотн'!$B:$B,MATCH(D393,'Расчет Кплотн'!$A:$A,0)),'БКПН (приказ 170)'!$A$4:$C$10,3,FALSE()),Моделирование!$F$2),Моделирование!$F$2)</f>
        <v>1850.91</v>
      </c>
    </row>
    <row r="394" customFormat="false" ht="15" hidden="false" customHeight="false" outlineLevel="0" collapsed="false">
      <c r="A394" s="12" t="n">
        <v>389</v>
      </c>
      <c r="B394" s="12" t="str">
        <f aca="false">'РПН 01.08 по МО'!B392</f>
        <v>КАРАГАНДИНСКАЯ</v>
      </c>
      <c r="C394" s="12" t="str">
        <f aca="false">'РПН 01.08 по МО'!C392</f>
        <v>КГП "Многопрофильная больница № 1 города Караганды" управления здравоохранения Карагандинской области</v>
      </c>
      <c r="D394" s="12" t="str">
        <f aca="false">'РПН 01.08 по МО'!E392</f>
        <v>3510</v>
      </c>
      <c r="E394" s="12" t="str">
        <f aca="false">'РПН 01.08 по МО'!F392</f>
        <v>Караганда</v>
      </c>
      <c r="F394" s="13" t="n">
        <f aca="false">'РПН 01.08 по МО'!D392</f>
        <v>49774</v>
      </c>
      <c r="G394" s="14" t="n">
        <f aca="false">INDEX('Расчет Кплотн'!$K:$K,MATCH(D394,'Расчет Кплотн'!$A:$A,0))</f>
        <v>1</v>
      </c>
      <c r="H394" s="14" t="n">
        <f aca="false">INDEX('Расчет Кплотн'!$J:$J,MATCH(D394,'Расчет Кплотн'!$A:$A,0))</f>
        <v>1</v>
      </c>
      <c r="I394" s="3" t="n">
        <f aca="false">F394*Моделирование!$F$3*M394*G394/1000</f>
        <v>1007129.10696</v>
      </c>
      <c r="J394" s="3" t="n">
        <f aca="false">F394*Моделирование!$F$3*M394*H394/1000</f>
        <v>1007129.10696</v>
      </c>
      <c r="K394" s="3" t="n">
        <f aca="false">J394-I394</f>
        <v>0</v>
      </c>
      <c r="L394" s="4" t="n">
        <f aca="false">IFERROR(K394/I394,0)</f>
        <v>0</v>
      </c>
      <c r="M394" s="15" t="n">
        <f aca="false">IF(INDEX('Расчет Кплотн'!$D:$D,MATCH(D394,'Расчет Кплотн'!$A:$A,0))="район",IFERROR(VLOOKUP(INDEX('Расчет Кплотн'!$B:$B,MATCH(D394,'Расчет Кплотн'!$A:$A,0)),'БКПН (приказ 170)'!$A$4:$C$10,3,FALSE()),Моделирование!$F$2),Моделирование!$F$2)</f>
        <v>1686.17</v>
      </c>
    </row>
    <row r="395" customFormat="false" ht="15" hidden="false" customHeight="false" outlineLevel="0" collapsed="false">
      <c r="A395" s="12" t="n">
        <v>390</v>
      </c>
      <c r="B395" s="12" t="str">
        <f aca="false">'РПН 01.08 по МО'!B393</f>
        <v>КАРАГАНДИНСКАЯ</v>
      </c>
      <c r="C395" s="12" t="str">
        <f aca="false">'РПН 01.08 по МО'!C393</f>
        <v>Коммунальное государственное предприятие на праве хозяйственного ведения «Многопрофильная больница города Темиртау» управления здравоохранения Карагандинской области</v>
      </c>
      <c r="D395" s="12" t="str">
        <f aca="false">'РПН 01.08 по МО'!E393</f>
        <v>3524</v>
      </c>
      <c r="E395" s="12" t="str">
        <f aca="false">'РПН 01.08 по МО'!F393</f>
        <v>Темиртау</v>
      </c>
      <c r="F395" s="13" t="n">
        <f aca="false">'РПН 01.08 по МО'!D393</f>
        <v>36201</v>
      </c>
      <c r="G395" s="14" t="n">
        <f aca="false">INDEX('Расчет Кплотн'!$K:$K,MATCH(D395,'Расчет Кплотн'!$A:$A,0))</f>
        <v>1.5</v>
      </c>
      <c r="H395" s="14" t="n">
        <f aca="false">INDEX('Расчет Кплотн'!$J:$J,MATCH(D395,'Расчет Кплотн'!$A:$A,0))</f>
        <v>1.5</v>
      </c>
      <c r="I395" s="3" t="n">
        <f aca="false">F395*Моделирование!$F$3*M395*G395/1000</f>
        <v>1098738.72306</v>
      </c>
      <c r="J395" s="3" t="n">
        <f aca="false">F395*Моделирование!$F$3*M395*H395/1000</f>
        <v>1098738.72306</v>
      </c>
      <c r="K395" s="3" t="n">
        <f aca="false">J395-I395</f>
        <v>0</v>
      </c>
      <c r="L395" s="4" t="n">
        <f aca="false">IFERROR(K395/I395,0)</f>
        <v>0</v>
      </c>
      <c r="M395" s="15" t="n">
        <f aca="false">IF(INDEX('Расчет Кплотн'!$D:$D,MATCH(D395,'Расчет Кплотн'!$A:$A,0))="район",IFERROR(VLOOKUP(INDEX('Расчет Кплотн'!$B:$B,MATCH(D395,'Расчет Кплотн'!$A:$A,0)),'БКПН (приказ 170)'!$A$4:$C$10,3,FALSE()),Моделирование!$F$2),Моделирование!$F$2)</f>
        <v>1686.17</v>
      </c>
    </row>
    <row r="396" customFormat="false" ht="15" hidden="false" customHeight="false" outlineLevel="0" collapsed="false">
      <c r="A396" s="12" t="n">
        <v>391</v>
      </c>
      <c r="B396" s="12" t="str">
        <f aca="false">'РПН 01.08 по МО'!B394</f>
        <v>КАРАГАНДИНСКАЯ</v>
      </c>
      <c r="C396" s="12" t="str">
        <f aca="false">'РПН 01.08 по МО'!C394</f>
        <v>КГП "Поликлиника №1 города Караганды"</v>
      </c>
      <c r="D396" s="12" t="str">
        <f aca="false">'РПН 01.08 по МО'!E394</f>
        <v>3510</v>
      </c>
      <c r="E396" s="12" t="str">
        <f aca="false">'РПН 01.08 по МО'!F394</f>
        <v>Караганда</v>
      </c>
      <c r="F396" s="13" t="n">
        <f aca="false">'РПН 01.08 по МО'!D394</f>
        <v>34403</v>
      </c>
      <c r="G396" s="14" t="n">
        <f aca="false">INDEX('Расчет Кплотн'!$K:$K,MATCH(D396,'Расчет Кплотн'!$A:$A,0))</f>
        <v>1</v>
      </c>
      <c r="H396" s="14" t="n">
        <f aca="false">INDEX('Расчет Кплотн'!$J:$J,MATCH(D396,'Расчет Кплотн'!$A:$A,0))</f>
        <v>1</v>
      </c>
      <c r="I396" s="3" t="n">
        <f aca="false">F396*Моделирование!$F$3*M396*G396/1000</f>
        <v>696111.67812</v>
      </c>
      <c r="J396" s="3" t="n">
        <f aca="false">F396*Моделирование!$F$3*M396*H396/1000</f>
        <v>696111.67812</v>
      </c>
      <c r="K396" s="3" t="n">
        <f aca="false">J396-I396</f>
        <v>0</v>
      </c>
      <c r="L396" s="4" t="n">
        <f aca="false">IFERROR(K396/I396,0)</f>
        <v>0</v>
      </c>
      <c r="M396" s="15" t="n">
        <f aca="false">IF(INDEX('Расчет Кплотн'!$D:$D,MATCH(D396,'Расчет Кплотн'!$A:$A,0))="район",IFERROR(VLOOKUP(INDEX('Расчет Кплотн'!$B:$B,MATCH(D396,'Расчет Кплотн'!$A:$A,0)),'БКПН (приказ 170)'!$A$4:$C$10,3,FALSE()),Моделирование!$F$2),Моделирование!$F$2)</f>
        <v>1686.17</v>
      </c>
    </row>
    <row r="397" customFormat="false" ht="15" hidden="false" customHeight="false" outlineLevel="0" collapsed="false">
      <c r="A397" s="12" t="n">
        <v>392</v>
      </c>
      <c r="B397" s="12" t="str">
        <f aca="false">'РПН 01.08 по МО'!B395</f>
        <v>КАРАГАНДИНСКАЯ</v>
      </c>
      <c r="C397" s="12" t="str">
        <f aca="false">'РПН 01.08 по МО'!C395</f>
        <v>КГП "Поликлиника №2 г. Караганды"</v>
      </c>
      <c r="D397" s="12" t="str">
        <f aca="false">'РПН 01.08 по МО'!E395</f>
        <v>3510</v>
      </c>
      <c r="E397" s="12" t="str">
        <f aca="false">'РПН 01.08 по МО'!F395</f>
        <v>Караганда</v>
      </c>
      <c r="F397" s="13" t="n">
        <f aca="false">'РПН 01.08 по МО'!D395</f>
        <v>30706</v>
      </c>
      <c r="G397" s="14" t="n">
        <f aca="false">INDEX('Расчет Кплотн'!$K:$K,MATCH(D397,'Расчет Кплотн'!$A:$A,0))</f>
        <v>1</v>
      </c>
      <c r="H397" s="14" t="n">
        <f aca="false">INDEX('Расчет Кплотн'!$J:$J,MATCH(D397,'Расчет Кплотн'!$A:$A,0))</f>
        <v>1</v>
      </c>
      <c r="I397" s="3" t="n">
        <f aca="false">F397*Моделирование!$F$3*M397*G397/1000</f>
        <v>621306.43224</v>
      </c>
      <c r="J397" s="3" t="n">
        <f aca="false">F397*Моделирование!$F$3*M397*H397/1000</f>
        <v>621306.43224</v>
      </c>
      <c r="K397" s="3" t="n">
        <f aca="false">J397-I397</f>
        <v>0</v>
      </c>
      <c r="L397" s="4" t="n">
        <f aca="false">IFERROR(K397/I397,0)</f>
        <v>0</v>
      </c>
      <c r="M397" s="15" t="n">
        <f aca="false">IF(INDEX('Расчет Кплотн'!$D:$D,MATCH(D397,'Расчет Кплотн'!$A:$A,0))="район",IFERROR(VLOOKUP(INDEX('Расчет Кплотн'!$B:$B,MATCH(D397,'Расчет Кплотн'!$A:$A,0)),'БКПН (приказ 170)'!$A$4:$C$10,3,FALSE()),Моделирование!$F$2),Моделирование!$F$2)</f>
        <v>1686.17</v>
      </c>
    </row>
    <row r="398" customFormat="false" ht="15" hidden="false" customHeight="false" outlineLevel="0" collapsed="false">
      <c r="A398" s="12" t="n">
        <v>393</v>
      </c>
      <c r="B398" s="12" t="str">
        <f aca="false">'РПН 01.08 по МО'!B396</f>
        <v>КАРАГАНДИНСКАЯ</v>
      </c>
      <c r="C398" s="12" t="str">
        <f aca="false">'РПН 01.08 по МО'!C396</f>
        <v>КГП "Поликлиника №3 города Караганды"</v>
      </c>
      <c r="D398" s="12" t="str">
        <f aca="false">'РПН 01.08 по МО'!E396</f>
        <v>3510</v>
      </c>
      <c r="E398" s="12" t="str">
        <f aca="false">'РПН 01.08 по МО'!F396</f>
        <v>Караганда</v>
      </c>
      <c r="F398" s="13" t="n">
        <f aca="false">'РПН 01.08 по МО'!D396</f>
        <v>63786</v>
      </c>
      <c r="G398" s="14" t="n">
        <f aca="false">INDEX('Расчет Кплотн'!$K:$K,MATCH(D398,'Расчет Кплотн'!$A:$A,0))</f>
        <v>1</v>
      </c>
      <c r="H398" s="14" t="n">
        <f aca="false">INDEX('Расчет Кплотн'!$J:$J,MATCH(D398,'Расчет Кплотн'!$A:$A,0))</f>
        <v>1</v>
      </c>
      <c r="I398" s="3" t="n">
        <f aca="false">F398*Моделирование!$F$3*M398*G398/1000</f>
        <v>1290648.47544</v>
      </c>
      <c r="J398" s="3" t="n">
        <f aca="false">F398*Моделирование!$F$3*M398*H398/1000</f>
        <v>1290648.47544</v>
      </c>
      <c r="K398" s="3" t="n">
        <f aca="false">J398-I398</f>
        <v>0</v>
      </c>
      <c r="L398" s="4" t="n">
        <f aca="false">IFERROR(K398/I398,0)</f>
        <v>0</v>
      </c>
      <c r="M398" s="15" t="n">
        <f aca="false">IF(INDEX('Расчет Кплотн'!$D:$D,MATCH(D398,'Расчет Кплотн'!$A:$A,0))="район",IFERROR(VLOOKUP(INDEX('Расчет Кплотн'!$B:$B,MATCH(D398,'Расчет Кплотн'!$A:$A,0)),'БКПН (приказ 170)'!$A$4:$C$10,3,FALSE()),Моделирование!$F$2),Моделирование!$F$2)</f>
        <v>1686.17</v>
      </c>
    </row>
    <row r="399" customFormat="false" ht="15" hidden="false" customHeight="false" outlineLevel="0" collapsed="false">
      <c r="A399" s="12" t="n">
        <v>394</v>
      </c>
      <c r="B399" s="12" t="str">
        <f aca="false">'РПН 01.08 по МО'!B397</f>
        <v>КАРАГАНДИНСКАЯ</v>
      </c>
      <c r="C399" s="12" t="str">
        <f aca="false">'РПН 01.08 по МО'!C397</f>
        <v>КГП "Поликлиника №5 города Караганды"</v>
      </c>
      <c r="D399" s="12" t="str">
        <f aca="false">'РПН 01.08 по МО'!E397</f>
        <v>3510</v>
      </c>
      <c r="E399" s="12" t="str">
        <f aca="false">'РПН 01.08 по МО'!F397</f>
        <v>Караганда</v>
      </c>
      <c r="F399" s="13" t="n">
        <f aca="false">'РПН 01.08 по МО'!D397</f>
        <v>33749</v>
      </c>
      <c r="G399" s="14" t="n">
        <f aca="false">INDEX('Расчет Кплотн'!$K:$K,MATCH(D399,'Расчет Кплотн'!$A:$A,0))</f>
        <v>1</v>
      </c>
      <c r="H399" s="14" t="n">
        <f aca="false">INDEX('Расчет Кплотн'!$J:$J,MATCH(D399,'Расчет Кплотн'!$A:$A,0))</f>
        <v>1</v>
      </c>
      <c r="I399" s="3" t="n">
        <f aca="false">F399*Моделирование!$F$3*M399*G399/1000</f>
        <v>682878.61596</v>
      </c>
      <c r="J399" s="3" t="n">
        <f aca="false">F399*Моделирование!$F$3*M399*H399/1000</f>
        <v>682878.61596</v>
      </c>
      <c r="K399" s="3" t="n">
        <f aca="false">J399-I399</f>
        <v>0</v>
      </c>
      <c r="L399" s="4" t="n">
        <f aca="false">IFERROR(K399/I399,0)</f>
        <v>0</v>
      </c>
      <c r="M399" s="15" t="n">
        <f aca="false">IF(INDEX('Расчет Кплотн'!$D:$D,MATCH(D399,'Расчет Кплотн'!$A:$A,0))="район",IFERROR(VLOOKUP(INDEX('Расчет Кплотн'!$B:$B,MATCH(D399,'Расчет Кплотн'!$A:$A,0)),'БКПН (приказ 170)'!$A$4:$C$10,3,FALSE()),Моделирование!$F$2),Моделирование!$F$2)</f>
        <v>1686.17</v>
      </c>
    </row>
    <row r="400" customFormat="false" ht="15" hidden="false" customHeight="false" outlineLevel="0" collapsed="false">
      <c r="A400" s="12" t="n">
        <v>395</v>
      </c>
      <c r="B400" s="12" t="str">
        <f aca="false">'РПН 01.08 по МО'!B398</f>
        <v>КАРАГАНДИНСКАЯ</v>
      </c>
      <c r="C400" s="12" t="str">
        <f aca="false">'РПН 01.08 по МО'!C398</f>
        <v>КГП «Поликлиника № 4 города Темиртау» управления здравоохранения Карагандинской области"</v>
      </c>
      <c r="D400" s="12" t="str">
        <f aca="false">'РПН 01.08 по МО'!E398</f>
        <v>3524</v>
      </c>
      <c r="E400" s="12" t="str">
        <f aca="false">'РПН 01.08 по МО'!F398</f>
        <v>Темиртау</v>
      </c>
      <c r="F400" s="13" t="n">
        <f aca="false">'РПН 01.08 по МО'!D398</f>
        <v>44627</v>
      </c>
      <c r="G400" s="14" t="n">
        <f aca="false">INDEX('Расчет Кплотн'!$K:$K,MATCH(D400,'Расчет Кплотн'!$A:$A,0))</f>
        <v>1.5</v>
      </c>
      <c r="H400" s="14" t="n">
        <f aca="false">INDEX('Расчет Кплотн'!$J:$J,MATCH(D400,'Расчет Кплотн'!$A:$A,0))</f>
        <v>1.5</v>
      </c>
      <c r="I400" s="3" t="n">
        <f aca="false">F400*Моделирование!$F$3*M400*G400/1000</f>
        <v>1354476.75462</v>
      </c>
      <c r="J400" s="3" t="n">
        <f aca="false">F400*Моделирование!$F$3*M400*H400/1000</f>
        <v>1354476.75462</v>
      </c>
      <c r="K400" s="3" t="n">
        <f aca="false">J400-I400</f>
        <v>0</v>
      </c>
      <c r="L400" s="4" t="n">
        <f aca="false">IFERROR(K400/I400,0)</f>
        <v>0</v>
      </c>
      <c r="M400" s="15" t="n">
        <f aca="false">IF(INDEX('Расчет Кплотн'!$D:$D,MATCH(D400,'Расчет Кплотн'!$A:$A,0))="район",IFERROR(VLOOKUP(INDEX('Расчет Кплотн'!$B:$B,MATCH(D400,'Расчет Кплотн'!$A:$A,0)),'БКПН (приказ 170)'!$A$4:$C$10,3,FALSE()),Моделирование!$F$2),Моделирование!$F$2)</f>
        <v>1686.17</v>
      </c>
    </row>
    <row r="401" customFormat="false" ht="15" hidden="false" customHeight="false" outlineLevel="0" collapsed="false">
      <c r="A401" s="12" t="n">
        <v>396</v>
      </c>
      <c r="B401" s="12" t="str">
        <f aca="false">'РПН 01.08 по МО'!B399</f>
        <v>КАРАГАНДИНСКАЯ</v>
      </c>
      <c r="C401" s="12" t="str">
        <f aca="false">'РПН 01.08 по МО'!C399</f>
        <v>КГП «Поликлиника №2 города Темиртау» управления здравоохранения Карагандинской области</v>
      </c>
      <c r="D401" s="12" t="str">
        <f aca="false">'РПН 01.08 по МО'!E399</f>
        <v>3524</v>
      </c>
      <c r="E401" s="12" t="str">
        <f aca="false">'РПН 01.08 по МО'!F399</f>
        <v>Темиртау</v>
      </c>
      <c r="F401" s="13" t="n">
        <f aca="false">'РПН 01.08 по МО'!D399</f>
        <v>28969</v>
      </c>
      <c r="G401" s="14" t="n">
        <f aca="false">INDEX('Расчет Кплотн'!$K:$K,MATCH(D401,'Расчет Кплотн'!$A:$A,0))</f>
        <v>1.5</v>
      </c>
      <c r="H401" s="14" t="n">
        <f aca="false">INDEX('Расчет Кплотн'!$J:$J,MATCH(D401,'Расчет Кплотн'!$A:$A,0))</f>
        <v>1.5</v>
      </c>
      <c r="I401" s="3" t="n">
        <f aca="false">F401*Моделирование!$F$3*M401*G401/1000</f>
        <v>879239.85714</v>
      </c>
      <c r="J401" s="3" t="n">
        <f aca="false">F401*Моделирование!$F$3*M401*H401/1000</f>
        <v>879239.85714</v>
      </c>
      <c r="K401" s="3" t="n">
        <f aca="false">J401-I401</f>
        <v>0</v>
      </c>
      <c r="L401" s="4" t="n">
        <f aca="false">IFERROR(K401/I401,0)</f>
        <v>0</v>
      </c>
      <c r="M401" s="15" t="n">
        <f aca="false">IF(INDEX('Расчет Кплотн'!$D:$D,MATCH(D401,'Расчет Кплотн'!$A:$A,0))="район",IFERROR(VLOOKUP(INDEX('Расчет Кплотн'!$B:$B,MATCH(D401,'Расчет Кплотн'!$A:$A,0)),'БКПН (приказ 170)'!$A$4:$C$10,3,FALSE()),Моделирование!$F$2),Моделирование!$F$2)</f>
        <v>1686.17</v>
      </c>
    </row>
    <row r="402" customFormat="false" ht="15" hidden="false" customHeight="false" outlineLevel="0" collapsed="false">
      <c r="A402" s="12" t="n">
        <v>397</v>
      </c>
      <c r="B402" s="12" t="str">
        <f aca="false">'РПН 01.08 по МО'!B400</f>
        <v>КАРАГАНДИНСКАЯ</v>
      </c>
      <c r="C402" s="12" t="str">
        <f aca="false">'РПН 01.08 по МО'!C400</f>
        <v>КГП "Поликлиника № 4 города Караганды" управления здравоохранения Карагандинской области</v>
      </c>
      <c r="D402" s="12" t="str">
        <f aca="false">'РПН 01.08 по МО'!E400</f>
        <v>3510</v>
      </c>
      <c r="E402" s="12" t="str">
        <f aca="false">'РПН 01.08 по МО'!F400</f>
        <v>Караганда</v>
      </c>
      <c r="F402" s="13" t="n">
        <f aca="false">'РПН 01.08 по МО'!D400</f>
        <v>45093</v>
      </c>
      <c r="G402" s="14" t="n">
        <f aca="false">INDEX('Расчет Кплотн'!$K:$K,MATCH(D402,'Расчет Кплотн'!$A:$A,0))</f>
        <v>1</v>
      </c>
      <c r="H402" s="14" t="n">
        <f aca="false">INDEX('Расчет Кплотн'!$J:$J,MATCH(D402,'Расчет Кплотн'!$A:$A,0))</f>
        <v>1</v>
      </c>
      <c r="I402" s="3" t="n">
        <f aca="false">F402*Моделирование!$F$3*M402*G402/1000</f>
        <v>912413.56572</v>
      </c>
      <c r="J402" s="3" t="n">
        <f aca="false">F402*Моделирование!$F$3*M402*H402/1000</f>
        <v>912413.56572</v>
      </c>
      <c r="K402" s="3" t="n">
        <f aca="false">J402-I402</f>
        <v>0</v>
      </c>
      <c r="L402" s="4" t="n">
        <f aca="false">IFERROR(K402/I402,0)</f>
        <v>0</v>
      </c>
      <c r="M402" s="15" t="n">
        <f aca="false">IF(INDEX('Расчет Кплотн'!$D:$D,MATCH(D402,'Расчет Кплотн'!$A:$A,0))="район",IFERROR(VLOOKUP(INDEX('Расчет Кплотн'!$B:$B,MATCH(D402,'Расчет Кплотн'!$A:$A,0)),'БКПН (приказ 170)'!$A$4:$C$10,3,FALSE()),Моделирование!$F$2),Моделирование!$F$2)</f>
        <v>1686.17</v>
      </c>
    </row>
    <row r="403" customFormat="false" ht="15" hidden="false" customHeight="false" outlineLevel="0" collapsed="false">
      <c r="A403" s="12" t="n">
        <v>398</v>
      </c>
      <c r="B403" s="12" t="str">
        <f aca="false">'РПН 01.08 по МО'!B401</f>
        <v>КАРАГАНДИНСКАЯ</v>
      </c>
      <c r="C403" s="12" t="str">
        <f aca="false">'РПН 01.08 по МО'!C401</f>
        <v>КГП на ПХВ "Больница города Шахтинск" управления здравоохранения Карагандинской области</v>
      </c>
      <c r="D403" s="12" t="str">
        <f aca="false">'РПН 01.08 по МО'!E401</f>
        <v>3528</v>
      </c>
      <c r="E403" s="12" t="str">
        <f aca="false">'РПН 01.08 по МО'!F401</f>
        <v>Шахтинск</v>
      </c>
      <c r="F403" s="13" t="n">
        <f aca="false">'РПН 01.08 по МО'!D401</f>
        <v>51654</v>
      </c>
      <c r="G403" s="14" t="n">
        <f aca="false">INDEX('Расчет Кплотн'!$K:$K,MATCH(D403,'Расчет Кплотн'!$A:$A,0))</f>
        <v>1.5</v>
      </c>
      <c r="H403" s="14" t="n">
        <f aca="false">INDEX('Расчет Кплотн'!$J:$J,MATCH(D403,'Расчет Кплотн'!$A:$A,0))</f>
        <v>1.5</v>
      </c>
      <c r="I403" s="3" t="n">
        <f aca="false">F403*Моделирование!$F$3*M403*G403/1000</f>
        <v>1567753.65324</v>
      </c>
      <c r="J403" s="3" t="n">
        <f aca="false">F403*Моделирование!$F$3*M403*H403/1000</f>
        <v>1567753.65324</v>
      </c>
      <c r="K403" s="3" t="n">
        <f aca="false">J403-I403</f>
        <v>0</v>
      </c>
      <c r="L403" s="4" t="n">
        <f aca="false">IFERROR(K403/I403,0)</f>
        <v>0</v>
      </c>
      <c r="M403" s="15" t="n">
        <f aca="false">IF(INDEX('Расчет Кплотн'!$D:$D,MATCH(D403,'Расчет Кплотн'!$A:$A,0))="район",IFERROR(VLOOKUP(INDEX('Расчет Кплотн'!$B:$B,MATCH(D403,'Расчет Кплотн'!$A:$A,0)),'БКПН (приказ 170)'!$A$4:$C$10,3,FALSE()),Моделирование!$F$2),Моделирование!$F$2)</f>
        <v>1686.17</v>
      </c>
    </row>
    <row r="404" customFormat="false" ht="15" hidden="false" customHeight="false" outlineLevel="0" collapsed="false">
      <c r="A404" s="12" t="n">
        <v>399</v>
      </c>
      <c r="B404" s="12" t="str">
        <f aca="false">'РПН 01.08 по МО'!B402</f>
        <v>КАРАГАНДИНСКАЯ</v>
      </c>
      <c r="C404" s="12" t="str">
        <f aca="false">'РПН 01.08 по МО'!C402</f>
        <v>КГП на ПХВ "Многопрофильная больница города Балхаш" управления здравоохранения Карагандинской области"</v>
      </c>
      <c r="D404" s="12" t="str">
        <f aca="false">'РПН 01.08 по МО'!E402</f>
        <v>3516</v>
      </c>
      <c r="E404" s="12" t="str">
        <f aca="false">'РПН 01.08 по МО'!F402</f>
        <v>Балхаш</v>
      </c>
      <c r="F404" s="13" t="n">
        <f aca="false">'РПН 01.08 по МО'!D402</f>
        <v>48200</v>
      </c>
      <c r="G404" s="14" t="n">
        <f aca="false">INDEX('Расчет Кплотн'!$K:$K,MATCH(D404,'Расчет Кплотн'!$A:$A,0))</f>
        <v>1.5</v>
      </c>
      <c r="H404" s="14" t="n">
        <f aca="false">INDEX('Расчет Кплотн'!$J:$J,MATCH(D404,'Расчет Кплотн'!$A:$A,0))</f>
        <v>1.5</v>
      </c>
      <c r="I404" s="3" t="n">
        <f aca="false">F404*Моделирование!$F$3*M404*G404/1000</f>
        <v>1462921.092</v>
      </c>
      <c r="J404" s="3" t="n">
        <f aca="false">F404*Моделирование!$F$3*M404*H404/1000</f>
        <v>1462921.092</v>
      </c>
      <c r="K404" s="3" t="n">
        <f aca="false">J404-I404</f>
        <v>0</v>
      </c>
      <c r="L404" s="4" t="n">
        <f aca="false">IFERROR(K404/I404,0)</f>
        <v>0</v>
      </c>
      <c r="M404" s="15" t="n">
        <f aca="false">IF(INDEX('Расчет Кплотн'!$D:$D,MATCH(D404,'Расчет Кплотн'!$A:$A,0))="район",IFERROR(VLOOKUP(INDEX('Расчет Кплотн'!$B:$B,MATCH(D404,'Расчет Кплотн'!$A:$A,0)),'БКПН (приказ 170)'!$A$4:$C$10,3,FALSE()),Моделирование!$F$2),Моделирование!$F$2)</f>
        <v>1686.17</v>
      </c>
    </row>
    <row r="405" customFormat="false" ht="15" hidden="false" customHeight="false" outlineLevel="0" collapsed="false">
      <c r="A405" s="12" t="n">
        <v>400</v>
      </c>
      <c r="B405" s="12" t="str">
        <f aca="false">'РПН 01.08 по МО'!B403</f>
        <v>КАРАГАНДИНСКАЯ</v>
      </c>
      <c r="C405" s="12" t="str">
        <f aca="false">'РПН 01.08 по МО'!C403</f>
        <v>КГП на ПХВ "Районная больница Абайского района" управления здравоохранения Карагандинской области</v>
      </c>
      <c r="D405" s="12" t="str">
        <f aca="false">'РПН 01.08 по МО'!E403</f>
        <v>3532</v>
      </c>
      <c r="E405" s="12" t="str">
        <f aca="false">'РПН 01.08 по МО'!F403</f>
        <v>Абайский район</v>
      </c>
      <c r="F405" s="13" t="n">
        <f aca="false">'РПН 01.08 по МО'!D403</f>
        <v>21089</v>
      </c>
      <c r="G405" s="14" t="n">
        <f aca="false">INDEX('Расчет Кплотн'!$K:$K,MATCH(D405,'Расчет Кплотн'!$A:$A,0))</f>
        <v>1.2338</v>
      </c>
      <c r="H405" s="14" t="n">
        <f aca="false">INDEX('Расчет Кплотн'!$J:$J,MATCH(D405,'Расчет Кплотн'!$A:$A,0))</f>
        <v>1.5897</v>
      </c>
      <c r="I405" s="3" t="n">
        <f aca="false">F405*Моделирование!$F$3*M405*G405/1000</f>
        <v>577919.436161544</v>
      </c>
      <c r="J405" s="3" t="n">
        <f aca="false">F405*Моделирование!$F$3*M405*H405/1000</f>
        <v>744625.164261636</v>
      </c>
      <c r="K405" s="3" t="n">
        <f aca="false">J405-I405</f>
        <v>166705.728100092</v>
      </c>
      <c r="L405" s="4" t="n">
        <f aca="false">IFERROR(K405/I405,0)</f>
        <v>0.288458421137948</v>
      </c>
      <c r="M405" s="15" t="n">
        <f aca="false">IF(INDEX('Расчет Кплотн'!$D:$D,MATCH(D405,'Расчет Кплотн'!$A:$A,0))="район",IFERROR(VLOOKUP(INDEX('Расчет Кплотн'!$B:$B,MATCH(D405,'Расчет Кплотн'!$A:$A,0)),'БКПН (приказ 170)'!$A$4:$C$10,3,FALSE()),Моделирование!$F$2),Моделирование!$F$2)</f>
        <v>1850.91</v>
      </c>
    </row>
    <row r="406" customFormat="false" ht="15" hidden="false" customHeight="false" outlineLevel="0" collapsed="false">
      <c r="A406" s="12" t="n">
        <v>401</v>
      </c>
      <c r="B406" s="12" t="str">
        <f aca="false">'РПН 01.08 по МО'!B404</f>
        <v>КАРАГАНДИНСКАЯ</v>
      </c>
      <c r="C406" s="12" t="str">
        <f aca="false">'РПН 01.08 по МО'!C404</f>
        <v>КГП на ПХВ "Районная больница Каркаралинского района" управления здравоохранения Карагандинской области</v>
      </c>
      <c r="D406" s="12" t="str">
        <f aca="false">'РПН 01.08 по МО'!E404</f>
        <v>3548</v>
      </c>
      <c r="E406" s="12" t="str">
        <f aca="false">'РПН 01.08 по МО'!F404</f>
        <v>Каркаралинский район</v>
      </c>
      <c r="F406" s="13" t="n">
        <f aca="false">'РПН 01.08 по МО'!D404</f>
        <v>24370</v>
      </c>
      <c r="G406" s="14" t="n">
        <f aca="false">INDEX('Расчет Кплотн'!$K:$K,MATCH(D406,'Расчет Кплотн'!$A:$A,0))</f>
        <v>2</v>
      </c>
      <c r="H406" s="14" t="n">
        <f aca="false">INDEX('Расчет Кплотн'!$J:$J,MATCH(D406,'Расчет Кплотн'!$A:$A,0))</f>
        <v>2</v>
      </c>
      <c r="I406" s="3" t="n">
        <f aca="false">F406*Моделирование!$F$3*M406*G406/1000</f>
        <v>1082560.2408</v>
      </c>
      <c r="J406" s="3" t="n">
        <f aca="false">F406*Моделирование!$F$3*M406*H406/1000</f>
        <v>1082560.2408</v>
      </c>
      <c r="K406" s="3" t="n">
        <f aca="false">J406-I406</f>
        <v>0</v>
      </c>
      <c r="L406" s="4" t="n">
        <f aca="false">IFERROR(K406/I406,0)</f>
        <v>0</v>
      </c>
      <c r="M406" s="15" t="n">
        <f aca="false">IF(INDEX('Расчет Кплотн'!$D:$D,MATCH(D406,'Расчет Кплотн'!$A:$A,0))="район",IFERROR(VLOOKUP(INDEX('Расчет Кплотн'!$B:$B,MATCH(D406,'Расчет Кплотн'!$A:$A,0)),'БКПН (приказ 170)'!$A$4:$C$10,3,FALSE()),Моделирование!$F$2),Моделирование!$F$2)</f>
        <v>1850.91</v>
      </c>
    </row>
    <row r="407" customFormat="false" ht="15" hidden="false" customHeight="false" outlineLevel="0" collapsed="false">
      <c r="A407" s="12" t="n">
        <v>402</v>
      </c>
      <c r="B407" s="12" t="str">
        <f aca="false">'РПН 01.08 по МО'!B405</f>
        <v>КАРАГАНДИНСКАЯ</v>
      </c>
      <c r="C407" s="12" t="str">
        <f aca="false">'РПН 01.08 по МО'!C405</f>
        <v>КГП на ПХВ “Районная больница Нуринского района” управления здравоохранения Карагандинской области</v>
      </c>
      <c r="D407" s="12" t="str">
        <f aca="false">'РПН 01.08 по МО'!E405</f>
        <v>3552</v>
      </c>
      <c r="E407" s="12" t="str">
        <f aca="false">'РПН 01.08 по МО'!F405</f>
        <v>Нуринский район</v>
      </c>
      <c r="F407" s="13" t="n">
        <f aca="false">'РПН 01.08 по МО'!D405</f>
        <v>17762</v>
      </c>
      <c r="G407" s="14" t="n">
        <f aca="false">INDEX('Расчет Кплотн'!$K:$K,MATCH(D407,'Расчет Кплотн'!$A:$A,0))</f>
        <v>2</v>
      </c>
      <c r="H407" s="14" t="n">
        <f aca="false">INDEX('Расчет Кплотн'!$J:$J,MATCH(D407,'Расчет Кплотн'!$A:$A,0))</f>
        <v>2</v>
      </c>
      <c r="I407" s="3" t="n">
        <f aca="false">F407*Моделирование!$F$3*M407*G407/1000</f>
        <v>789020.72208</v>
      </c>
      <c r="J407" s="3" t="n">
        <f aca="false">F407*Моделирование!$F$3*M407*H407/1000</f>
        <v>789020.72208</v>
      </c>
      <c r="K407" s="3" t="n">
        <f aca="false">J407-I407</f>
        <v>0</v>
      </c>
      <c r="L407" s="4" t="n">
        <f aca="false">IFERROR(K407/I407,0)</f>
        <v>0</v>
      </c>
      <c r="M407" s="15" t="n">
        <f aca="false">IF(INDEX('Расчет Кплотн'!$D:$D,MATCH(D407,'Расчет Кплотн'!$A:$A,0))="район",IFERROR(VLOOKUP(INDEX('Расчет Кплотн'!$B:$B,MATCH(D407,'Расчет Кплотн'!$A:$A,0)),'БКПН (приказ 170)'!$A$4:$C$10,3,FALSE()),Моделирование!$F$2),Моделирование!$F$2)</f>
        <v>1850.91</v>
      </c>
    </row>
    <row r="408" customFormat="false" ht="15" hidden="false" customHeight="false" outlineLevel="0" collapsed="false">
      <c r="A408" s="12" t="n">
        <v>403</v>
      </c>
      <c r="B408" s="12" t="str">
        <f aca="false">'РПН 01.08 по МО'!B406</f>
        <v>КАРАГАНДИНСКАЯ</v>
      </c>
      <c r="C408" s="12" t="str">
        <f aca="false">'РПН 01.08 по МО'!C406</f>
        <v>КГП на ПХВ «Больница города Приозерск» УЗКО.</v>
      </c>
      <c r="D408" s="12" t="str">
        <f aca="false">'РПН 01.08 по МО'!E406</f>
        <v>3521</v>
      </c>
      <c r="E408" s="12" t="str">
        <f aca="false">'РПН 01.08 по МО'!F406</f>
        <v>Приозерск</v>
      </c>
      <c r="F408" s="13" t="n">
        <f aca="false">'РПН 01.08 по МО'!D406</f>
        <v>14061</v>
      </c>
      <c r="G408" s="14" t="n">
        <f aca="false">INDEX('Расчет Кплотн'!$K:$K,MATCH(D408,'Расчет Кплотн'!$A:$A,0))</f>
        <v>1.5</v>
      </c>
      <c r="H408" s="14" t="n">
        <f aca="false">INDEX('Расчет Кплотн'!$J:$J,MATCH(D408,'Расчет Кплотн'!$A:$A,0))</f>
        <v>1.5</v>
      </c>
      <c r="I408" s="3" t="n">
        <f aca="false">F408*Моделирование!$F$3*M408*G408/1000</f>
        <v>426766.25466</v>
      </c>
      <c r="J408" s="3" t="n">
        <f aca="false">F408*Моделирование!$F$3*M408*H408/1000</f>
        <v>426766.25466</v>
      </c>
      <c r="K408" s="3" t="n">
        <f aca="false">J408-I408</f>
        <v>0</v>
      </c>
      <c r="L408" s="4" t="n">
        <f aca="false">IFERROR(K408/I408,0)</f>
        <v>0</v>
      </c>
      <c r="M408" s="15" t="n">
        <f aca="false">IF(INDEX('Расчет Кплотн'!$D:$D,MATCH(D408,'Расчет Кплотн'!$A:$A,0))="район",IFERROR(VLOOKUP(INDEX('Расчет Кплотн'!$B:$B,MATCH(D408,'Расчет Кплотн'!$A:$A,0)),'БКПН (приказ 170)'!$A$4:$C$10,3,FALSE()),Моделирование!$F$2),Моделирование!$F$2)</f>
        <v>1686.17</v>
      </c>
    </row>
    <row r="409" customFormat="false" ht="15" hidden="false" customHeight="false" outlineLevel="0" collapsed="false">
      <c r="A409" s="12" t="n">
        <v>404</v>
      </c>
      <c r="B409" s="12" t="str">
        <f aca="false">'РПН 01.08 по МО'!B407</f>
        <v>КАРАГАНДИНСКАЯ</v>
      </c>
      <c r="C409" s="12" t="str">
        <f aca="false">'РПН 01.08 по МО'!C407</f>
        <v>КГП ПХВ "Больница города Абая" управления здравоохранения Карагандинской области</v>
      </c>
      <c r="D409" s="12" t="str">
        <f aca="false">'РПН 01.08 по МО'!E407</f>
        <v>3532</v>
      </c>
      <c r="E409" s="12" t="str">
        <f aca="false">'РПН 01.08 по МО'!F407</f>
        <v>Абайский район</v>
      </c>
      <c r="F409" s="13" t="n">
        <f aca="false">'РПН 01.08 по МО'!D407</f>
        <v>36560</v>
      </c>
      <c r="G409" s="14" t="n">
        <f aca="false">INDEX('Расчет Кплотн'!$K:$K,MATCH(D409,'Расчет Кплотн'!$A:$A,0))</f>
        <v>1.2338</v>
      </c>
      <c r="H409" s="14" t="n">
        <f aca="false">INDEX('Расчет Кплотн'!$J:$J,MATCH(D409,'Расчет Кплотн'!$A:$A,0))</f>
        <v>1.5897</v>
      </c>
      <c r="I409" s="3" t="n">
        <f aca="false">F409*Моделирование!$F$3*M409*G409/1000</f>
        <v>1001884.13798976</v>
      </c>
      <c r="J409" s="3" t="n">
        <f aca="false">F409*Моделирование!$F$3*M409*H409/1000</f>
        <v>1290886.05459744</v>
      </c>
      <c r="K409" s="3" t="n">
        <f aca="false">J409-I409</f>
        <v>289001.91660768</v>
      </c>
      <c r="L409" s="4" t="n">
        <f aca="false">IFERROR(K409/I409,0)</f>
        <v>0.288458421137948</v>
      </c>
      <c r="M409" s="15" t="n">
        <f aca="false">IF(INDEX('Расчет Кплотн'!$D:$D,MATCH(D409,'Расчет Кплотн'!$A:$A,0))="район",IFERROR(VLOOKUP(INDEX('Расчет Кплотн'!$B:$B,MATCH(D409,'Расчет Кплотн'!$A:$A,0)),'БКПН (приказ 170)'!$A$4:$C$10,3,FALSE()),Моделирование!$F$2),Моделирование!$F$2)</f>
        <v>1850.91</v>
      </c>
    </row>
    <row r="410" customFormat="false" ht="15" hidden="false" customHeight="false" outlineLevel="0" collapsed="false">
      <c r="A410" s="12" t="n">
        <v>405</v>
      </c>
      <c r="B410" s="12" t="str">
        <f aca="false">'РПН 01.08 по МО'!B408</f>
        <v>КАРАГАНДИНСКАЯ</v>
      </c>
      <c r="C410" s="12" t="str">
        <f aca="false">'РПН 01.08 по МО'!C408</f>
        <v>КГП на праве хозяйственного ведения "Районная больница Бухар-Жырауского района" управления здравоохранения Карагандинской области</v>
      </c>
      <c r="D410" s="12" t="str">
        <f aca="false">'РПН 01.08 по МО'!E408</f>
        <v>3540</v>
      </c>
      <c r="E410" s="12" t="str">
        <f aca="false">'РПН 01.08 по МО'!F408</f>
        <v>Бухар-Жырауский район</v>
      </c>
      <c r="F410" s="13" t="n">
        <f aca="false">'РПН 01.08 по МО'!D408</f>
        <v>42427</v>
      </c>
      <c r="G410" s="14" t="n">
        <f aca="false">INDEX('Расчет Кплотн'!$K:$K,MATCH(D410,'Расчет Кплотн'!$A:$A,0))</f>
        <v>1.5536</v>
      </c>
      <c r="H410" s="14" t="n">
        <f aca="false">INDEX('Расчет Кплотн'!$J:$J,MATCH(D410,'Расчет Кплотн'!$A:$A,0))</f>
        <v>2</v>
      </c>
      <c r="I410" s="3" t="n">
        <f aca="false">F410*Моделирование!$F$3*M410*G410/1000</f>
        <v>1464023.62313222</v>
      </c>
      <c r="J410" s="3" t="n">
        <f aca="false">F410*Моделирование!$F$3*M410*H410/1000</f>
        <v>1884685.40568</v>
      </c>
      <c r="K410" s="3" t="n">
        <f aca="false">J410-I410</f>
        <v>420661.782547776</v>
      </c>
      <c r="L410" s="4" t="n">
        <f aca="false">IFERROR(K410/I410,0)</f>
        <v>0.287332646755922</v>
      </c>
      <c r="M410" s="15" t="n">
        <f aca="false">IF(INDEX('Расчет Кплотн'!$D:$D,MATCH(D410,'Расчет Кплотн'!$A:$A,0))="район",IFERROR(VLOOKUP(INDEX('Расчет Кплотн'!$B:$B,MATCH(D410,'Расчет Кплотн'!$A:$A,0)),'БКПН (приказ 170)'!$A$4:$C$10,3,FALSE()),Моделирование!$F$2),Моделирование!$F$2)</f>
        <v>1850.91</v>
      </c>
    </row>
    <row r="411" customFormat="false" ht="15" hidden="false" customHeight="false" outlineLevel="0" collapsed="false">
      <c r="A411" s="12" t="n">
        <v>406</v>
      </c>
      <c r="B411" s="12" t="str">
        <f aca="false">'РПН 01.08 по МО'!B409</f>
        <v>КОСТАНАЙСКАЯ</v>
      </c>
      <c r="C411" s="12" t="str">
        <f aca="false">'РПН 01.08 по МО'!C409</f>
        <v>КГП "Узункольская районная больница» Управления здравоохранения акимата Костанайской области</v>
      </c>
      <c r="D411" s="12" t="str">
        <f aca="false">'РПН 01.08 по МО'!E409</f>
        <v>3966</v>
      </c>
      <c r="E411" s="12" t="str">
        <f aca="false">'РПН 01.08 по МО'!F409</f>
        <v>Узункольский район</v>
      </c>
      <c r="F411" s="13" t="n">
        <f aca="false">'РПН 01.08 по МО'!D409</f>
        <v>12067</v>
      </c>
      <c r="G411" s="14" t="n">
        <f aca="false">INDEX('Расчет Кплотн'!$K:$K,MATCH(D411,'Расчет Кплотн'!$A:$A,0))</f>
        <v>1.9761</v>
      </c>
      <c r="H411" s="14" t="n">
        <f aca="false">INDEX('Расчет Кплотн'!$J:$J,MATCH(D411,'Расчет Кплотн'!$A:$A,0))</f>
        <v>2</v>
      </c>
      <c r="I411" s="3" t="n">
        <f aca="false">F411*Моделирование!$F$3*M411*G411/1000</f>
        <v>482492.797919748</v>
      </c>
      <c r="J411" s="3" t="n">
        <f aca="false">F411*Моделирование!$F$3*M411*H411/1000</f>
        <v>488328.32136</v>
      </c>
      <c r="K411" s="3" t="n">
        <f aca="false">J411-I411</f>
        <v>5835.523440252</v>
      </c>
      <c r="L411" s="4" t="n">
        <f aca="false">IFERROR(K411/I411,0)</f>
        <v>0.0120945296290674</v>
      </c>
      <c r="M411" s="15" t="n">
        <f aca="false">IF(INDEX('Расчет Кплотн'!$D:$D,MATCH(D411,'Расчет Кплотн'!$A:$A,0))="район",IFERROR(VLOOKUP(INDEX('Расчет Кплотн'!$B:$B,MATCH(D411,'Расчет Кплотн'!$A:$A,0)),'БКПН (приказ 170)'!$A$4:$C$10,3,FALSE()),Моделирование!$F$2),Моделирование!$F$2)</f>
        <v>1686.17</v>
      </c>
    </row>
    <row r="412" customFormat="false" ht="15" hidden="false" customHeight="false" outlineLevel="0" collapsed="false">
      <c r="A412" s="12" t="n">
        <v>407</v>
      </c>
      <c r="B412" s="12" t="str">
        <f aca="false">'РПН 01.08 по МО'!B410</f>
        <v>КОСТАНАЙСКАЯ</v>
      </c>
      <c r="C412" s="12" t="str">
        <f aca="false">'РПН 01.08 по МО'!C410</f>
        <v>КГП "Федоровская районная больница" Управления здравоохранения акимата Костанайской области</v>
      </c>
      <c r="D412" s="12" t="str">
        <f aca="false">'РПН 01.08 по МО'!E410</f>
        <v>3968</v>
      </c>
      <c r="E412" s="12" t="str">
        <f aca="false">'РПН 01.08 по МО'!F410</f>
        <v>Федоровский район</v>
      </c>
      <c r="F412" s="13" t="n">
        <f aca="false">'РПН 01.08 по МО'!D410</f>
        <v>18828</v>
      </c>
      <c r="G412" s="14" t="n">
        <f aca="false">INDEX('Расчет Кплотн'!$K:$K,MATCH(D412,'Расчет Кплотн'!$A:$A,0))</f>
        <v>1.6189</v>
      </c>
      <c r="H412" s="14" t="n">
        <f aca="false">INDEX('Расчет Кплотн'!$J:$J,MATCH(D412,'Расчет Кплотн'!$A:$A,0))</f>
        <v>2</v>
      </c>
      <c r="I412" s="3" t="n">
        <f aca="false">F412*Моделирование!$F$3*M412*G412/1000</f>
        <v>616746.675138768</v>
      </c>
      <c r="J412" s="3" t="n">
        <f aca="false">F412*Моделирование!$F$3*M412*H412/1000</f>
        <v>761933.01024</v>
      </c>
      <c r="K412" s="3" t="n">
        <f aca="false">J412-I412</f>
        <v>145186.335101232</v>
      </c>
      <c r="L412" s="4" t="n">
        <f aca="false">IFERROR(K412/I412,0)</f>
        <v>0.235406757674965</v>
      </c>
      <c r="M412" s="15" t="n">
        <f aca="false">IF(INDEX('Расчет Кплотн'!$D:$D,MATCH(D412,'Расчет Кплотн'!$A:$A,0))="район",IFERROR(VLOOKUP(INDEX('Расчет Кплотн'!$B:$B,MATCH(D412,'Расчет Кплотн'!$A:$A,0)),'БКПН (приказ 170)'!$A$4:$C$10,3,FALSE()),Моделирование!$F$2),Моделирование!$F$2)</f>
        <v>1686.17</v>
      </c>
    </row>
    <row r="413" customFormat="false" ht="15" hidden="false" customHeight="false" outlineLevel="0" collapsed="false">
      <c r="A413" s="12" t="n">
        <v>408</v>
      </c>
      <c r="B413" s="12" t="str">
        <f aca="false">'РПН 01.08 по МО'!B411</f>
        <v>КОСТАНАЙСКАЯ</v>
      </c>
      <c r="C413" s="12" t="str">
        <f aca="false">'РПН 01.08 по МО'!C411</f>
        <v>КГП «Амангельдинская районная больница» Управления здравоохранения акимата Костанайской области</v>
      </c>
      <c r="D413" s="12" t="str">
        <f aca="false">'РПН 01.08 по МО'!E411</f>
        <v>3934</v>
      </c>
      <c r="E413" s="12" t="str">
        <f aca="false">'РПН 01.08 по МО'!F411</f>
        <v>Амангельдинский район</v>
      </c>
      <c r="F413" s="13" t="n">
        <f aca="false">'РПН 01.08 по МО'!D411</f>
        <v>9480</v>
      </c>
      <c r="G413" s="14" t="n">
        <f aca="false">INDEX('Расчет Кплотн'!$K:$K,MATCH(D413,'Расчет Кплотн'!$A:$A,0))</f>
        <v>2</v>
      </c>
      <c r="H413" s="14" t="n">
        <f aca="false">INDEX('Расчет Кплотн'!$J:$J,MATCH(D413,'Расчет Кплотн'!$A:$A,0))</f>
        <v>2</v>
      </c>
      <c r="I413" s="3" t="n">
        <f aca="false">F413*Моделирование!$F$3*M413*G413/1000</f>
        <v>383637.3984</v>
      </c>
      <c r="J413" s="3" t="n">
        <f aca="false">F413*Моделирование!$F$3*M413*H413/1000</f>
        <v>383637.3984</v>
      </c>
      <c r="K413" s="3" t="n">
        <f aca="false">J413-I413</f>
        <v>0</v>
      </c>
      <c r="L413" s="4" t="n">
        <f aca="false">IFERROR(K413/I413,0)</f>
        <v>0</v>
      </c>
      <c r="M413" s="15" t="n">
        <f aca="false">IF(INDEX('Расчет Кплотн'!$D:$D,MATCH(D413,'Расчет Кплотн'!$A:$A,0))="район",IFERROR(VLOOKUP(INDEX('Расчет Кплотн'!$B:$B,MATCH(D413,'Расчет Кплотн'!$A:$A,0)),'БКПН (приказ 170)'!$A$4:$C$10,3,FALSE()),Моделирование!$F$2),Моделирование!$F$2)</f>
        <v>1686.17</v>
      </c>
    </row>
    <row r="414" customFormat="false" ht="15" hidden="false" customHeight="false" outlineLevel="0" collapsed="false">
      <c r="A414" s="12" t="n">
        <v>409</v>
      </c>
      <c r="B414" s="12" t="str">
        <f aca="false">'РПН 01.08 по МО'!B412</f>
        <v>КОСТАНАЙСКАЯ</v>
      </c>
      <c r="C414" s="12" t="str">
        <f aca="false">'РПН 01.08 по МО'!C412</f>
        <v>КГП «Джангельдинская районная больница» Управления здравоохранения акимата Костанайской области</v>
      </c>
      <c r="D414" s="12" t="str">
        <f aca="false">'РПН 01.08 по МО'!E412</f>
        <v>3942</v>
      </c>
      <c r="E414" s="12" t="str">
        <f aca="false">'РПН 01.08 по МО'!F412</f>
        <v>Жангельдинский район</v>
      </c>
      <c r="F414" s="13" t="n">
        <f aca="false">'РПН 01.08 по МО'!D412</f>
        <v>7671</v>
      </c>
      <c r="G414" s="14" t="n">
        <f aca="false">INDEX('Расчет Кплотн'!$K:$K,MATCH(D414,'Расчет Кплотн'!$A:$A,0))</f>
        <v>2</v>
      </c>
      <c r="H414" s="14" t="n">
        <f aca="false">INDEX('Расчет Кплотн'!$J:$J,MATCH(D414,'Расчет Кплотн'!$A:$A,0))</f>
        <v>2</v>
      </c>
      <c r="I414" s="3" t="n">
        <f aca="false">F414*Моделирование!$F$3*M414*G414/1000</f>
        <v>310430.64168</v>
      </c>
      <c r="J414" s="3" t="n">
        <f aca="false">F414*Моделирование!$F$3*M414*H414/1000</f>
        <v>310430.64168</v>
      </c>
      <c r="K414" s="3" t="n">
        <f aca="false">J414-I414</f>
        <v>0</v>
      </c>
      <c r="L414" s="4" t="n">
        <f aca="false">IFERROR(K414/I414,0)</f>
        <v>0</v>
      </c>
      <c r="M414" s="15" t="n">
        <f aca="false">IF(INDEX('Расчет Кплотн'!$D:$D,MATCH(D414,'Расчет Кплотн'!$A:$A,0))="район",IFERROR(VLOOKUP(INDEX('Расчет Кплотн'!$B:$B,MATCH(D414,'Расчет Кплотн'!$A:$A,0)),'БКПН (приказ 170)'!$A$4:$C$10,3,FALSE()),Моделирование!$F$2),Моделирование!$F$2)</f>
        <v>1686.17</v>
      </c>
    </row>
    <row r="415" customFormat="false" ht="15" hidden="false" customHeight="false" outlineLevel="0" collapsed="false">
      <c r="A415" s="12" t="n">
        <v>410</v>
      </c>
      <c r="B415" s="12" t="str">
        <f aca="false">'РПН 01.08 по МО'!B413</f>
        <v>КОСТАНАЙСКАЯ</v>
      </c>
      <c r="C415" s="12" t="str">
        <f aca="false">'РПН 01.08 по МО'!C413</f>
        <v>Коммунальное государственное предприятие "Аулиекольская районная больница" Управления здравоохранения акимата Костанайской области</v>
      </c>
      <c r="D415" s="12" t="str">
        <f aca="false">'РПН 01.08 по МО'!E413</f>
        <v>3936</v>
      </c>
      <c r="E415" s="12" t="str">
        <f aca="false">'РПН 01.08 по МО'!F413</f>
        <v>Аулиекольский район</v>
      </c>
      <c r="F415" s="13" t="n">
        <f aca="false">'РПН 01.08 по МО'!D413</f>
        <v>22770</v>
      </c>
      <c r="G415" s="14" t="n">
        <f aca="false">INDEX('Расчет Кплотн'!$K:$K,MATCH(D415,'Расчет Кплотн'!$A:$A,0))</f>
        <v>1.6586</v>
      </c>
      <c r="H415" s="14" t="n">
        <f aca="false">INDEX('Расчет Кплотн'!$J:$J,MATCH(D415,'Расчет Кплотн'!$A:$A,0))</f>
        <v>2</v>
      </c>
      <c r="I415" s="3" t="n">
        <f aca="false">F415*Моделирование!$F$3*M415*G415/1000</f>
        <v>764165.27000088</v>
      </c>
      <c r="J415" s="3" t="n">
        <f aca="false">F415*Моделирование!$F$3*M415*H415/1000</f>
        <v>921458.1816</v>
      </c>
      <c r="K415" s="3" t="n">
        <f aca="false">J415-I415</f>
        <v>157292.91159912</v>
      </c>
      <c r="L415" s="4" t="n">
        <f aca="false">IFERROR(K415/I415,0)</f>
        <v>0.205836247437598</v>
      </c>
      <c r="M415" s="15" t="n">
        <f aca="false">IF(INDEX('Расчет Кплотн'!$D:$D,MATCH(D415,'Расчет Кплотн'!$A:$A,0))="район",IFERROR(VLOOKUP(INDEX('Расчет Кплотн'!$B:$B,MATCH(D415,'Расчет Кплотн'!$A:$A,0)),'БКПН (приказ 170)'!$A$4:$C$10,3,FALSE()),Моделирование!$F$2),Моделирование!$F$2)</f>
        <v>1686.17</v>
      </c>
    </row>
    <row r="416" customFormat="false" ht="15" hidden="false" customHeight="false" outlineLevel="0" collapsed="false">
      <c r="A416" s="12" t="n">
        <v>411</v>
      </c>
      <c r="B416" s="12" t="str">
        <f aca="false">'РПН 01.08 по МО'!B414</f>
        <v>КОСТАНАЙСКАЯ</v>
      </c>
      <c r="C416" s="12" t="str">
        <f aca="false">'РПН 01.08 по МО'!C414</f>
        <v>Коммунальное государственное предприятие "Житикаринская районная больница" Управления здравоохранения акимата Костанайской области</v>
      </c>
      <c r="D416" s="12" t="str">
        <f aca="false">'РПН 01.08 по МО'!E414</f>
        <v>3944</v>
      </c>
      <c r="E416" s="12" t="str">
        <f aca="false">'РПН 01.08 по МО'!F414</f>
        <v>Житикаринский район</v>
      </c>
      <c r="F416" s="13" t="n">
        <f aca="false">'РПН 01.08 по МО'!D414</f>
        <v>34723</v>
      </c>
      <c r="G416" s="14" t="n">
        <f aca="false">INDEX('Расчет Кплотн'!$K:$K,MATCH(D416,'Расчет Кплотн'!$A:$A,0))</f>
        <v>1.3531</v>
      </c>
      <c r="H416" s="14" t="n">
        <f aca="false">INDEX('Расчет Кплотн'!$J:$J,MATCH(D416,'Расчет Кплотн'!$A:$A,0))</f>
        <v>2</v>
      </c>
      <c r="I416" s="3" t="n">
        <f aca="false">F416*Моделирование!$F$3*M416*G416/1000</f>
        <v>950669.889111852</v>
      </c>
      <c r="J416" s="3" t="n">
        <f aca="false">F416*Моделирование!$F$3*M416*H416/1000</f>
        <v>1405173.14184</v>
      </c>
      <c r="K416" s="3" t="n">
        <f aca="false">J416-I416</f>
        <v>454503.252728148</v>
      </c>
      <c r="L416" s="4" t="n">
        <f aca="false">IFERROR(K416/I416,0)</f>
        <v>0.478087354962678</v>
      </c>
      <c r="M416" s="15" t="n">
        <f aca="false">IF(INDEX('Расчет Кплотн'!$D:$D,MATCH(D416,'Расчет Кплотн'!$A:$A,0))="район",IFERROR(VLOOKUP(INDEX('Расчет Кплотн'!$B:$B,MATCH(D416,'Расчет Кплотн'!$A:$A,0)),'БКПН (приказ 170)'!$A$4:$C$10,3,FALSE()),Моделирование!$F$2),Моделирование!$F$2)</f>
        <v>1686.17</v>
      </c>
    </row>
    <row r="417" customFormat="false" ht="15" hidden="false" customHeight="false" outlineLevel="0" collapsed="false">
      <c r="A417" s="12" t="n">
        <v>412</v>
      </c>
      <c r="B417" s="12" t="str">
        <f aca="false">'РПН 01.08 по МО'!B415</f>
        <v>КОСТАНАЙСКАЯ</v>
      </c>
      <c r="C417" s="12" t="str">
        <f aca="false">'РПН 01.08 по МО'!C415</f>
        <v>ТОО "Медицинский центр "Казахстан"</v>
      </c>
      <c r="D417" s="12" t="str">
        <f aca="false">'РПН 01.08 по МО'!E415</f>
        <v>3916</v>
      </c>
      <c r="E417" s="12" t="str">
        <f aca="false">'РПН 01.08 по МО'!F415</f>
        <v>Аркалык</v>
      </c>
      <c r="F417" s="13" t="n">
        <f aca="false">'РПН 01.08 по МО'!D415</f>
        <v>4869</v>
      </c>
      <c r="G417" s="14" t="n">
        <f aca="false">INDEX('Расчет Кплотн'!$K:$K,MATCH(D417,'Расчет Кплотн'!$A:$A,0))</f>
        <v>1.5</v>
      </c>
      <c r="H417" s="14" t="n">
        <f aca="false">INDEX('Расчет Кплотн'!$J:$J,MATCH(D417,'Расчет Кплотн'!$A:$A,0))</f>
        <v>1.5</v>
      </c>
      <c r="I417" s="3" t="n">
        <f aca="false">F417*Моделирование!$F$3*M417*G417/1000</f>
        <v>147779.31114</v>
      </c>
      <c r="J417" s="3" t="n">
        <f aca="false">F417*Моделирование!$F$3*M417*H417/1000</f>
        <v>147779.31114</v>
      </c>
      <c r="K417" s="3" t="n">
        <f aca="false">J417-I417</f>
        <v>0</v>
      </c>
      <c r="L417" s="4" t="n">
        <f aca="false">IFERROR(K417/I417,0)</f>
        <v>0</v>
      </c>
      <c r="M417" s="15" t="n">
        <f aca="false">IF(INDEX('Расчет Кплотн'!$D:$D,MATCH(D417,'Расчет Кплотн'!$A:$A,0))="район",IFERROR(VLOOKUP(INDEX('Расчет Кплотн'!$B:$B,MATCH(D417,'Расчет Кплотн'!$A:$A,0)),'БКПН (приказ 170)'!$A$4:$C$10,3,FALSE()),Моделирование!$F$2),Моделирование!$F$2)</f>
        <v>1686.17</v>
      </c>
    </row>
    <row r="418" customFormat="false" ht="15" hidden="false" customHeight="false" outlineLevel="0" collapsed="false">
      <c r="A418" s="12" t="n">
        <v>413</v>
      </c>
      <c r="B418" s="12" t="str">
        <f aca="false">'РПН 01.08 по МО'!B416</f>
        <v>КОСТАНАЙСКАЯ</v>
      </c>
      <c r="C418" s="12" t="str">
        <f aca="false">'РПН 01.08 по МО'!C416</f>
        <v>КОММУНАЛЬНОЕ ГОСУДАРСТВЕННОЕ ПРЕДПРИЯТИЕ «АЛТЫНСАРИНСКАЯ РАЙОННАЯ БОЛЬНИЦА» УПРАВЛЕНИЯ ЗДРАВООХРАНЕНИЯ АКИМАТА КОСТАНАЙСКОЙ ОБЛАСТИ</v>
      </c>
      <c r="D418" s="12" t="str">
        <f aca="false">'РПН 01.08 по МО'!E416</f>
        <v>3932</v>
      </c>
      <c r="E418" s="12" t="str">
        <f aca="false">'РПН 01.08 по МО'!F416</f>
        <v>Алтынсаринский район</v>
      </c>
      <c r="F418" s="13" t="n">
        <f aca="false">'РПН 01.08 по МО'!D416</f>
        <v>9562</v>
      </c>
      <c r="G418" s="14" t="n">
        <f aca="false">INDEX('Расчет Кплотн'!$K:$K,MATCH(D418,'Расчет Кплотн'!$A:$A,0))</f>
        <v>1.8963</v>
      </c>
      <c r="H418" s="14" t="n">
        <f aca="false">INDEX('Расчет Кплотн'!$J:$J,MATCH(D418,'Расчет Кплотн'!$A:$A,0))</f>
        <v>2</v>
      </c>
      <c r="I418" s="3" t="n">
        <f aca="false">F418*Моделирование!$F$3*M418*G418/1000</f>
        <v>366892.123717224</v>
      </c>
      <c r="J418" s="3" t="n">
        <f aca="false">F418*Моделирование!$F$3*M418*H418/1000</f>
        <v>386955.78096</v>
      </c>
      <c r="K418" s="3" t="n">
        <f aca="false">J418-I418</f>
        <v>20063.657242776</v>
      </c>
      <c r="L418" s="4" t="n">
        <f aca="false">IFERROR(K418/I418,0)</f>
        <v>0.0546854400674999</v>
      </c>
      <c r="M418" s="15" t="n">
        <f aca="false">IF(INDEX('Расчет Кплотн'!$D:$D,MATCH(D418,'Расчет Кплотн'!$A:$A,0))="район",IFERROR(VLOOKUP(INDEX('Расчет Кплотн'!$B:$B,MATCH(D418,'Расчет Кплотн'!$A:$A,0)),'БКПН (приказ 170)'!$A$4:$C$10,3,FALSE()),Моделирование!$F$2),Моделирование!$F$2)</f>
        <v>1686.17</v>
      </c>
    </row>
    <row r="419" customFormat="false" ht="15" hidden="false" customHeight="false" outlineLevel="0" collapsed="false">
      <c r="A419" s="12" t="n">
        <v>414</v>
      </c>
      <c r="B419" s="12" t="str">
        <f aca="false">'РПН 01.08 по МО'!B417</f>
        <v>КОСТАНАЙСКАЯ</v>
      </c>
      <c r="C419" s="12" t="str">
        <f aca="false">'РПН 01.08 по МО'!C417</f>
        <v>ТОО "Костанайская железнодорожная больница"</v>
      </c>
      <c r="D419" s="12" t="str">
        <f aca="false">'РПН 01.08 по МО'!E417</f>
        <v>3910</v>
      </c>
      <c r="E419" s="12" t="str">
        <f aca="false">'РПН 01.08 по МО'!F417</f>
        <v>Костанай</v>
      </c>
      <c r="F419" s="13" t="n">
        <f aca="false">'РПН 01.08 по МО'!D417</f>
        <v>6110</v>
      </c>
      <c r="G419" s="14" t="n">
        <f aca="false">INDEX('Расчет Кплотн'!$K:$K,MATCH(D419,'Расчет Кплотн'!$A:$A,0))</f>
        <v>1</v>
      </c>
      <c r="H419" s="14" t="n">
        <f aca="false">INDEX('Расчет Кплотн'!$J:$J,MATCH(D419,'Расчет Кплотн'!$A:$A,0))</f>
        <v>1</v>
      </c>
      <c r="I419" s="3" t="n">
        <f aca="false">F419*Моделирование!$F$3*M419*G419/1000</f>
        <v>123629.9844</v>
      </c>
      <c r="J419" s="3" t="n">
        <f aca="false">F419*Моделирование!$F$3*M419*H419/1000</f>
        <v>123629.9844</v>
      </c>
      <c r="K419" s="3" t="n">
        <f aca="false">J419-I419</f>
        <v>0</v>
      </c>
      <c r="L419" s="4" t="n">
        <f aca="false">IFERROR(K419/I419,0)</f>
        <v>0</v>
      </c>
      <c r="M419" s="15" t="n">
        <f aca="false">IF(INDEX('Расчет Кплотн'!$D:$D,MATCH(D419,'Расчет Кплотн'!$A:$A,0))="район",IFERROR(VLOOKUP(INDEX('Расчет Кплотн'!$B:$B,MATCH(D419,'Расчет Кплотн'!$A:$A,0)),'БКПН (приказ 170)'!$A$4:$C$10,3,FALSE()),Моделирование!$F$2),Моделирование!$F$2)</f>
        <v>1686.17</v>
      </c>
    </row>
    <row r="420" customFormat="false" ht="15" hidden="false" customHeight="false" outlineLevel="0" collapsed="false">
      <c r="A420" s="12" t="n">
        <v>415</v>
      </c>
      <c r="B420" s="12" t="str">
        <f aca="false">'РПН 01.08 по МО'!B418</f>
        <v>КОСТАНАЙСКАЯ</v>
      </c>
      <c r="C420" s="12" t="str">
        <f aca="false">'РПН 01.08 по МО'!C418</f>
        <v>ТОО "Поликлиника №2 города Рудный"</v>
      </c>
      <c r="D420" s="12" t="str">
        <f aca="false">'РПН 01.08 по МО'!E418</f>
        <v>3924</v>
      </c>
      <c r="E420" s="12" t="str">
        <f aca="false">'РПН 01.08 по МО'!F418</f>
        <v>Рудный</v>
      </c>
      <c r="F420" s="13" t="n">
        <f aca="false">'РПН 01.08 по МО'!D418</f>
        <v>26522</v>
      </c>
      <c r="G420" s="14" t="n">
        <f aca="false">INDEX('Расчет Кплотн'!$K:$K,MATCH(D420,'Расчет Кплотн'!$A:$A,0))</f>
        <v>1.5</v>
      </c>
      <c r="H420" s="14" t="n">
        <f aca="false">INDEX('Расчет Кплотн'!$J:$J,MATCH(D420,'Расчет Кплотн'!$A:$A,0))</f>
        <v>1.5</v>
      </c>
      <c r="I420" s="3" t="n">
        <f aca="false">F420*Моделирование!$F$3*M420*G420/1000</f>
        <v>804970.81332</v>
      </c>
      <c r="J420" s="3" t="n">
        <f aca="false">F420*Моделирование!$F$3*M420*H420/1000</f>
        <v>804970.81332</v>
      </c>
      <c r="K420" s="3" t="n">
        <f aca="false">J420-I420</f>
        <v>0</v>
      </c>
      <c r="L420" s="4" t="n">
        <f aca="false">IFERROR(K420/I420,0)</f>
        <v>0</v>
      </c>
      <c r="M420" s="15" t="n">
        <f aca="false">IF(INDEX('Расчет Кплотн'!$D:$D,MATCH(D420,'Расчет Кплотн'!$A:$A,0))="район",IFERROR(VLOOKUP(INDEX('Расчет Кплотн'!$B:$B,MATCH(D420,'Расчет Кплотн'!$A:$A,0)),'БКПН (приказ 170)'!$A$4:$C$10,3,FALSE()),Моделирование!$F$2),Моделирование!$F$2)</f>
        <v>1686.17</v>
      </c>
    </row>
    <row r="421" customFormat="false" ht="15" hidden="false" customHeight="false" outlineLevel="0" collapsed="false">
      <c r="A421" s="12" t="n">
        <v>416</v>
      </c>
      <c r="B421" s="12" t="str">
        <f aca="false">'РПН 01.08 по МО'!B419</f>
        <v>КОСТАНАЙСКАЯ</v>
      </c>
      <c r="C421" s="12" t="str">
        <f aca="false">'РПН 01.08 по МО'!C419</f>
        <v>ТОО "Поликлиника №5 города Костанай"</v>
      </c>
      <c r="D421" s="12" t="str">
        <f aca="false">'РПН 01.08 по МО'!E419</f>
        <v>3910</v>
      </c>
      <c r="E421" s="12" t="str">
        <f aca="false">'РПН 01.08 по МО'!F419</f>
        <v>Костанай</v>
      </c>
      <c r="F421" s="13" t="n">
        <f aca="false">'РПН 01.08 по МО'!D419</f>
        <v>51517</v>
      </c>
      <c r="G421" s="14" t="n">
        <f aca="false">INDEX('Расчет Кплотн'!$K:$K,MATCH(D421,'Расчет Кплотн'!$A:$A,0))</f>
        <v>1</v>
      </c>
      <c r="H421" s="14" t="n">
        <f aca="false">INDEX('Расчет Кплотн'!$J:$J,MATCH(D421,'Расчет Кплотн'!$A:$A,0))</f>
        <v>1</v>
      </c>
      <c r="I421" s="3" t="n">
        <f aca="false">F421*Моделирование!$F$3*M421*G421/1000</f>
        <v>1042397.03868</v>
      </c>
      <c r="J421" s="3" t="n">
        <f aca="false">F421*Моделирование!$F$3*M421*H421/1000</f>
        <v>1042397.03868</v>
      </c>
      <c r="K421" s="3" t="n">
        <f aca="false">J421-I421</f>
        <v>0</v>
      </c>
      <c r="L421" s="4" t="n">
        <f aca="false">IFERROR(K421/I421,0)</f>
        <v>0</v>
      </c>
      <c r="M421" s="15" t="n">
        <f aca="false">IF(INDEX('Расчет Кплотн'!$D:$D,MATCH(D421,'Расчет Кплотн'!$A:$A,0))="район",IFERROR(VLOOKUP(INDEX('Расчет Кплотн'!$B:$B,MATCH(D421,'Расчет Кплотн'!$A:$A,0)),'БКПН (приказ 170)'!$A$4:$C$10,3,FALSE()),Моделирование!$F$2),Моделирование!$F$2)</f>
        <v>1686.17</v>
      </c>
    </row>
    <row r="422" customFormat="false" ht="15" hidden="false" customHeight="false" outlineLevel="0" collapsed="false">
      <c r="A422" s="12" t="n">
        <v>417</v>
      </c>
      <c r="B422" s="12" t="str">
        <f aca="false">'РПН 01.08 по МО'!B420</f>
        <v>КОСТАНАЙСКАЯ</v>
      </c>
      <c r="C422" s="12" t="str">
        <f aca="false">'РПН 01.08 по МО'!C420</f>
        <v>ТОО "Поликлиника №6 города Костанай"</v>
      </c>
      <c r="D422" s="12" t="str">
        <f aca="false">'РПН 01.08 по МО'!E420</f>
        <v>3910</v>
      </c>
      <c r="E422" s="12" t="str">
        <f aca="false">'РПН 01.08 по МО'!F420</f>
        <v>Костанай</v>
      </c>
      <c r="F422" s="13" t="n">
        <f aca="false">'РПН 01.08 по МО'!D420</f>
        <v>45373</v>
      </c>
      <c r="G422" s="14" t="n">
        <f aca="false">INDEX('Расчет Кплотн'!$K:$K,MATCH(D422,'Расчет Кплотн'!$A:$A,0))</f>
        <v>1</v>
      </c>
      <c r="H422" s="14" t="n">
        <f aca="false">INDEX('Расчет Кплотн'!$J:$J,MATCH(D422,'Расчет Кплотн'!$A:$A,0))</f>
        <v>1</v>
      </c>
      <c r="I422" s="3" t="n">
        <f aca="false">F422*Моделирование!$F$3*M422*G422/1000</f>
        <v>918079.09692</v>
      </c>
      <c r="J422" s="3" t="n">
        <f aca="false">F422*Моделирование!$F$3*M422*H422/1000</f>
        <v>918079.09692</v>
      </c>
      <c r="K422" s="3" t="n">
        <f aca="false">J422-I422</f>
        <v>0</v>
      </c>
      <c r="L422" s="4" t="n">
        <f aca="false">IFERROR(K422/I422,0)</f>
        <v>0</v>
      </c>
      <c r="M422" s="15" t="n">
        <f aca="false">IF(INDEX('Расчет Кплотн'!$D:$D,MATCH(D422,'Расчет Кплотн'!$A:$A,0))="район",IFERROR(VLOOKUP(INDEX('Расчет Кплотн'!$B:$B,MATCH(D422,'Расчет Кплотн'!$A:$A,0)),'БКПН (приказ 170)'!$A$4:$C$10,3,FALSE()),Моделирование!$F$2),Моделирование!$F$2)</f>
        <v>1686.17</v>
      </c>
    </row>
    <row r="423" customFormat="false" ht="15" hidden="false" customHeight="false" outlineLevel="0" collapsed="false">
      <c r="A423" s="12" t="n">
        <v>418</v>
      </c>
      <c r="B423" s="12" t="str">
        <f aca="false">'РПН 01.08 по МО'!B421</f>
        <v>КОСТАНАЙСКАЯ</v>
      </c>
      <c r="C423" s="12" t="str">
        <f aca="false">'РПН 01.08 по МО'!C421</f>
        <v>КГП "Сарыкольская районная больница" Управления здравоохранения акимата Костанайской области</v>
      </c>
      <c r="D423" s="12" t="str">
        <f aca="false">'РПН 01.08 по МО'!E421</f>
        <v>3962</v>
      </c>
      <c r="E423" s="12" t="str">
        <f aca="false">'РПН 01.08 по МО'!F421</f>
        <v>Сарыкольский район</v>
      </c>
      <c r="F423" s="13" t="n">
        <f aca="false">'РПН 01.08 по МО'!D421</f>
        <v>14198</v>
      </c>
      <c r="G423" s="14" t="n">
        <f aca="false">INDEX('Расчет Кплотн'!$K:$K,MATCH(D423,'Расчет Кплотн'!$A:$A,0))</f>
        <v>1.7216</v>
      </c>
      <c r="H423" s="14" t="n">
        <f aca="false">INDEX('Расчет Кплотн'!$J:$J,MATCH(D423,'Расчет Кплотн'!$A:$A,0))</f>
        <v>2</v>
      </c>
      <c r="I423" s="3" t="n">
        <f aca="false">F423*Моделирование!$F$3*M423*G423/1000</f>
        <v>494586.240502272</v>
      </c>
      <c r="J423" s="3" t="n">
        <f aca="false">F423*Моделирование!$F$3*M423*H423/1000</f>
        <v>574565.79984</v>
      </c>
      <c r="K423" s="3" t="n">
        <f aca="false">J423-I423</f>
        <v>79979.559337728</v>
      </c>
      <c r="L423" s="4" t="n">
        <f aca="false">IFERROR(K423/I423,0)</f>
        <v>0.161710037174721</v>
      </c>
      <c r="M423" s="15" t="n">
        <f aca="false">IF(INDEX('Расчет Кплотн'!$D:$D,MATCH(D423,'Расчет Кплотн'!$A:$A,0))="район",IFERROR(VLOOKUP(INDEX('Расчет Кплотн'!$B:$B,MATCH(D423,'Расчет Кплотн'!$A:$A,0)),'БКПН (приказ 170)'!$A$4:$C$10,3,FALSE()),Моделирование!$F$2),Моделирование!$F$2)</f>
        <v>1686.17</v>
      </c>
    </row>
    <row r="424" customFormat="false" ht="15" hidden="false" customHeight="false" outlineLevel="0" collapsed="false">
      <c r="A424" s="12" t="n">
        <v>419</v>
      </c>
      <c r="B424" s="12" t="str">
        <f aca="false">'РПН 01.08 по МО'!B422</f>
        <v>КОСТАНАЙСКАЯ</v>
      </c>
      <c r="C424" s="12" t="str">
        <f aca="false">'РПН 01.08 по МО'!C422</f>
        <v>Коммунальное государственное предприятие "Мендыкаринская районная больница" Управления здравоохранения акимата Костанайской области</v>
      </c>
      <c r="D424" s="12" t="str">
        <f aca="false">'РПН 01.08 по МО'!E422</f>
        <v>3956</v>
      </c>
      <c r="E424" s="12" t="str">
        <f aca="false">'РПН 01.08 по МО'!F422</f>
        <v>Мендыкаринский район</v>
      </c>
      <c r="F424" s="13" t="n">
        <f aca="false">'РПН 01.08 по МО'!D422</f>
        <v>16270</v>
      </c>
      <c r="G424" s="14" t="n">
        <f aca="false">INDEX('Расчет Кплотн'!$K:$K,MATCH(D424,'Расчет Кплотн'!$A:$A,0))</f>
        <v>1.6163</v>
      </c>
      <c r="H424" s="14" t="n">
        <f aca="false">INDEX('Расчет Кплотн'!$J:$J,MATCH(D424,'Расчет Кплотн'!$A:$A,0))</f>
        <v>2</v>
      </c>
      <c r="I424" s="3" t="n">
        <f aca="false">F424*Моделирование!$F$3*M424*G424/1000</f>
        <v>532098.61692204</v>
      </c>
      <c r="J424" s="3" t="n">
        <f aca="false">F424*Моделирование!$F$3*M424*H424/1000</f>
        <v>658415.6616</v>
      </c>
      <c r="K424" s="3" t="n">
        <f aca="false">J424-I424</f>
        <v>126317.04467796</v>
      </c>
      <c r="L424" s="4" t="n">
        <f aca="false">IFERROR(K424/I424,0)</f>
        <v>0.237394048134628</v>
      </c>
      <c r="M424" s="15" t="n">
        <f aca="false">IF(INDEX('Расчет Кплотн'!$D:$D,MATCH(D424,'Расчет Кплотн'!$A:$A,0))="район",IFERROR(VLOOKUP(INDEX('Расчет Кплотн'!$B:$B,MATCH(D424,'Расчет Кплотн'!$A:$A,0)),'БКПН (приказ 170)'!$A$4:$C$10,3,FALSE()),Моделирование!$F$2),Моделирование!$F$2)</f>
        <v>1686.17</v>
      </c>
    </row>
    <row r="425" customFormat="false" ht="15" hidden="false" customHeight="false" outlineLevel="0" collapsed="false">
      <c r="A425" s="12" t="n">
        <v>420</v>
      </c>
      <c r="B425" s="12" t="str">
        <f aca="false">'РПН 01.08 по МО'!B423</f>
        <v>КОСТАНАЙСКАЯ</v>
      </c>
      <c r="C425" s="12" t="str">
        <f aca="false">'РПН 01.08 по МО'!C423</f>
        <v>КГП "Рудненская городская поликлиника" Управления здравоохранения акимата Костанайской области</v>
      </c>
      <c r="D425" s="12" t="str">
        <f aca="false">'РПН 01.08 по МО'!E423</f>
        <v>3924</v>
      </c>
      <c r="E425" s="12" t="str">
        <f aca="false">'РПН 01.08 по МО'!F423</f>
        <v>Рудный</v>
      </c>
      <c r="F425" s="13" t="n">
        <f aca="false">'РПН 01.08 по МО'!D423</f>
        <v>83520</v>
      </c>
      <c r="G425" s="14" t="n">
        <f aca="false">INDEX('Расчет Кплотн'!$K:$K,MATCH(D425,'Расчет Кплотн'!$A:$A,0))</f>
        <v>1.5</v>
      </c>
      <c r="H425" s="14" t="n">
        <f aca="false">INDEX('Расчет Кплотн'!$J:$J,MATCH(D425,'Расчет Кплотн'!$A:$A,0))</f>
        <v>1.5</v>
      </c>
      <c r="I425" s="3" t="n">
        <f aca="false">F425*Моделирование!$F$3*M425*G425/1000</f>
        <v>2534920.5312</v>
      </c>
      <c r="J425" s="3" t="n">
        <f aca="false">F425*Моделирование!$F$3*M425*H425/1000</f>
        <v>2534920.5312</v>
      </c>
      <c r="K425" s="3" t="n">
        <f aca="false">J425-I425</f>
        <v>0</v>
      </c>
      <c r="L425" s="4" t="n">
        <f aca="false">IFERROR(K425/I425,0)</f>
        <v>0</v>
      </c>
      <c r="M425" s="15" t="n">
        <f aca="false">IF(INDEX('Расчет Кплотн'!$D:$D,MATCH(D425,'Расчет Кплотн'!$A:$A,0))="район",IFERROR(VLOOKUP(INDEX('Расчет Кплотн'!$B:$B,MATCH(D425,'Расчет Кплотн'!$A:$A,0)),'БКПН (приказ 170)'!$A$4:$C$10,3,FALSE()),Моделирование!$F$2),Моделирование!$F$2)</f>
        <v>1686.17</v>
      </c>
    </row>
    <row r="426" customFormat="false" ht="15" hidden="false" customHeight="false" outlineLevel="0" collapsed="false">
      <c r="A426" s="12" t="n">
        <v>421</v>
      </c>
      <c r="B426" s="12" t="str">
        <f aca="false">'РПН 01.08 по МО'!B424</f>
        <v>КОСТАНАЙСКАЯ</v>
      </c>
      <c r="C426" s="12" t="str">
        <f aca="false">'РПН 01.08 по МО'!C424</f>
        <v>ТОО "ECO CITY KZ (ЭКО СИТИ КЗ)"</v>
      </c>
      <c r="D426" s="12" t="str">
        <f aca="false">'РПН 01.08 по МО'!E424</f>
        <v>3954</v>
      </c>
      <c r="E426" s="12" t="str">
        <f aca="false">'РПН 01.08 по МО'!F424</f>
        <v>Костанайский район</v>
      </c>
      <c r="F426" s="13" t="n">
        <f aca="false">'РПН 01.08 по МО'!D424</f>
        <v>8477</v>
      </c>
      <c r="G426" s="14" t="n">
        <f aca="false">INDEX('Расчет Кплотн'!$K:$K,MATCH(D426,'Расчет Кплотн'!$A:$A,0))</f>
        <v>1.2078</v>
      </c>
      <c r="H426" s="14" t="n">
        <f aca="false">INDEX('Расчет Кплотн'!$J:$J,MATCH(D426,'Расчет Кплотн'!$A:$A,0))</f>
        <v>1.6486</v>
      </c>
      <c r="I426" s="3" t="n">
        <f aca="false">F426*Моделирование!$F$3*M426*G426/1000</f>
        <v>207166.635361224</v>
      </c>
      <c r="J426" s="3" t="n">
        <f aca="false">F426*Моделирование!$F$3*M426*H426/1000</f>
        <v>282774.395642088</v>
      </c>
      <c r="K426" s="3" t="n">
        <f aca="false">J426-I426</f>
        <v>75607.760280864</v>
      </c>
      <c r="L426" s="4" t="n">
        <f aca="false">IFERROR(K426/I426,0)</f>
        <v>0.364961086272562</v>
      </c>
      <c r="M426" s="15" t="n">
        <f aca="false">IF(INDEX('Расчет Кплотн'!$D:$D,MATCH(D426,'Расчет Кплотн'!$A:$A,0))="район",IFERROR(VLOOKUP(INDEX('Расчет Кплотн'!$B:$B,MATCH(D426,'Расчет Кплотн'!$A:$A,0)),'БКПН (приказ 170)'!$A$4:$C$10,3,FALSE()),Моделирование!$F$2),Моделирование!$F$2)</f>
        <v>1686.17</v>
      </c>
    </row>
    <row r="427" customFormat="false" ht="15" hidden="false" customHeight="false" outlineLevel="0" collapsed="false">
      <c r="A427" s="12" t="n">
        <v>422</v>
      </c>
      <c r="B427" s="12" t="str">
        <f aca="false">'РПН 01.08 по МО'!B425</f>
        <v>КОСТАНАЙСКАЯ</v>
      </c>
      <c r="C427" s="12" t="str">
        <f aca="false">'РПН 01.08 по МО'!C425</f>
        <v>КГП "Поликлиника № 4 города Костанай" Управления здравоохранения акимата Костанайской области</v>
      </c>
      <c r="D427" s="12" t="str">
        <f aca="false">'РПН 01.08 по МО'!E425</f>
        <v>3910</v>
      </c>
      <c r="E427" s="12" t="str">
        <f aca="false">'РПН 01.08 по МО'!F425</f>
        <v>Костанай</v>
      </c>
      <c r="F427" s="13" t="n">
        <f aca="false">'РПН 01.08 по МО'!D425</f>
        <v>58260</v>
      </c>
      <c r="G427" s="14" t="n">
        <f aca="false">INDEX('Расчет Кплотн'!$K:$K,MATCH(D427,'Расчет Кплотн'!$A:$A,0))</f>
        <v>1</v>
      </c>
      <c r="H427" s="14" t="n">
        <f aca="false">INDEX('Расчет Кплотн'!$J:$J,MATCH(D427,'Расчет Кплотн'!$A:$A,0))</f>
        <v>1</v>
      </c>
      <c r="I427" s="3" t="n">
        <f aca="false">F427*Моделирование!$F$3*M427*G427/1000</f>
        <v>1178835.1704</v>
      </c>
      <c r="J427" s="3" t="n">
        <f aca="false">F427*Моделирование!$F$3*M427*H427/1000</f>
        <v>1178835.1704</v>
      </c>
      <c r="K427" s="3" t="n">
        <f aca="false">J427-I427</f>
        <v>0</v>
      </c>
      <c r="L427" s="4" t="n">
        <f aca="false">IFERROR(K427/I427,0)</f>
        <v>0</v>
      </c>
      <c r="M427" s="15" t="n">
        <f aca="false">IF(INDEX('Расчет Кплотн'!$D:$D,MATCH(D427,'Расчет Кплотн'!$A:$A,0))="район",IFERROR(VLOOKUP(INDEX('Расчет Кплотн'!$B:$B,MATCH(D427,'Расчет Кплотн'!$A:$A,0)),'БКПН (приказ 170)'!$A$4:$C$10,3,FALSE()),Моделирование!$F$2),Моделирование!$F$2)</f>
        <v>1686.17</v>
      </c>
    </row>
    <row r="428" customFormat="false" ht="15" hidden="false" customHeight="false" outlineLevel="0" collapsed="false">
      <c r="A428" s="12" t="n">
        <v>423</v>
      </c>
      <c r="B428" s="12" t="str">
        <f aca="false">'РПН 01.08 по МО'!B426</f>
        <v>КОСТАНАЙСКАЯ</v>
      </c>
      <c r="C428" s="12" t="str">
        <f aca="false">'РПН 01.08 по МО'!C426</f>
        <v>КГП "Аркалыкская региональная больница" Управления здравоохранения акимата Костанайской области</v>
      </c>
      <c r="D428" s="12" t="str">
        <f aca="false">'РПН 01.08 по МО'!E426</f>
        <v>3916</v>
      </c>
      <c r="E428" s="12" t="str">
        <f aca="false">'РПН 01.08 по МО'!F426</f>
        <v>Аркалык</v>
      </c>
      <c r="F428" s="13" t="n">
        <f aca="false">'РПН 01.08 по МО'!D426</f>
        <v>28807</v>
      </c>
      <c r="G428" s="14" t="n">
        <f aca="false">INDEX('Расчет Кплотн'!$K:$K,MATCH(D428,'Расчет Кплотн'!$A:$A,0))</f>
        <v>1.5</v>
      </c>
      <c r="H428" s="14" t="n">
        <f aca="false">INDEX('Расчет Кплотн'!$J:$J,MATCH(D428,'Расчет Кплотн'!$A:$A,0))</f>
        <v>1.5</v>
      </c>
      <c r="I428" s="3" t="n">
        <f aca="false">F428*Моделирование!$F$3*M428*G428/1000</f>
        <v>874322.98542</v>
      </c>
      <c r="J428" s="3" t="n">
        <f aca="false">F428*Моделирование!$F$3*M428*H428/1000</f>
        <v>874322.98542</v>
      </c>
      <c r="K428" s="3" t="n">
        <f aca="false">J428-I428</f>
        <v>0</v>
      </c>
      <c r="L428" s="4" t="n">
        <f aca="false">IFERROR(K428/I428,0)</f>
        <v>0</v>
      </c>
      <c r="M428" s="15" t="n">
        <f aca="false">IF(INDEX('Расчет Кплотн'!$D:$D,MATCH(D428,'Расчет Кплотн'!$A:$A,0))="район",IFERROR(VLOOKUP(INDEX('Расчет Кплотн'!$B:$B,MATCH(D428,'Расчет Кплотн'!$A:$A,0)),'БКПН (приказ 170)'!$A$4:$C$10,3,FALSE()),Моделирование!$F$2),Моделирование!$F$2)</f>
        <v>1686.17</v>
      </c>
    </row>
    <row r="429" customFormat="false" ht="15" hidden="false" customHeight="false" outlineLevel="0" collapsed="false">
      <c r="A429" s="12" t="n">
        <v>424</v>
      </c>
      <c r="B429" s="12" t="str">
        <f aca="false">'РПН 01.08 по МО'!B427</f>
        <v>КОСТАНАЙСКАЯ</v>
      </c>
      <c r="C429" s="12" t="str">
        <f aca="false">'РПН 01.08 по МО'!C427</f>
        <v>КГП "Денисовская районная больница" Управления здравоохранения акимата Костанайской области</v>
      </c>
      <c r="D429" s="12" t="str">
        <f aca="false">'РПН 01.08 по МО'!E427</f>
        <v>3940</v>
      </c>
      <c r="E429" s="12" t="str">
        <f aca="false">'РПН 01.08 по МО'!F427</f>
        <v>Денисовский район</v>
      </c>
      <c r="F429" s="13" t="n">
        <f aca="false">'РПН 01.08 по МО'!D427</f>
        <v>13529</v>
      </c>
      <c r="G429" s="14" t="n">
        <f aca="false">INDEX('Расчет Кплотн'!$K:$K,MATCH(D429,'Расчет Кплотн'!$A:$A,0))</f>
        <v>1.85</v>
      </c>
      <c r="H429" s="14" t="n">
        <f aca="false">INDEX('Расчет Кплотн'!$J:$J,MATCH(D429,'Расчет Кплотн'!$A:$A,0))</f>
        <v>2</v>
      </c>
      <c r="I429" s="3" t="n">
        <f aca="false">F429*Моделирование!$F$3*M429*G429/1000</f>
        <v>506430.705246</v>
      </c>
      <c r="J429" s="3" t="n">
        <f aca="false">F429*Моделирование!$F$3*M429*H429/1000</f>
        <v>547492.65432</v>
      </c>
      <c r="K429" s="3" t="n">
        <f aca="false">J429-I429</f>
        <v>41061.9490740001</v>
      </c>
      <c r="L429" s="4" t="n">
        <f aca="false">IFERROR(K429/I429,0)</f>
        <v>0.0810810810810812</v>
      </c>
      <c r="M429" s="15" t="n">
        <f aca="false">IF(INDEX('Расчет Кплотн'!$D:$D,MATCH(D429,'Расчет Кплотн'!$A:$A,0))="район",IFERROR(VLOOKUP(INDEX('Расчет Кплотн'!$B:$B,MATCH(D429,'Расчет Кплотн'!$A:$A,0)),'БКПН (приказ 170)'!$A$4:$C$10,3,FALSE()),Моделирование!$F$2),Моделирование!$F$2)</f>
        <v>1686.17</v>
      </c>
    </row>
    <row r="430" customFormat="false" ht="15" hidden="false" customHeight="false" outlineLevel="0" collapsed="false">
      <c r="A430" s="12" t="n">
        <v>425</v>
      </c>
      <c r="B430" s="12" t="str">
        <f aca="false">'РПН 01.08 по МО'!B428</f>
        <v>КОСТАНАЙСКАЯ</v>
      </c>
      <c r="C430" s="12" t="str">
        <f aca="false">'РПН 01.08 по МО'!C428</f>
        <v>КГП "Карабалыкская районная больница" Управления здравоохранения акимата Костанайской области</v>
      </c>
      <c r="D430" s="12" t="str">
        <f aca="false">'РПН 01.08 по МО'!E428</f>
        <v>3950</v>
      </c>
      <c r="E430" s="12" t="str">
        <f aca="false">'РПН 01.08 по МО'!F428</f>
        <v>Карабалыкский район</v>
      </c>
      <c r="F430" s="13" t="n">
        <f aca="false">'РПН 01.08 по МО'!D428</f>
        <v>20163</v>
      </c>
      <c r="G430" s="14" t="n">
        <f aca="false">INDEX('Расчет Кплотн'!$K:$K,MATCH(D430,'Расчет Кплотн'!$A:$A,0))</f>
        <v>1.5805</v>
      </c>
      <c r="H430" s="14" t="n">
        <f aca="false">INDEX('Расчет Кплотн'!$J:$J,MATCH(D430,'Расчет Кплотн'!$A:$A,0))</f>
        <v>2</v>
      </c>
      <c r="I430" s="3" t="n">
        <f aca="false">F430*Моделирование!$F$3*M430*G430/1000</f>
        <v>644810.72813586</v>
      </c>
      <c r="J430" s="3" t="n">
        <f aca="false">F430*Моделирование!$F$3*M430*H430/1000</f>
        <v>815957.89704</v>
      </c>
      <c r="K430" s="3" t="n">
        <f aca="false">J430-I430</f>
        <v>171147.16890414</v>
      </c>
      <c r="L430" s="4" t="n">
        <f aca="false">IFERROR(K430/I430,0)</f>
        <v>0.265422334704208</v>
      </c>
      <c r="M430" s="15" t="n">
        <f aca="false">IF(INDEX('Расчет Кплотн'!$D:$D,MATCH(D430,'Расчет Кплотн'!$A:$A,0))="район",IFERROR(VLOOKUP(INDEX('Расчет Кплотн'!$B:$B,MATCH(D430,'Расчет Кплотн'!$A:$A,0)),'БКПН (приказ 170)'!$A$4:$C$10,3,FALSE()),Моделирование!$F$2),Моделирование!$F$2)</f>
        <v>1686.17</v>
      </c>
    </row>
    <row r="431" customFormat="false" ht="15" hidden="false" customHeight="false" outlineLevel="0" collapsed="false">
      <c r="A431" s="12" t="n">
        <v>426</v>
      </c>
      <c r="B431" s="12" t="str">
        <f aca="false">'РПН 01.08 по МО'!B429</f>
        <v>КОСТАНАЙСКАЯ</v>
      </c>
      <c r="C431" s="12" t="str">
        <f aca="false">'РПН 01.08 по МО'!C429</f>
        <v>КГП "Карасуская районная больница" Управления здравоохранения акимата Костанайской области"</v>
      </c>
      <c r="D431" s="12" t="str">
        <f aca="false">'РПН 01.08 по МО'!E429</f>
        <v>3952</v>
      </c>
      <c r="E431" s="12" t="str">
        <f aca="false">'РПН 01.08 по МО'!F429</f>
        <v>Карасуский район</v>
      </c>
      <c r="F431" s="13" t="n">
        <f aca="false">'РПН 01.08 по МО'!D429</f>
        <v>9371</v>
      </c>
      <c r="G431" s="14" t="n">
        <f aca="false">INDEX('Расчет Кплотн'!$K:$K,MATCH(D431,'Расчет Кплотн'!$A:$A,0))</f>
        <v>2</v>
      </c>
      <c r="H431" s="14" t="n">
        <f aca="false">INDEX('Расчет Кплотн'!$J:$J,MATCH(D431,'Расчет Кплотн'!$A:$A,0))</f>
        <v>2</v>
      </c>
      <c r="I431" s="3" t="n">
        <f aca="false">F431*Моделирование!$F$3*M431*G431/1000</f>
        <v>379226.37768</v>
      </c>
      <c r="J431" s="3" t="n">
        <f aca="false">F431*Моделирование!$F$3*M431*H431/1000</f>
        <v>379226.37768</v>
      </c>
      <c r="K431" s="3" t="n">
        <f aca="false">J431-I431</f>
        <v>0</v>
      </c>
      <c r="L431" s="4" t="n">
        <f aca="false">IFERROR(K431/I431,0)</f>
        <v>0</v>
      </c>
      <c r="M431" s="15" t="n">
        <f aca="false">IF(INDEX('Расчет Кплотн'!$D:$D,MATCH(D431,'Расчет Кплотн'!$A:$A,0))="район",IFERROR(VLOOKUP(INDEX('Расчет Кплотн'!$B:$B,MATCH(D431,'Расчет Кплотн'!$A:$A,0)),'БКПН (приказ 170)'!$A$4:$C$10,3,FALSE()),Моделирование!$F$2),Моделирование!$F$2)</f>
        <v>1686.17</v>
      </c>
    </row>
    <row r="432" customFormat="false" ht="15" hidden="false" customHeight="false" outlineLevel="0" collapsed="false">
      <c r="A432" s="12" t="n">
        <v>427</v>
      </c>
      <c r="B432" s="12" t="str">
        <f aca="false">'РПН 01.08 по МО'!B430</f>
        <v>КОСТАНАЙСКАЯ</v>
      </c>
      <c r="C432" s="12" t="str">
        <f aca="false">'РПН 01.08 по МО'!C430</f>
        <v>КГП "Районная больница района Беимбета Майлина" Управления здравоохранения акимата Костанайской области</v>
      </c>
      <c r="D432" s="12" t="str">
        <f aca="false">'РПН 01.08 по МО'!E430</f>
        <v>3964</v>
      </c>
      <c r="E432" s="12" t="str">
        <f aca="false">'РПН 01.08 по МО'!F430</f>
        <v>район Беимбета Майлина</v>
      </c>
      <c r="F432" s="13" t="n">
        <f aca="false">'РПН 01.08 по МО'!D430</f>
        <v>17815</v>
      </c>
      <c r="G432" s="14" t="n">
        <f aca="false">INDEX('Расчет Кплотн'!$K:$K,MATCH(D432,'Расчет Кплотн'!$A:$A,0))</f>
        <v>1.6864</v>
      </c>
      <c r="H432" s="14" t="n">
        <f aca="false">INDEX('Расчет Кплотн'!$J:$J,MATCH(D432,'Расчет Кплотн'!$A:$A,0))</f>
        <v>2</v>
      </c>
      <c r="I432" s="3" t="n">
        <f aca="false">F432*Моделирование!$F$3*M432*G432/1000</f>
        <v>607895.63427264</v>
      </c>
      <c r="J432" s="3" t="n">
        <f aca="false">F432*Моделирование!$F$3*M432*H432/1000</f>
        <v>720938.8452</v>
      </c>
      <c r="K432" s="3" t="n">
        <f aca="false">J432-I432</f>
        <v>113043.21092736</v>
      </c>
      <c r="L432" s="4" t="n">
        <f aca="false">IFERROR(K432/I432,0)</f>
        <v>0.18595825426945</v>
      </c>
      <c r="M432" s="15" t="n">
        <f aca="false">IF(INDEX('Расчет Кплотн'!$D:$D,MATCH(D432,'Расчет Кплотн'!$A:$A,0))="район",IFERROR(VLOOKUP(INDEX('Расчет Кплотн'!$B:$B,MATCH(D432,'Расчет Кплотн'!$A:$A,0)),'БКПН (приказ 170)'!$A$4:$C$10,3,FALSE()),Моделирование!$F$2),Моделирование!$F$2)</f>
        <v>1686.17</v>
      </c>
    </row>
    <row r="433" customFormat="false" ht="15" hidden="false" customHeight="false" outlineLevel="0" collapsed="false">
      <c r="A433" s="12" t="n">
        <v>428</v>
      </c>
      <c r="B433" s="12" t="str">
        <f aca="false">'РПН 01.08 по МО'!B431</f>
        <v>КОСТАНАЙСКАЯ</v>
      </c>
      <c r="C433" s="12" t="str">
        <f aca="false">'РПН 01.08 по МО'!C431</f>
        <v>КГП "Качарская городская больница" Управления здравоохранения акимата Костанайской области</v>
      </c>
      <c r="D433" s="12" t="str">
        <f aca="false">'РПН 01.08 по МО'!E431</f>
        <v>3924</v>
      </c>
      <c r="E433" s="12" t="str">
        <f aca="false">'РПН 01.08 по МО'!F431</f>
        <v>Рудный</v>
      </c>
      <c r="F433" s="13" t="n">
        <f aca="false">'РПН 01.08 по МО'!D431</f>
        <v>7937</v>
      </c>
      <c r="G433" s="14" t="n">
        <f aca="false">INDEX('Расчет Кплотн'!$K:$K,MATCH(D433,'Расчет Кплотн'!$A:$A,0))</f>
        <v>1.5</v>
      </c>
      <c r="H433" s="14" t="n">
        <f aca="false">INDEX('Расчет Кплотн'!$J:$J,MATCH(D433,'Расчет Кплотн'!$A:$A,0))</f>
        <v>1.5</v>
      </c>
      <c r="I433" s="3" t="n">
        <f aca="false">F433*Моделирование!$F$3*M433*G433/1000</f>
        <v>240896.36322</v>
      </c>
      <c r="J433" s="3" t="n">
        <f aca="false">F433*Моделирование!$F$3*M433*H433/1000</f>
        <v>240896.36322</v>
      </c>
      <c r="K433" s="3" t="n">
        <f aca="false">J433-I433</f>
        <v>0</v>
      </c>
      <c r="L433" s="4" t="n">
        <f aca="false">IFERROR(K433/I433,0)</f>
        <v>0</v>
      </c>
      <c r="M433" s="15" t="n">
        <f aca="false">IF(INDEX('Расчет Кплотн'!$D:$D,MATCH(D433,'Расчет Кплотн'!$A:$A,0))="район",IFERROR(VLOOKUP(INDEX('Расчет Кплотн'!$B:$B,MATCH(D433,'Расчет Кплотн'!$A:$A,0)),'БКПН (приказ 170)'!$A$4:$C$10,3,FALSE()),Моделирование!$F$2),Моделирование!$F$2)</f>
        <v>1686.17</v>
      </c>
    </row>
    <row r="434" customFormat="false" ht="15" hidden="false" customHeight="false" outlineLevel="0" collapsed="false">
      <c r="A434" s="12" t="n">
        <v>429</v>
      </c>
      <c r="B434" s="12" t="str">
        <f aca="false">'РПН 01.08 по МО'!B432</f>
        <v>КОСТАНАЙСКАЯ</v>
      </c>
      <c r="C434" s="12" t="str">
        <f aca="false">'РПН 01.08 по МО'!C432</f>
        <v>КГП "Костанайская районная больница" Управления здравоохранения акимата Костанайской области</v>
      </c>
      <c r="D434" s="12" t="str">
        <f aca="false">'РПН 01.08 по МО'!E432</f>
        <v>3954</v>
      </c>
      <c r="E434" s="12" t="str">
        <f aca="false">'РПН 01.08 по МО'!F432</f>
        <v>Костанайский район</v>
      </c>
      <c r="F434" s="13" t="n">
        <f aca="false">'РПН 01.08 по МО'!D432</f>
        <v>50028</v>
      </c>
      <c r="G434" s="14" t="n">
        <f aca="false">INDEX('Расчет Кплотн'!$K:$K,MATCH(D434,'Расчет Кплотн'!$A:$A,0))</f>
        <v>1.2078</v>
      </c>
      <c r="H434" s="14" t="n">
        <f aca="false">INDEX('Расчет Кплотн'!$J:$J,MATCH(D434,'Расчет Кплотн'!$A:$A,0))</f>
        <v>1.6486</v>
      </c>
      <c r="I434" s="3" t="n">
        <f aca="false">F434*Моделирование!$F$3*M434*G434/1000</f>
        <v>1222617.95845834</v>
      </c>
      <c r="J434" s="3" t="n">
        <f aca="false">F434*Моделирование!$F$3*M434*H434/1000</f>
        <v>1668825.93667363</v>
      </c>
      <c r="K434" s="3" t="n">
        <f aca="false">J434-I434</f>
        <v>446207.978215296</v>
      </c>
      <c r="L434" s="4" t="n">
        <f aca="false">IFERROR(K434/I434,0)</f>
        <v>0.364961086272562</v>
      </c>
      <c r="M434" s="15" t="n">
        <f aca="false">IF(INDEX('Расчет Кплотн'!$D:$D,MATCH(D434,'Расчет Кплотн'!$A:$A,0))="район",IFERROR(VLOOKUP(INDEX('Расчет Кплотн'!$B:$B,MATCH(D434,'Расчет Кплотн'!$A:$A,0)),'БКПН (приказ 170)'!$A$4:$C$10,3,FALSE()),Моделирование!$F$2),Моделирование!$F$2)</f>
        <v>1686.17</v>
      </c>
    </row>
    <row r="435" customFormat="false" ht="15" hidden="false" customHeight="false" outlineLevel="0" collapsed="false">
      <c r="A435" s="12" t="n">
        <v>430</v>
      </c>
      <c r="B435" s="12" t="str">
        <f aca="false">'РПН 01.08 по МО'!B433</f>
        <v>КОСТАНАЙСКАЯ</v>
      </c>
      <c r="C435" s="12" t="str">
        <f aca="false">'РПН 01.08 по МО'!C433</f>
        <v>КГП "Камыстинская районная больница" Управления здравоохранения акимата Костанайской области</v>
      </c>
      <c r="D435" s="12" t="str">
        <f aca="false">'РПН 01.08 по МО'!E433</f>
        <v>3948</v>
      </c>
      <c r="E435" s="12" t="str">
        <f aca="false">'РПН 01.08 по МО'!F433</f>
        <v>Камыстинский район</v>
      </c>
      <c r="F435" s="13" t="n">
        <f aca="false">'РПН 01.08 по МО'!D433</f>
        <v>7520</v>
      </c>
      <c r="G435" s="14" t="n">
        <f aca="false">INDEX('Расчет Кплотн'!$K:$K,MATCH(D435,'Расчет Кплотн'!$A:$A,0))</f>
        <v>2</v>
      </c>
      <c r="H435" s="14" t="n">
        <f aca="false">INDEX('Расчет Кплотн'!$J:$J,MATCH(D435,'Расчет Кплотн'!$A:$A,0))</f>
        <v>2</v>
      </c>
      <c r="I435" s="3" t="n">
        <f aca="false">F435*Моделирование!$F$3*M435*G435/1000</f>
        <v>304319.9616</v>
      </c>
      <c r="J435" s="3" t="n">
        <f aca="false">F435*Моделирование!$F$3*M435*H435/1000</f>
        <v>304319.9616</v>
      </c>
      <c r="K435" s="3" t="n">
        <f aca="false">J435-I435</f>
        <v>0</v>
      </c>
      <c r="L435" s="4" t="n">
        <f aca="false">IFERROR(K435/I435,0)</f>
        <v>0</v>
      </c>
      <c r="M435" s="15" t="n">
        <f aca="false">IF(INDEX('Расчет Кплотн'!$D:$D,MATCH(D435,'Расчет Кплотн'!$A:$A,0))="район",IFERROR(VLOOKUP(INDEX('Расчет Кплотн'!$B:$B,MATCH(D435,'Расчет Кплотн'!$A:$A,0)),'БКПН (приказ 170)'!$A$4:$C$10,3,FALSE()),Моделирование!$F$2),Моделирование!$F$2)</f>
        <v>1686.17</v>
      </c>
    </row>
    <row r="436" customFormat="false" ht="15" hidden="false" customHeight="false" outlineLevel="0" collapsed="false">
      <c r="A436" s="12" t="n">
        <v>431</v>
      </c>
      <c r="B436" s="12" t="str">
        <f aca="false">'РПН 01.08 по МО'!B434</f>
        <v>КОСТАНАЙСКАЯ</v>
      </c>
      <c r="C436" s="12" t="str">
        <f aca="false">'РПН 01.08 по МО'!C434</f>
        <v>КГП "Лисаковская городская больница" Управления здравоохранения акимата Костанайской области</v>
      </c>
      <c r="D436" s="12" t="str">
        <f aca="false">'РПН 01.08 по МО'!E434</f>
        <v>3920</v>
      </c>
      <c r="E436" s="12" t="str">
        <f aca="false">'РПН 01.08 по МО'!F434</f>
        <v>Лисаковск</v>
      </c>
      <c r="F436" s="13" t="n">
        <f aca="false">'РПН 01.08 по МО'!D434</f>
        <v>31456</v>
      </c>
      <c r="G436" s="14" t="n">
        <f aca="false">INDEX('Расчет Кплотн'!$K:$K,MATCH(D436,'Расчет Кплотн'!$A:$A,0))</f>
        <v>1.5</v>
      </c>
      <c r="H436" s="14" t="n">
        <f aca="false">INDEX('Расчет Кплотн'!$J:$J,MATCH(D436,'Расчет Кплотн'!$A:$A,0))</f>
        <v>1.5</v>
      </c>
      <c r="I436" s="3" t="n">
        <f aca="false">F436*Моделирование!$F$3*M436*G436/1000</f>
        <v>954722.94336</v>
      </c>
      <c r="J436" s="3" t="n">
        <f aca="false">F436*Моделирование!$F$3*M436*H436/1000</f>
        <v>954722.94336</v>
      </c>
      <c r="K436" s="3" t="n">
        <f aca="false">J436-I436</f>
        <v>0</v>
      </c>
      <c r="L436" s="4" t="n">
        <f aca="false">IFERROR(K436/I436,0)</f>
        <v>0</v>
      </c>
      <c r="M436" s="15" t="n">
        <f aca="false">IF(INDEX('Расчет Кплотн'!$D:$D,MATCH(D436,'Расчет Кплотн'!$A:$A,0))="район",IFERROR(VLOOKUP(INDEX('Расчет Кплотн'!$B:$B,MATCH(D436,'Расчет Кплотн'!$A:$A,0)),'БКПН (приказ 170)'!$A$4:$C$10,3,FALSE()),Моделирование!$F$2),Моделирование!$F$2)</f>
        <v>1686.17</v>
      </c>
    </row>
    <row r="437" customFormat="false" ht="15" hidden="false" customHeight="false" outlineLevel="0" collapsed="false">
      <c r="A437" s="12" t="n">
        <v>432</v>
      </c>
      <c r="B437" s="12" t="str">
        <f aca="false">'РПН 01.08 по МО'!B435</f>
        <v>КОСТАНАЙСКАЯ</v>
      </c>
      <c r="C437" s="12" t="str">
        <f aca="false">'РПН 01.08 по МО'!C435</f>
        <v>КГП "Наурзумская районная больница" Управления здравоохранения акимата Костанайской области</v>
      </c>
      <c r="D437" s="12" t="str">
        <f aca="false">'РПН 01.08 по МО'!E435</f>
        <v>3958</v>
      </c>
      <c r="E437" s="12" t="str">
        <f aca="false">'РПН 01.08 по МО'!F435</f>
        <v>Наурзумский район</v>
      </c>
      <c r="F437" s="13" t="n">
        <f aca="false">'РПН 01.08 по МО'!D435</f>
        <v>5565</v>
      </c>
      <c r="G437" s="14" t="n">
        <f aca="false">INDEX('Расчет Кплотн'!$K:$K,MATCH(D437,'Расчет Кплотн'!$A:$A,0))</f>
        <v>2</v>
      </c>
      <c r="H437" s="14" t="n">
        <f aca="false">INDEX('Расчет Кплотн'!$J:$J,MATCH(D437,'Расчет Кплотн'!$A:$A,0))</f>
        <v>2</v>
      </c>
      <c r="I437" s="3" t="n">
        <f aca="false">F437*Моделирование!$F$3*M437*G437/1000</f>
        <v>225204.8652</v>
      </c>
      <c r="J437" s="3" t="n">
        <f aca="false">F437*Моделирование!$F$3*M437*H437/1000</f>
        <v>225204.8652</v>
      </c>
      <c r="K437" s="3" t="n">
        <f aca="false">J437-I437</f>
        <v>0</v>
      </c>
      <c r="L437" s="4" t="n">
        <f aca="false">IFERROR(K437/I437,0)</f>
        <v>0</v>
      </c>
      <c r="M437" s="15" t="n">
        <f aca="false">IF(INDEX('Расчет Кплотн'!$D:$D,MATCH(D437,'Расчет Кплотн'!$A:$A,0))="район",IFERROR(VLOOKUP(INDEX('Расчет Кплотн'!$B:$B,MATCH(D437,'Расчет Кплотн'!$A:$A,0)),'БКПН (приказ 170)'!$A$4:$C$10,3,FALSE()),Моделирование!$F$2),Моделирование!$F$2)</f>
        <v>1686.17</v>
      </c>
    </row>
    <row r="438" customFormat="false" ht="15" hidden="false" customHeight="false" outlineLevel="0" collapsed="false">
      <c r="A438" s="12" t="n">
        <v>433</v>
      </c>
      <c r="B438" s="12" t="str">
        <f aca="false">'РПН 01.08 по МО'!B436</f>
        <v>КОСТАНАЙСКАЯ</v>
      </c>
      <c r="C438" s="12" t="str">
        <f aca="false">'РПН 01.08 по МО'!C436</f>
        <v>КГП "Октябрьская сельская больница" Управления здравоохранения акимата Костанайской области</v>
      </c>
      <c r="D438" s="12" t="str">
        <f aca="false">'РПН 01.08 по МО'!E436</f>
        <v>3952</v>
      </c>
      <c r="E438" s="12" t="str">
        <f aca="false">'РПН 01.08 по МО'!F436</f>
        <v>Карасуский район</v>
      </c>
      <c r="F438" s="13" t="n">
        <f aca="false">'РПН 01.08 по МО'!D436</f>
        <v>6614</v>
      </c>
      <c r="G438" s="14" t="n">
        <f aca="false">INDEX('Расчет Кплотн'!$K:$K,MATCH(D438,'Расчет Кплотн'!$A:$A,0))</f>
        <v>2</v>
      </c>
      <c r="H438" s="14" t="n">
        <f aca="false">INDEX('Расчет Кплотн'!$J:$J,MATCH(D438,'Расчет Кплотн'!$A:$A,0))</f>
        <v>2</v>
      </c>
      <c r="I438" s="3" t="n">
        <f aca="false">F438*Моделирование!$F$3*M438*G438/1000</f>
        <v>267655.88112</v>
      </c>
      <c r="J438" s="3" t="n">
        <f aca="false">F438*Моделирование!$F$3*M438*H438/1000</f>
        <v>267655.88112</v>
      </c>
      <c r="K438" s="3" t="n">
        <f aca="false">J438-I438</f>
        <v>0</v>
      </c>
      <c r="L438" s="4" t="n">
        <f aca="false">IFERROR(K438/I438,0)</f>
        <v>0</v>
      </c>
      <c r="M438" s="15" t="n">
        <f aca="false">IF(INDEX('Расчет Кплотн'!$D:$D,MATCH(D438,'Расчет Кплотн'!$A:$A,0))="район",IFERROR(VLOOKUP(INDEX('Расчет Кплотн'!$B:$B,MATCH(D438,'Расчет Кплотн'!$A:$A,0)),'БКПН (приказ 170)'!$A$4:$C$10,3,FALSE()),Моделирование!$F$2),Моделирование!$F$2)</f>
        <v>1686.17</v>
      </c>
    </row>
    <row r="439" customFormat="false" ht="15" hidden="false" customHeight="false" outlineLevel="0" collapsed="false">
      <c r="A439" s="12" t="n">
        <v>434</v>
      </c>
      <c r="B439" s="12" t="str">
        <f aca="false">'РПН 01.08 по МО'!B437</f>
        <v>КОСТАНАЙСКАЯ</v>
      </c>
      <c r="C439" s="12" t="str">
        <f aca="false">'РПН 01.08 по МО'!C437</f>
        <v>КГП "Поликлиника № 1 города Костанай" Управления здравоохранения акимата Костанайской области</v>
      </c>
      <c r="D439" s="12" t="str">
        <f aca="false">'РПН 01.08 по МО'!E437</f>
        <v>3910</v>
      </c>
      <c r="E439" s="12" t="str">
        <f aca="false">'РПН 01.08 по МО'!F437</f>
        <v>Костанай</v>
      </c>
      <c r="F439" s="13" t="n">
        <f aca="false">'РПН 01.08 по МО'!D437</f>
        <v>48923</v>
      </c>
      <c r="G439" s="14" t="n">
        <f aca="false">INDEX('Расчет Кплотн'!$K:$K,MATCH(D439,'Расчет Кплотн'!$A:$A,0))</f>
        <v>1</v>
      </c>
      <c r="H439" s="14" t="n">
        <f aca="false">INDEX('Расчет Кплотн'!$J:$J,MATCH(D439,'Расчет Кплотн'!$A:$A,0))</f>
        <v>1</v>
      </c>
      <c r="I439" s="3" t="n">
        <f aca="false">F439*Моделирование!$F$3*M439*G439/1000</f>
        <v>989909.93892</v>
      </c>
      <c r="J439" s="3" t="n">
        <f aca="false">F439*Моделирование!$F$3*M439*H439/1000</f>
        <v>989909.93892</v>
      </c>
      <c r="K439" s="3" t="n">
        <f aca="false">J439-I439</f>
        <v>0</v>
      </c>
      <c r="L439" s="4" t="n">
        <f aca="false">IFERROR(K439/I439,0)</f>
        <v>0</v>
      </c>
      <c r="M439" s="15" t="n">
        <f aca="false">IF(INDEX('Расчет Кплотн'!$D:$D,MATCH(D439,'Расчет Кплотн'!$A:$A,0))="район",IFERROR(VLOOKUP(INDEX('Расчет Кплотн'!$B:$B,MATCH(D439,'Расчет Кплотн'!$A:$A,0)),'БКПН (приказ 170)'!$A$4:$C$10,3,FALSE()),Моделирование!$F$2),Моделирование!$F$2)</f>
        <v>1686.17</v>
      </c>
    </row>
    <row r="440" customFormat="false" ht="15" hidden="false" customHeight="false" outlineLevel="0" collapsed="false">
      <c r="A440" s="12" t="n">
        <v>435</v>
      </c>
      <c r="B440" s="12" t="str">
        <f aca="false">'РПН 01.08 по МО'!B438</f>
        <v>КОСТАНАЙСКАЯ</v>
      </c>
      <c r="C440" s="12" t="str">
        <f aca="false">'РПН 01.08 по МО'!C438</f>
        <v>КГП "Поликлиника № 2 города Костанай" Управления здравоохранения акимата Костанайской области</v>
      </c>
      <c r="D440" s="12" t="str">
        <f aca="false">'РПН 01.08 по МО'!E438</f>
        <v>3910</v>
      </c>
      <c r="E440" s="12" t="str">
        <f aca="false">'РПН 01.08 по МО'!F438</f>
        <v>Костанай</v>
      </c>
      <c r="F440" s="13" t="n">
        <f aca="false">'РПН 01.08 по МО'!D438</f>
        <v>43105</v>
      </c>
      <c r="G440" s="14" t="n">
        <f aca="false">INDEX('Расчет Кплотн'!$K:$K,MATCH(D440,'Расчет Кплотн'!$A:$A,0))</f>
        <v>1</v>
      </c>
      <c r="H440" s="14" t="n">
        <f aca="false">INDEX('Расчет Кплотн'!$J:$J,MATCH(D440,'Расчет Кплотн'!$A:$A,0))</f>
        <v>1</v>
      </c>
      <c r="I440" s="3" t="n">
        <f aca="false">F440*Моделирование!$F$3*M440*G440/1000</f>
        <v>872188.2942</v>
      </c>
      <c r="J440" s="3" t="n">
        <f aca="false">F440*Моделирование!$F$3*M440*H440/1000</f>
        <v>872188.2942</v>
      </c>
      <c r="K440" s="3" t="n">
        <f aca="false">J440-I440</f>
        <v>0</v>
      </c>
      <c r="L440" s="4" t="n">
        <f aca="false">IFERROR(K440/I440,0)</f>
        <v>0</v>
      </c>
      <c r="M440" s="15" t="n">
        <f aca="false">IF(INDEX('Расчет Кплотн'!$D:$D,MATCH(D440,'Расчет Кплотн'!$A:$A,0))="район",IFERROR(VLOOKUP(INDEX('Расчет Кплотн'!$B:$B,MATCH(D440,'Расчет Кплотн'!$A:$A,0)),'БКПН (приказ 170)'!$A$4:$C$10,3,FALSE()),Моделирование!$F$2),Моделирование!$F$2)</f>
        <v>1686.17</v>
      </c>
    </row>
    <row r="441" customFormat="false" ht="15" hidden="false" customHeight="false" outlineLevel="0" collapsed="false">
      <c r="A441" s="12" t="n">
        <v>436</v>
      </c>
      <c r="B441" s="12" t="str">
        <f aca="false">'РПН 01.08 по МО'!B439</f>
        <v>КОСТАНАЙСКАЯ</v>
      </c>
      <c r="C441" s="12" t="str">
        <f aca="false">'РПН 01.08 по МО'!C439</f>
        <v>КГП "Поликлиника № 3 города Костанай" Управления здравоохранения акимата Костанайской области</v>
      </c>
      <c r="D441" s="12" t="str">
        <f aca="false">'РПН 01.08 по МО'!E439</f>
        <v>3910</v>
      </c>
      <c r="E441" s="12" t="str">
        <f aca="false">'РПН 01.08 по МО'!F439</f>
        <v>Костанай</v>
      </c>
      <c r="F441" s="13" t="n">
        <f aca="false">'РПН 01.08 по МО'!D439</f>
        <v>49894</v>
      </c>
      <c r="G441" s="14" t="n">
        <f aca="false">INDEX('Расчет Кплотн'!$K:$K,MATCH(D441,'Расчет Кплотн'!$A:$A,0))</f>
        <v>1</v>
      </c>
      <c r="H441" s="14" t="n">
        <f aca="false">INDEX('Расчет Кплотн'!$J:$J,MATCH(D441,'Расчет Кплотн'!$A:$A,0))</f>
        <v>1</v>
      </c>
      <c r="I441" s="3" t="n">
        <f aca="false">F441*Моделирование!$F$3*M441*G441/1000</f>
        <v>1009557.19176</v>
      </c>
      <c r="J441" s="3" t="n">
        <f aca="false">F441*Моделирование!$F$3*M441*H441/1000</f>
        <v>1009557.19176</v>
      </c>
      <c r="K441" s="3" t="n">
        <f aca="false">J441-I441</f>
        <v>0</v>
      </c>
      <c r="L441" s="4" t="n">
        <f aca="false">IFERROR(K441/I441,0)</f>
        <v>0</v>
      </c>
      <c r="M441" s="15" t="n">
        <f aca="false">IF(INDEX('Расчет Кплотн'!$D:$D,MATCH(D441,'Расчет Кплотн'!$A:$A,0))="район",IFERROR(VLOOKUP(INDEX('Расчет Кплотн'!$B:$B,MATCH(D441,'Расчет Кплотн'!$A:$A,0)),'БКПН (приказ 170)'!$A$4:$C$10,3,FALSE()),Моделирование!$F$2),Моделирование!$F$2)</f>
        <v>1686.17</v>
      </c>
    </row>
    <row r="442" customFormat="false" ht="15" hidden="false" customHeight="false" outlineLevel="0" collapsed="false">
      <c r="A442" s="12" t="n">
        <v>437</v>
      </c>
      <c r="B442" s="12" t="str">
        <f aca="false">'РПН 01.08 по МО'!B440</f>
        <v>КОСТАНАЙСКАЯ</v>
      </c>
      <c r="C442" s="12" t="str">
        <f aca="false">'РПН 01.08 по МО'!C440</f>
        <v>КГП "Кушмурунская сельская больница" Управления здравоохранения акимата Костанайской области</v>
      </c>
      <c r="D442" s="12" t="str">
        <f aca="false">'РПН 01.08 по МО'!E440</f>
        <v>3936</v>
      </c>
      <c r="E442" s="12" t="str">
        <f aca="false">'РПН 01.08 по МО'!F440</f>
        <v>Аулиекольский район</v>
      </c>
      <c r="F442" s="13" t="n">
        <f aca="false">'РПН 01.08 по МО'!D440</f>
        <v>5557</v>
      </c>
      <c r="G442" s="14" t="n">
        <f aca="false">INDEX('Расчет Кплотн'!$K:$K,MATCH(D442,'Расчет Кплотн'!$A:$A,0))</f>
        <v>1.6586</v>
      </c>
      <c r="H442" s="14" t="n">
        <f aca="false">INDEX('Расчет Кплотн'!$J:$J,MATCH(D442,'Расчет Кплотн'!$A:$A,0))</f>
        <v>2</v>
      </c>
      <c r="I442" s="3" t="n">
        <f aca="false">F442*Моделирование!$F$3*M442*G442/1000</f>
        <v>186493.913280408</v>
      </c>
      <c r="J442" s="3" t="n">
        <f aca="false">F442*Моделирование!$F$3*M442*H442/1000</f>
        <v>224881.12056</v>
      </c>
      <c r="K442" s="3" t="n">
        <f aca="false">J442-I442</f>
        <v>38387.207279592</v>
      </c>
      <c r="L442" s="4" t="n">
        <f aca="false">IFERROR(K442/I442,0)</f>
        <v>0.205836247437598</v>
      </c>
      <c r="M442" s="15" t="n">
        <f aca="false">IF(INDEX('Расчет Кплотн'!$D:$D,MATCH(D442,'Расчет Кплотн'!$A:$A,0))="район",IFERROR(VLOOKUP(INDEX('Расчет Кплотн'!$B:$B,MATCH(D442,'Расчет Кплотн'!$A:$A,0)),'БКПН (приказ 170)'!$A$4:$C$10,3,FALSE()),Моделирование!$F$2),Моделирование!$F$2)</f>
        <v>1686.17</v>
      </c>
    </row>
    <row r="443" customFormat="false" ht="15" hidden="false" customHeight="false" outlineLevel="0" collapsed="false">
      <c r="A443" s="12" t="n">
        <v>438</v>
      </c>
      <c r="B443" s="12" t="str">
        <f aca="false">'РПН 01.08 по МО'!B441</f>
        <v>КЫЗЫЛОРДИНСКАЯ</v>
      </c>
      <c r="C443" s="12" t="str">
        <f aca="false">'РПН 01.08 по МО'!C441</f>
        <v>ТОО "ALEXEY SULTAN-AKHMET"</v>
      </c>
      <c r="D443" s="12" t="str">
        <f aca="false">'РПН 01.08 по МО'!E441</f>
        <v>4310</v>
      </c>
      <c r="E443" s="12" t="str">
        <f aca="false">'РПН 01.08 по МО'!F441</f>
        <v>Кызылорда</v>
      </c>
      <c r="F443" s="13" t="n">
        <f aca="false">'РПН 01.08 по МО'!D441</f>
        <v>38981</v>
      </c>
      <c r="G443" s="14" t="n">
        <f aca="false">INDEX('Расчет Кплотн'!$K:$K,MATCH(D443,'Расчет Кплотн'!$A:$A,0))</f>
        <v>1</v>
      </c>
      <c r="H443" s="14" t="n">
        <f aca="false">INDEX('Расчет Кплотн'!$J:$J,MATCH(D443,'Расчет Кплотн'!$A:$A,0))</f>
        <v>1</v>
      </c>
      <c r="I443" s="3" t="n">
        <f aca="false">F443*Моделирование!$F$3*M443*G443/1000</f>
        <v>788743.11324</v>
      </c>
      <c r="J443" s="3" t="n">
        <f aca="false">F443*Моделирование!$F$3*M443*H443/1000</f>
        <v>788743.11324</v>
      </c>
      <c r="K443" s="3" t="n">
        <f aca="false">J443-I443</f>
        <v>0</v>
      </c>
      <c r="L443" s="4" t="n">
        <f aca="false">IFERROR(K443/I443,0)</f>
        <v>0</v>
      </c>
      <c r="M443" s="15" t="n">
        <f aca="false">IF(INDEX('Расчет Кплотн'!$D:$D,MATCH(D443,'Расчет Кплотн'!$A:$A,0))="район",IFERROR(VLOOKUP(INDEX('Расчет Кплотн'!$B:$B,MATCH(D443,'Расчет Кплотн'!$A:$A,0)),'БКПН (приказ 170)'!$A$4:$C$10,3,FALSE()),Моделирование!$F$2),Моделирование!$F$2)</f>
        <v>1686.17</v>
      </c>
    </row>
    <row r="444" customFormat="false" ht="15" hidden="false" customHeight="false" outlineLevel="0" collapsed="false">
      <c r="A444" s="12" t="n">
        <v>439</v>
      </c>
      <c r="B444" s="12" t="str">
        <f aca="false">'РПН 01.08 по МО'!B442</f>
        <v>КЫЗЫЛОРДИНСКАЯ</v>
      </c>
      <c r="C444" s="12" t="str">
        <f aca="false">'РПН 01.08 по МО'!C442</f>
        <v>ТОО "ДостарМедLine"</v>
      </c>
      <c r="D444" s="12" t="str">
        <f aca="false">'РПН 01.08 по МО'!E442</f>
        <v>4310</v>
      </c>
      <c r="E444" s="12" t="str">
        <f aca="false">'РПН 01.08 по МО'!F442</f>
        <v>Кызылорда</v>
      </c>
      <c r="F444" s="13" t="n">
        <f aca="false">'РПН 01.08 по МО'!D442</f>
        <v>18755</v>
      </c>
      <c r="G444" s="14" t="n">
        <f aca="false">INDEX('Расчет Кплотн'!$K:$K,MATCH(D444,'Расчет Кплотн'!$A:$A,0))</f>
        <v>1</v>
      </c>
      <c r="H444" s="14" t="n">
        <f aca="false">INDEX('Расчет Кплотн'!$J:$J,MATCH(D444,'Расчет Кплотн'!$A:$A,0))</f>
        <v>1</v>
      </c>
      <c r="I444" s="3" t="n">
        <f aca="false">F444*Моделирование!$F$3*M444*G444/1000</f>
        <v>379489.4202</v>
      </c>
      <c r="J444" s="3" t="n">
        <f aca="false">F444*Моделирование!$F$3*M444*H444/1000</f>
        <v>379489.4202</v>
      </c>
      <c r="K444" s="3" t="n">
        <f aca="false">J444-I444</f>
        <v>0</v>
      </c>
      <c r="L444" s="4" t="n">
        <f aca="false">IFERROR(K444/I444,0)</f>
        <v>0</v>
      </c>
      <c r="M444" s="15" t="n">
        <f aca="false">IF(INDEX('Расчет Кплотн'!$D:$D,MATCH(D444,'Расчет Кплотн'!$A:$A,0))="район",IFERROR(VLOOKUP(INDEX('Расчет Кплотн'!$B:$B,MATCH(D444,'Расчет Кплотн'!$A:$A,0)),'БКПН (приказ 170)'!$A$4:$C$10,3,FALSE()),Моделирование!$F$2),Моделирование!$F$2)</f>
        <v>1686.17</v>
      </c>
    </row>
    <row r="445" customFormat="false" ht="15" hidden="false" customHeight="false" outlineLevel="0" collapsed="false">
      <c r="A445" s="12" t="n">
        <v>440</v>
      </c>
      <c r="B445" s="12" t="str">
        <f aca="false">'РПН 01.08 по МО'!B443</f>
        <v>КЫЗЫЛОРДИНСКАЯ</v>
      </c>
      <c r="C445" s="12" t="str">
        <f aca="false">'РПН 01.08 по МО'!C443</f>
        <v>ТОО "Казалинская железнодорожная больница"</v>
      </c>
      <c r="D445" s="12" t="str">
        <f aca="false">'РПН 01.08 по МО'!E443</f>
        <v>4344</v>
      </c>
      <c r="E445" s="12" t="str">
        <f aca="false">'РПН 01.08 по МО'!F443</f>
        <v>Казалинский район</v>
      </c>
      <c r="F445" s="13" t="n">
        <f aca="false">'РПН 01.08 по МО'!D443</f>
        <v>23051</v>
      </c>
      <c r="G445" s="14" t="n">
        <f aca="false">INDEX('Расчет Кплотн'!$K:$K,MATCH(D445,'Расчет Кплотн'!$A:$A,0))</f>
        <v>1.9817</v>
      </c>
      <c r="H445" s="14" t="n">
        <f aca="false">INDEX('Расчет Кплотн'!$J:$J,MATCH(D445,'Расчет Кплотн'!$A:$A,0))</f>
        <v>2</v>
      </c>
      <c r="I445" s="3" t="n">
        <f aca="false">F445*Моделирование!$F$3*M445*G445/1000</f>
        <v>924294.320214468</v>
      </c>
      <c r="J445" s="3" t="n">
        <f aca="false">F445*Моделирование!$F$3*M445*H445/1000</f>
        <v>932829.71208</v>
      </c>
      <c r="K445" s="3" t="n">
        <f aca="false">J445-I445</f>
        <v>8535.39186553203</v>
      </c>
      <c r="L445" s="4" t="n">
        <f aca="false">IFERROR(K445/I445,0)</f>
        <v>0.00923449563506084</v>
      </c>
      <c r="M445" s="15" t="n">
        <f aca="false">IF(INDEX('Расчет Кплотн'!$D:$D,MATCH(D445,'Расчет Кплотн'!$A:$A,0))="район",IFERROR(VLOOKUP(INDEX('Расчет Кплотн'!$B:$B,MATCH(D445,'Расчет Кплотн'!$A:$A,0)),'БКПН (приказ 170)'!$A$4:$C$10,3,FALSE()),Моделирование!$F$2),Моделирование!$F$2)</f>
        <v>1686.17</v>
      </c>
    </row>
    <row r="446" customFormat="false" ht="15" hidden="false" customHeight="false" outlineLevel="0" collapsed="false">
      <c r="A446" s="12" t="n">
        <v>441</v>
      </c>
      <c r="B446" s="12" t="str">
        <f aca="false">'РПН 01.08 по МО'!B444</f>
        <v>КЫЗЫЛОРДИНСКАЯ</v>
      </c>
      <c r="C446" s="12" t="str">
        <f aca="false">'РПН 01.08 по МО'!C444</f>
        <v>ТОО "Клиника Али-Нур Мед"</v>
      </c>
      <c r="D446" s="12" t="str">
        <f aca="false">'РПН 01.08 по МО'!E444</f>
        <v>4310</v>
      </c>
      <c r="E446" s="12" t="str">
        <f aca="false">'РПН 01.08 по МО'!F444</f>
        <v>Кызылорда</v>
      </c>
      <c r="F446" s="13" t="n">
        <f aca="false">'РПН 01.08 по МО'!D444</f>
        <v>4454</v>
      </c>
      <c r="G446" s="14" t="n">
        <f aca="false">INDEX('Расчет Кплотн'!$K:$K,MATCH(D446,'Расчет Кплотн'!$A:$A,0))</f>
        <v>1</v>
      </c>
      <c r="H446" s="14" t="n">
        <f aca="false">INDEX('Расчет Кплотн'!$J:$J,MATCH(D446,'Расчет Кплотн'!$A:$A,0))</f>
        <v>1</v>
      </c>
      <c r="I446" s="3" t="n">
        <f aca="false">F446*Моделирование!$F$3*M446*G446/1000</f>
        <v>90122.41416</v>
      </c>
      <c r="J446" s="3" t="n">
        <f aca="false">F446*Моделирование!$F$3*M446*H446/1000</f>
        <v>90122.41416</v>
      </c>
      <c r="K446" s="3" t="n">
        <f aca="false">J446-I446</f>
        <v>0</v>
      </c>
      <c r="L446" s="4" t="n">
        <f aca="false">IFERROR(K446/I446,0)</f>
        <v>0</v>
      </c>
      <c r="M446" s="15" t="n">
        <f aca="false">IF(INDEX('Расчет Кплотн'!$D:$D,MATCH(D446,'Расчет Кплотн'!$A:$A,0))="район",IFERROR(VLOOKUP(INDEX('Расчет Кплотн'!$B:$B,MATCH(D446,'Расчет Кплотн'!$A:$A,0)),'БКПН (приказ 170)'!$A$4:$C$10,3,FALSE()),Моделирование!$F$2),Моделирование!$F$2)</f>
        <v>1686.17</v>
      </c>
    </row>
    <row r="447" customFormat="false" ht="15" hidden="false" customHeight="false" outlineLevel="0" collapsed="false">
      <c r="A447" s="12" t="n">
        <v>442</v>
      </c>
      <c r="B447" s="12" t="str">
        <f aca="false">'РПН 01.08 по МО'!B445</f>
        <v>КЫЗЫЛОРДИНСКАЯ</v>
      </c>
      <c r="C447" s="12" t="str">
        <f aca="false">'РПН 01.08 по МО'!C445</f>
        <v>ТОО "Сенім"</v>
      </c>
      <c r="D447" s="12" t="str">
        <f aca="false">'РПН 01.08 по МО'!E445</f>
        <v>4310</v>
      </c>
      <c r="E447" s="12" t="str">
        <f aca="false">'РПН 01.08 по МО'!F445</f>
        <v>Кызылорда</v>
      </c>
      <c r="F447" s="13" t="n">
        <f aca="false">'РПН 01.08 по МО'!D445</f>
        <v>18574</v>
      </c>
      <c r="G447" s="14" t="n">
        <f aca="false">INDEX('Расчет Кплотн'!$K:$K,MATCH(D447,'Расчет Кплотн'!$A:$A,0))</f>
        <v>1</v>
      </c>
      <c r="H447" s="14" t="n">
        <f aca="false">INDEX('Расчет Кплотн'!$J:$J,MATCH(D447,'Расчет Кплотн'!$A:$A,0))</f>
        <v>1</v>
      </c>
      <c r="I447" s="3" t="n">
        <f aca="false">F447*Моделирование!$F$3*M447*G447/1000</f>
        <v>375827.05896</v>
      </c>
      <c r="J447" s="3" t="n">
        <f aca="false">F447*Моделирование!$F$3*M447*H447/1000</f>
        <v>375827.05896</v>
      </c>
      <c r="K447" s="3" t="n">
        <f aca="false">J447-I447</f>
        <v>0</v>
      </c>
      <c r="L447" s="4" t="n">
        <f aca="false">IFERROR(K447/I447,0)</f>
        <v>0</v>
      </c>
      <c r="M447" s="15" t="n">
        <f aca="false">IF(INDEX('Расчет Кплотн'!$D:$D,MATCH(D447,'Расчет Кплотн'!$A:$A,0))="район",IFERROR(VLOOKUP(INDEX('Расчет Кплотн'!$B:$B,MATCH(D447,'Расчет Кплотн'!$A:$A,0)),'БКПН (приказ 170)'!$A$4:$C$10,3,FALSE()),Моделирование!$F$2),Моделирование!$F$2)</f>
        <v>1686.17</v>
      </c>
    </row>
    <row r="448" customFormat="false" ht="15" hidden="false" customHeight="false" outlineLevel="0" collapsed="false">
      <c r="A448" s="12" t="n">
        <v>443</v>
      </c>
      <c r="B448" s="12" t="str">
        <f aca="false">'РПН 01.08 по МО'!B446</f>
        <v>КЫЗЫЛОРДИНСКАЯ</v>
      </c>
      <c r="C448" s="12" t="str">
        <f aca="false">'РПН 01.08 по МО'!C446</f>
        <v>ТОО "Кызылординская железнодорожная больница"</v>
      </c>
      <c r="D448" s="12" t="str">
        <f aca="false">'РПН 01.08 по МО'!E446</f>
        <v>4310</v>
      </c>
      <c r="E448" s="12" t="str">
        <f aca="false">'РПН 01.08 по МО'!F446</f>
        <v>Кызылорда</v>
      </c>
      <c r="F448" s="13" t="n">
        <f aca="false">'РПН 01.08 по МО'!D446</f>
        <v>16926</v>
      </c>
      <c r="G448" s="14" t="n">
        <f aca="false">INDEX('Расчет Кплотн'!$K:$K,MATCH(D448,'Расчет Кплотн'!$A:$A,0))</f>
        <v>1</v>
      </c>
      <c r="H448" s="14" t="n">
        <f aca="false">INDEX('Расчет Кплотн'!$J:$J,MATCH(D448,'Расчет Кплотн'!$A:$A,0))</f>
        <v>1</v>
      </c>
      <c r="I448" s="3" t="n">
        <f aca="false">F448*Моделирование!$F$3*M448*G448/1000</f>
        <v>342481.36104</v>
      </c>
      <c r="J448" s="3" t="n">
        <f aca="false">F448*Моделирование!$F$3*M448*H448/1000</f>
        <v>342481.36104</v>
      </c>
      <c r="K448" s="3" t="n">
        <f aca="false">J448-I448</f>
        <v>0</v>
      </c>
      <c r="L448" s="4" t="n">
        <f aca="false">IFERROR(K448/I448,0)</f>
        <v>0</v>
      </c>
      <c r="M448" s="15" t="n">
        <f aca="false">IF(INDEX('Расчет Кплотн'!$D:$D,MATCH(D448,'Расчет Кплотн'!$A:$A,0))="район",IFERROR(VLOOKUP(INDEX('Расчет Кплотн'!$B:$B,MATCH(D448,'Расчет Кплотн'!$A:$A,0)),'БКПН (приказ 170)'!$A$4:$C$10,3,FALSE()),Моделирование!$F$2),Моделирование!$F$2)</f>
        <v>1686.17</v>
      </c>
    </row>
    <row r="449" customFormat="false" ht="15" hidden="false" customHeight="false" outlineLevel="0" collapsed="false">
      <c r="A449" s="12" t="n">
        <v>444</v>
      </c>
      <c r="B449" s="12" t="str">
        <f aca="false">'РПН 01.08 по МО'!B447</f>
        <v>КЫЗЫЛОРДИНСКАЯ</v>
      </c>
      <c r="C449" s="12" t="str">
        <f aca="false">'РПН 01.08 по МО'!C447</f>
        <v>ТОО "Мед Ай-Ерке"</v>
      </c>
      <c r="D449" s="12" t="str">
        <f aca="false">'РПН 01.08 по МО'!E447</f>
        <v>4310</v>
      </c>
      <c r="E449" s="12" t="str">
        <f aca="false">'РПН 01.08 по МО'!F447</f>
        <v>Кызылорда</v>
      </c>
      <c r="F449" s="13" t="n">
        <f aca="false">'РПН 01.08 по МО'!D447</f>
        <v>12420</v>
      </c>
      <c r="G449" s="14" t="n">
        <f aca="false">INDEX('Расчет Кплотн'!$K:$K,MATCH(D449,'Расчет Кплотн'!$A:$A,0))</f>
        <v>1</v>
      </c>
      <c r="H449" s="14" t="n">
        <f aca="false">INDEX('Расчет Кплотн'!$J:$J,MATCH(D449,'Расчет Кплотн'!$A:$A,0))</f>
        <v>1</v>
      </c>
      <c r="I449" s="3" t="n">
        <f aca="false">F449*Моделирование!$F$3*M449*G449/1000</f>
        <v>251306.7768</v>
      </c>
      <c r="J449" s="3" t="n">
        <f aca="false">F449*Моделирование!$F$3*M449*H449/1000</f>
        <v>251306.7768</v>
      </c>
      <c r="K449" s="3" t="n">
        <f aca="false">J449-I449</f>
        <v>0</v>
      </c>
      <c r="L449" s="4" t="n">
        <f aca="false">IFERROR(K449/I449,0)</f>
        <v>0</v>
      </c>
      <c r="M449" s="15" t="n">
        <f aca="false">IF(INDEX('Расчет Кплотн'!$D:$D,MATCH(D449,'Расчет Кплотн'!$A:$A,0))="район",IFERROR(VLOOKUP(INDEX('Расчет Кплотн'!$B:$B,MATCH(D449,'Расчет Кплотн'!$A:$A,0)),'БКПН (приказ 170)'!$A$4:$C$10,3,FALSE()),Моделирование!$F$2),Моделирование!$F$2)</f>
        <v>1686.17</v>
      </c>
    </row>
    <row r="450" customFormat="false" ht="15" hidden="false" customHeight="false" outlineLevel="0" collapsed="false">
      <c r="A450" s="12" t="n">
        <v>445</v>
      </c>
      <c r="B450" s="12" t="str">
        <f aca="false">'РПН 01.08 по МО'!B448</f>
        <v>КЫЗЫЛОРДИНСКАЯ</v>
      </c>
      <c r="C450" s="12" t="str">
        <f aca="false">'РПН 01.08 по МО'!C448</f>
        <v>ТОО клиника "Orda Medline"</v>
      </c>
      <c r="D450" s="12" t="str">
        <f aca="false">'РПН 01.08 по МО'!E448</f>
        <v>4310</v>
      </c>
      <c r="E450" s="12" t="str">
        <f aca="false">'РПН 01.08 по МО'!F448</f>
        <v>Кызылорда</v>
      </c>
      <c r="F450" s="13" t="n">
        <f aca="false">'РПН 01.08 по МО'!D448</f>
        <v>5433</v>
      </c>
      <c r="G450" s="14" t="n">
        <f aca="false">INDEX('Расчет Кплотн'!$K:$K,MATCH(D450,'Расчет Кплотн'!$A:$A,0))</f>
        <v>1</v>
      </c>
      <c r="H450" s="14" t="n">
        <f aca="false">INDEX('Расчет Кплотн'!$J:$J,MATCH(D450,'Расчет Кплотн'!$A:$A,0))</f>
        <v>1</v>
      </c>
      <c r="I450" s="3" t="n">
        <f aca="false">F450*Моделирование!$F$3*M450*G450/1000</f>
        <v>109931.53932</v>
      </c>
      <c r="J450" s="3" t="n">
        <f aca="false">F450*Моделирование!$F$3*M450*H450/1000</f>
        <v>109931.53932</v>
      </c>
      <c r="K450" s="3" t="n">
        <f aca="false">J450-I450</f>
        <v>0</v>
      </c>
      <c r="L450" s="4" t="n">
        <f aca="false">IFERROR(K450/I450,0)</f>
        <v>0</v>
      </c>
      <c r="M450" s="15" t="n">
        <f aca="false">IF(INDEX('Расчет Кплотн'!$D:$D,MATCH(D450,'Расчет Кплотн'!$A:$A,0))="район",IFERROR(VLOOKUP(INDEX('Расчет Кплотн'!$B:$B,MATCH(D450,'Расчет Кплотн'!$A:$A,0)),'БКПН (приказ 170)'!$A$4:$C$10,3,FALSE()),Моделирование!$F$2),Моделирование!$F$2)</f>
        <v>1686.17</v>
      </c>
    </row>
    <row r="451" customFormat="false" ht="15" hidden="false" customHeight="false" outlineLevel="0" collapsed="false">
      <c r="A451" s="12" t="n">
        <v>446</v>
      </c>
      <c r="B451" s="12" t="str">
        <f aca="false">'РПН 01.08 по МО'!B449</f>
        <v>КЫЗЫЛОРДИНСКАЯ</v>
      </c>
      <c r="C451" s="12" t="str">
        <f aca="false">'РПН 01.08 по МО'!C449</f>
        <v>ТОО "AIBARMED"</v>
      </c>
      <c r="D451" s="12" t="str">
        <f aca="false">'РПН 01.08 по МО'!E449</f>
        <v>4310</v>
      </c>
      <c r="E451" s="12" t="str">
        <f aca="false">'РПН 01.08 по МО'!F449</f>
        <v>Кызылорда</v>
      </c>
      <c r="F451" s="13" t="n">
        <f aca="false">'РПН 01.08 по МО'!D449</f>
        <v>3350</v>
      </c>
      <c r="G451" s="14" t="n">
        <f aca="false">INDEX('Расчет Кплотн'!$K:$K,MATCH(D451,'Расчет Кплотн'!$A:$A,0))</f>
        <v>1</v>
      </c>
      <c r="H451" s="14" t="n">
        <f aca="false">INDEX('Расчет Кплотн'!$J:$J,MATCH(D451,'Расчет Кплотн'!$A:$A,0))</f>
        <v>1</v>
      </c>
      <c r="I451" s="3" t="n">
        <f aca="false">F451*Моделирование!$F$3*M451*G451/1000</f>
        <v>67784.034</v>
      </c>
      <c r="J451" s="3" t="n">
        <f aca="false">F451*Моделирование!$F$3*M451*H451/1000</f>
        <v>67784.034</v>
      </c>
      <c r="K451" s="3" t="n">
        <f aca="false">J451-I451</f>
        <v>0</v>
      </c>
      <c r="L451" s="4" t="n">
        <f aca="false">IFERROR(K451/I451,0)</f>
        <v>0</v>
      </c>
      <c r="M451" s="15" t="n">
        <f aca="false">IF(INDEX('Расчет Кплотн'!$D:$D,MATCH(D451,'Расчет Кплотн'!$A:$A,0))="район",IFERROR(VLOOKUP(INDEX('Расчет Кплотн'!$B:$B,MATCH(D451,'Расчет Кплотн'!$A:$A,0)),'БКПН (приказ 170)'!$A$4:$C$10,3,FALSE()),Моделирование!$F$2),Моделирование!$F$2)</f>
        <v>1686.17</v>
      </c>
    </row>
    <row r="452" customFormat="false" ht="15" hidden="false" customHeight="false" outlineLevel="0" collapsed="false">
      <c r="A452" s="12" t="n">
        <v>447</v>
      </c>
      <c r="B452" s="12" t="str">
        <f aca="false">'РПН 01.08 по МО'!B450</f>
        <v>КЫЗЫЛОРДИНСКАЯ</v>
      </c>
      <c r="C452" s="12" t="str">
        <f aca="false">'РПН 01.08 по МО'!C450</f>
        <v>ТОО "Клиника Интертич"</v>
      </c>
      <c r="D452" s="12" t="str">
        <f aca="false">'РПН 01.08 по МО'!E450</f>
        <v>4310</v>
      </c>
      <c r="E452" s="12" t="str">
        <f aca="false">'РПН 01.08 по МО'!F450</f>
        <v>Кызылорда</v>
      </c>
      <c r="F452" s="13" t="n">
        <f aca="false">'РПН 01.08 по МО'!D450</f>
        <v>5260</v>
      </c>
      <c r="G452" s="14" t="n">
        <f aca="false">INDEX('Расчет Кплотн'!$K:$K,MATCH(D452,'Расчет Кплотн'!$A:$A,0))</f>
        <v>1</v>
      </c>
      <c r="H452" s="14" t="n">
        <f aca="false">INDEX('Расчет Кплотн'!$J:$J,MATCH(D452,'Расчет Кплотн'!$A:$A,0))</f>
        <v>1</v>
      </c>
      <c r="I452" s="3" t="n">
        <f aca="false">F452*Моделирование!$F$3*M452*G452/1000</f>
        <v>106431.0504</v>
      </c>
      <c r="J452" s="3" t="n">
        <f aca="false">F452*Моделирование!$F$3*M452*H452/1000</f>
        <v>106431.0504</v>
      </c>
      <c r="K452" s="3" t="n">
        <f aca="false">J452-I452</f>
        <v>0</v>
      </c>
      <c r="L452" s="4" t="n">
        <f aca="false">IFERROR(K452/I452,0)</f>
        <v>0</v>
      </c>
      <c r="M452" s="15" t="n">
        <f aca="false">IF(INDEX('Расчет Кплотн'!$D:$D,MATCH(D452,'Расчет Кплотн'!$A:$A,0))="район",IFERROR(VLOOKUP(INDEX('Расчет Кплотн'!$B:$B,MATCH(D452,'Расчет Кплотн'!$A:$A,0)),'БКПН (приказ 170)'!$A$4:$C$10,3,FALSE()),Моделирование!$F$2),Моделирование!$F$2)</f>
        <v>1686.17</v>
      </c>
    </row>
    <row r="453" customFormat="false" ht="15" hidden="false" customHeight="false" outlineLevel="0" collapsed="false">
      <c r="A453" s="12" t="n">
        <v>448</v>
      </c>
      <c r="B453" s="12" t="str">
        <f aca="false">'РПН 01.08 по МО'!B451</f>
        <v>КЫЗЫЛОРДИНСКАЯ</v>
      </c>
      <c r="C453" s="12" t="str">
        <f aca="false">'РПН 01.08 по МО'!C451</f>
        <v>Коммунальное государственное предприятие на праве хозяйственного ведения «Городская центральная поликлиника» управления здравоохранения Кызылординской области»</v>
      </c>
      <c r="D453" s="12" t="str">
        <f aca="false">'РПН 01.08 по МО'!E451</f>
        <v>4310</v>
      </c>
      <c r="E453" s="12" t="str">
        <f aca="false">'РПН 01.08 по МО'!F451</f>
        <v>Кызылорда</v>
      </c>
      <c r="F453" s="13" t="n">
        <f aca="false">'РПН 01.08 по МО'!D451</f>
        <v>31026</v>
      </c>
      <c r="G453" s="14" t="n">
        <f aca="false">INDEX('Расчет Кплотн'!$K:$K,MATCH(D453,'Расчет Кплотн'!$A:$A,0))</f>
        <v>1</v>
      </c>
      <c r="H453" s="14" t="n">
        <f aca="false">INDEX('Расчет Кплотн'!$J:$J,MATCH(D453,'Расчет Кплотн'!$A:$A,0))</f>
        <v>1</v>
      </c>
      <c r="I453" s="3" t="n">
        <f aca="false">F453*Моделирование!$F$3*M453*G453/1000</f>
        <v>627781.32504</v>
      </c>
      <c r="J453" s="3" t="n">
        <f aca="false">F453*Моделирование!$F$3*M453*H453/1000</f>
        <v>627781.32504</v>
      </c>
      <c r="K453" s="3" t="n">
        <f aca="false">J453-I453</f>
        <v>0</v>
      </c>
      <c r="L453" s="4" t="n">
        <f aca="false">IFERROR(K453/I453,0)</f>
        <v>0</v>
      </c>
      <c r="M453" s="15" t="n">
        <f aca="false">IF(INDEX('Расчет Кплотн'!$D:$D,MATCH(D453,'Расчет Кплотн'!$A:$A,0))="район",IFERROR(VLOOKUP(INDEX('Расчет Кплотн'!$B:$B,MATCH(D453,'Расчет Кплотн'!$A:$A,0)),'БКПН (приказ 170)'!$A$4:$C$10,3,FALSE()),Моделирование!$F$2),Моделирование!$F$2)</f>
        <v>1686.17</v>
      </c>
    </row>
    <row r="454" customFormat="false" ht="15" hidden="false" customHeight="false" outlineLevel="0" collapsed="false">
      <c r="A454" s="12" t="n">
        <v>449</v>
      </c>
      <c r="B454" s="12" t="str">
        <f aca="false">'РПН 01.08 по МО'!B452</f>
        <v>КЫЗЫЛОРДИНСКАЯ</v>
      </c>
      <c r="C454" s="12" t="str">
        <f aca="false">'РПН 01.08 по МО'!C452</f>
        <v>коммунальное государственное предприятие на праве хозяйственного ведения "Городская поликлиника №1" управления здравоохранения Кызылординской области"</v>
      </c>
      <c r="D454" s="12" t="str">
        <f aca="false">'РПН 01.08 по МО'!E452</f>
        <v>4310</v>
      </c>
      <c r="E454" s="12" t="str">
        <f aca="false">'РПН 01.08 по МО'!F452</f>
        <v>Кызылорда</v>
      </c>
      <c r="F454" s="13" t="n">
        <f aca="false">'РПН 01.08 по МО'!D452</f>
        <v>34211</v>
      </c>
      <c r="G454" s="14" t="n">
        <f aca="false">INDEX('Расчет Кплотн'!$K:$K,MATCH(D454,'Расчет Кплотн'!$A:$A,0))</f>
        <v>1</v>
      </c>
      <c r="H454" s="14" t="n">
        <f aca="false">INDEX('Расчет Кплотн'!$J:$J,MATCH(D454,'Расчет Кплотн'!$A:$A,0))</f>
        <v>1</v>
      </c>
      <c r="I454" s="3" t="n">
        <f aca="false">F454*Моделирование!$F$3*M454*G454/1000</f>
        <v>692226.74244</v>
      </c>
      <c r="J454" s="3" t="n">
        <f aca="false">F454*Моделирование!$F$3*M454*H454/1000</f>
        <v>692226.74244</v>
      </c>
      <c r="K454" s="3" t="n">
        <f aca="false">J454-I454</f>
        <v>0</v>
      </c>
      <c r="L454" s="4" t="n">
        <f aca="false">IFERROR(K454/I454,0)</f>
        <v>0</v>
      </c>
      <c r="M454" s="15" t="n">
        <f aca="false">IF(INDEX('Расчет Кплотн'!$D:$D,MATCH(D454,'Расчет Кплотн'!$A:$A,0))="район",IFERROR(VLOOKUP(INDEX('Расчет Кплотн'!$B:$B,MATCH(D454,'Расчет Кплотн'!$A:$A,0)),'БКПН (приказ 170)'!$A$4:$C$10,3,FALSE()),Моделирование!$F$2),Моделирование!$F$2)</f>
        <v>1686.17</v>
      </c>
    </row>
    <row r="455" customFormat="false" ht="15" hidden="false" customHeight="false" outlineLevel="0" collapsed="false">
      <c r="A455" s="12" t="n">
        <v>450</v>
      </c>
      <c r="B455" s="12" t="str">
        <f aca="false">'РПН 01.08 по МО'!B453</f>
        <v>КЫЗЫЛОРДИНСКАЯ</v>
      </c>
      <c r="C455" s="12" t="str">
        <f aca="false">'РПН 01.08 по МО'!C453</f>
        <v>КГП на ПХВ "Аральская многопрофильная центральная районная больница" управления здравоохранения Кызылординской области"</v>
      </c>
      <c r="D455" s="12" t="str">
        <f aca="false">'РПН 01.08 по МО'!E453</f>
        <v>4332</v>
      </c>
      <c r="E455" s="12" t="str">
        <f aca="false">'РПН 01.08 по МО'!F453</f>
        <v>Аральский район</v>
      </c>
      <c r="F455" s="13" t="n">
        <f aca="false">'РПН 01.08 по МО'!D453</f>
        <v>71299</v>
      </c>
      <c r="G455" s="14" t="n">
        <f aca="false">INDEX('Расчет Кплотн'!$K:$K,MATCH(D455,'Расчет Кплотн'!$A:$A,0))</f>
        <v>2</v>
      </c>
      <c r="H455" s="14" t="n">
        <f aca="false">INDEX('Расчет Кплотн'!$J:$J,MATCH(D455,'Расчет Кплотн'!$A:$A,0))</f>
        <v>2</v>
      </c>
      <c r="I455" s="3" t="n">
        <f aca="false">F455*Моделирование!$F$3*M455*G455/1000</f>
        <v>2885333.63592</v>
      </c>
      <c r="J455" s="3" t="n">
        <f aca="false">F455*Моделирование!$F$3*M455*H455/1000</f>
        <v>2885333.63592</v>
      </c>
      <c r="K455" s="3" t="n">
        <f aca="false">J455-I455</f>
        <v>0</v>
      </c>
      <c r="L455" s="4" t="n">
        <f aca="false">IFERROR(K455/I455,0)</f>
        <v>0</v>
      </c>
      <c r="M455" s="15" t="n">
        <f aca="false">IF(INDEX('Расчет Кплотн'!$D:$D,MATCH(D455,'Расчет Кплотн'!$A:$A,0))="район",IFERROR(VLOOKUP(INDEX('Расчет Кплотн'!$B:$B,MATCH(D455,'Расчет Кплотн'!$A:$A,0)),'БКПН (приказ 170)'!$A$4:$C$10,3,FALSE()),Моделирование!$F$2),Моделирование!$F$2)</f>
        <v>1686.17</v>
      </c>
    </row>
    <row r="456" customFormat="false" ht="15" hidden="false" customHeight="false" outlineLevel="0" collapsed="false">
      <c r="A456" s="12" t="n">
        <v>451</v>
      </c>
      <c r="B456" s="12" t="str">
        <f aca="false">'РПН 01.08 по МО'!B454</f>
        <v>КЫЗЫЛОРДИНСКАЯ</v>
      </c>
      <c r="C456" s="12" t="str">
        <f aca="false">'РПН 01.08 по МО'!C454</f>
        <v>КГПнПХВ "Жалагашская районная больница" управления здравоохранения Кызылординской области"</v>
      </c>
      <c r="D456" s="12" t="str">
        <f aca="false">'РПН 01.08 по МО'!E454</f>
        <v>4336</v>
      </c>
      <c r="E456" s="12" t="str">
        <f aca="false">'РПН 01.08 по МО'!F454</f>
        <v>Жалагашский район</v>
      </c>
      <c r="F456" s="13" t="n">
        <f aca="false">'РПН 01.08 по МО'!D454</f>
        <v>31043</v>
      </c>
      <c r="G456" s="14" t="n">
        <f aca="false">INDEX('Расчет Кплотн'!$K:$K,MATCH(D456,'Расчет Кплотн'!$A:$A,0))</f>
        <v>2</v>
      </c>
      <c r="H456" s="14" t="n">
        <f aca="false">INDEX('Расчет Кплотн'!$J:$J,MATCH(D456,'Расчет Кплотн'!$A:$A,0))</f>
        <v>2</v>
      </c>
      <c r="I456" s="3" t="n">
        <f aca="false">F456*Моделирование!$F$3*M456*G456/1000</f>
        <v>1256250.60744</v>
      </c>
      <c r="J456" s="3" t="n">
        <f aca="false">F456*Моделирование!$F$3*M456*H456/1000</f>
        <v>1256250.60744</v>
      </c>
      <c r="K456" s="3" t="n">
        <f aca="false">J456-I456</f>
        <v>0</v>
      </c>
      <c r="L456" s="4" t="n">
        <f aca="false">IFERROR(K456/I456,0)</f>
        <v>0</v>
      </c>
      <c r="M456" s="15" t="n">
        <f aca="false">IF(INDEX('Расчет Кплотн'!$D:$D,MATCH(D456,'Расчет Кплотн'!$A:$A,0))="район",IFERROR(VLOOKUP(INDEX('Расчет Кплотн'!$B:$B,MATCH(D456,'Расчет Кплотн'!$A:$A,0)),'БКПН (приказ 170)'!$A$4:$C$10,3,FALSE()),Моделирование!$F$2),Моделирование!$F$2)</f>
        <v>1686.17</v>
      </c>
    </row>
    <row r="457" customFormat="false" ht="15" hidden="false" customHeight="false" outlineLevel="0" collapsed="false">
      <c r="A457" s="12" t="n">
        <v>452</v>
      </c>
      <c r="B457" s="12" t="str">
        <f aca="false">'РПН 01.08 по МО'!B455</f>
        <v>КЫЗЫЛОРДИНСКАЯ</v>
      </c>
      <c r="C457" s="12" t="str">
        <f aca="false">'РПН 01.08 по МО'!C455</f>
        <v>КГП на ПХВ «Жанакорганская многопрофильная центральная районная больница» управления здравоохранения Кызылординской области»</v>
      </c>
      <c r="D457" s="12" t="str">
        <f aca="false">'РПН 01.08 по МО'!E455</f>
        <v>4340</v>
      </c>
      <c r="E457" s="12" t="str">
        <f aca="false">'РПН 01.08 по МО'!F455</f>
        <v>Жанакорганский район</v>
      </c>
      <c r="F457" s="13" t="n">
        <f aca="false">'РПН 01.08 по МО'!D455</f>
        <v>73194</v>
      </c>
      <c r="G457" s="14" t="n">
        <f aca="false">INDEX('Расчет Кплотн'!$K:$K,MATCH(D457,'Расчет Кплотн'!$A:$A,0))</f>
        <v>1.392</v>
      </c>
      <c r="H457" s="14" t="n">
        <f aca="false">INDEX('Расчет Кплотн'!$J:$J,MATCH(D457,'Расчет Кплотн'!$A:$A,0))</f>
        <v>2</v>
      </c>
      <c r="I457" s="3" t="n">
        <f aca="false">F457*Моделирование!$F$3*M457*G457/1000</f>
        <v>2061566.37067392</v>
      </c>
      <c r="J457" s="3" t="n">
        <f aca="false">F457*Моделирование!$F$3*M457*H457/1000</f>
        <v>2962020.64752</v>
      </c>
      <c r="K457" s="3" t="n">
        <f aca="false">J457-I457</f>
        <v>900454.27684608</v>
      </c>
      <c r="L457" s="4" t="n">
        <f aca="false">IFERROR(K457/I457,0)</f>
        <v>0.436781609195402</v>
      </c>
      <c r="M457" s="15" t="n">
        <f aca="false">IF(INDEX('Расчет Кплотн'!$D:$D,MATCH(D457,'Расчет Кплотн'!$A:$A,0))="район",IFERROR(VLOOKUP(INDEX('Расчет Кплотн'!$B:$B,MATCH(D457,'Расчет Кплотн'!$A:$A,0)),'БКПН (приказ 170)'!$A$4:$C$10,3,FALSE()),Моделирование!$F$2),Моделирование!$F$2)</f>
        <v>1686.17</v>
      </c>
    </row>
    <row r="458" customFormat="false" ht="15" hidden="false" customHeight="false" outlineLevel="0" collapsed="false">
      <c r="A458" s="12" t="n">
        <v>453</v>
      </c>
      <c r="B458" s="12" t="str">
        <f aca="false">'РПН 01.08 по МО'!B456</f>
        <v>КЫЗЫЛОРДИНСКАЯ</v>
      </c>
      <c r="C458" s="12" t="str">
        <f aca="false">'РПН 01.08 по МО'!C456</f>
        <v>КГП на ПХВ "Многопрофильная больница города Байконыр" управления здравоохранения Кызылординской области"</v>
      </c>
      <c r="D458" s="12" t="str">
        <f aca="false">'РПН 01.08 по МО'!E456</f>
        <v>4319</v>
      </c>
      <c r="E458" s="12" t="str">
        <f aca="false">'РПН 01.08 по МО'!F456</f>
        <v>Байконыр</v>
      </c>
      <c r="F458" s="13" t="n">
        <f aca="false">'РПН 01.08 по МО'!D456</f>
        <v>38907</v>
      </c>
      <c r="G458" s="14" t="n">
        <f aca="false">INDEX('Расчет Кплотн'!$K:$K,MATCH(D458,'Расчет Кплотн'!$A:$A,0))</f>
        <v>1.5</v>
      </c>
      <c r="H458" s="14" t="n">
        <f aca="false">INDEX('Расчет Кплотн'!$J:$J,MATCH(D458,'Расчет Кплотн'!$A:$A,0))</f>
        <v>1.5</v>
      </c>
      <c r="I458" s="3" t="n">
        <f aca="false">F458*Моделирование!$F$3*M458*G458/1000</f>
        <v>1180868.69142</v>
      </c>
      <c r="J458" s="3" t="n">
        <f aca="false">F458*Моделирование!$F$3*M458*H458/1000</f>
        <v>1180868.69142</v>
      </c>
      <c r="K458" s="3" t="n">
        <f aca="false">J458-I458</f>
        <v>0</v>
      </c>
      <c r="L458" s="4" t="n">
        <f aca="false">IFERROR(K458/I458,0)</f>
        <v>0</v>
      </c>
      <c r="M458" s="15" t="n">
        <f aca="false">IF(INDEX('Расчет Кплотн'!$D:$D,MATCH(D458,'Расчет Кплотн'!$A:$A,0))="район",IFERROR(VLOOKUP(INDEX('Расчет Кплотн'!$B:$B,MATCH(D458,'Расчет Кплотн'!$A:$A,0)),'БКПН (приказ 170)'!$A$4:$C$10,3,FALSE()),Моделирование!$F$2),Моделирование!$F$2)</f>
        <v>1686.17</v>
      </c>
    </row>
    <row r="459" customFormat="false" ht="15" hidden="false" customHeight="false" outlineLevel="0" collapsed="false">
      <c r="A459" s="12" t="n">
        <v>454</v>
      </c>
      <c r="B459" s="12" t="str">
        <f aca="false">'РПН 01.08 по МО'!B457</f>
        <v>КЫЗЫЛОРДИНСКАЯ</v>
      </c>
      <c r="C459" s="12" t="str">
        <f aca="false">'РПН 01.08 по МО'!C457</f>
        <v>КГП на ПХВ "Кармакшинская районная больница" управления здравоохранения Кызылординской области"</v>
      </c>
      <c r="D459" s="12" t="str">
        <f aca="false">'РПН 01.08 по МО'!E457</f>
        <v>4346</v>
      </c>
      <c r="E459" s="12" t="str">
        <f aca="false">'РПН 01.08 по МО'!F457</f>
        <v>Кармакшинский район</v>
      </c>
      <c r="F459" s="13" t="n">
        <f aca="false">'РПН 01.08 по МО'!D457</f>
        <v>30348</v>
      </c>
      <c r="G459" s="14" t="n">
        <f aca="false">INDEX('Расчет Кплотн'!$K:$K,MATCH(D459,'Расчет Кплотн'!$A:$A,0))</f>
        <v>2</v>
      </c>
      <c r="H459" s="14" t="n">
        <f aca="false">INDEX('Расчет Кплотн'!$J:$J,MATCH(D459,'Расчет Кплотн'!$A:$A,0))</f>
        <v>2</v>
      </c>
      <c r="I459" s="3" t="n">
        <f aca="false">F459*Моделирование!$F$3*M459*G459/1000</f>
        <v>1228125.29184</v>
      </c>
      <c r="J459" s="3" t="n">
        <f aca="false">F459*Моделирование!$F$3*M459*H459/1000</f>
        <v>1228125.29184</v>
      </c>
      <c r="K459" s="3" t="n">
        <f aca="false">J459-I459</f>
        <v>0</v>
      </c>
      <c r="L459" s="4" t="n">
        <f aca="false">IFERROR(K459/I459,0)</f>
        <v>0</v>
      </c>
      <c r="M459" s="15" t="n">
        <f aca="false">IF(INDEX('Расчет Кплотн'!$D:$D,MATCH(D459,'Расчет Кплотн'!$A:$A,0))="район",IFERROR(VLOOKUP(INDEX('Расчет Кплотн'!$B:$B,MATCH(D459,'Расчет Кплотн'!$A:$A,0)),'БКПН (приказ 170)'!$A$4:$C$10,3,FALSE()),Моделирование!$F$2),Моделирование!$F$2)</f>
        <v>1686.17</v>
      </c>
    </row>
    <row r="460" customFormat="false" ht="15" hidden="false" customHeight="false" outlineLevel="0" collapsed="false">
      <c r="A460" s="12" t="n">
        <v>455</v>
      </c>
      <c r="B460" s="12" t="str">
        <f aca="false">'РПН 01.08 по МО'!B458</f>
        <v>КЫЗЫЛОРДИНСКАЯ</v>
      </c>
      <c r="C460" s="12" t="str">
        <f aca="false">'РПН 01.08 по МО'!C458</f>
        <v>КГП НА ПХВ "Казалинская многопрофильная центральная районная больница" управления здравоохранения Кызылординской области"</v>
      </c>
      <c r="D460" s="12" t="str">
        <f aca="false">'РПН 01.08 по МО'!E458</f>
        <v>4344</v>
      </c>
      <c r="E460" s="12" t="str">
        <f aca="false">'РПН 01.08 по МО'!F458</f>
        <v>Казалинский район</v>
      </c>
      <c r="F460" s="13" t="n">
        <f aca="false">'РПН 01.08 по МО'!D458</f>
        <v>53406</v>
      </c>
      <c r="G460" s="14" t="n">
        <f aca="false">INDEX('Расчет Кплотн'!$K:$K,MATCH(D460,'Расчет Кплотн'!$A:$A,0))</f>
        <v>1.9817</v>
      </c>
      <c r="H460" s="14" t="n">
        <f aca="false">INDEX('Расчет Кплотн'!$J:$J,MATCH(D460,'Расчет Кплотн'!$A:$A,0))</f>
        <v>2</v>
      </c>
      <c r="I460" s="3" t="n">
        <f aca="false">F460*Моделирование!$F$3*M460*G460/1000</f>
        <v>2141462.95021361</v>
      </c>
      <c r="J460" s="3" t="n">
        <f aca="false">F460*Моделирование!$F$3*M460*H460/1000</f>
        <v>2161238.28048</v>
      </c>
      <c r="K460" s="3" t="n">
        <f aca="false">J460-I460</f>
        <v>19775.3302663923</v>
      </c>
      <c r="L460" s="4" t="n">
        <f aca="false">IFERROR(K460/I460,0)</f>
        <v>0.00923449563506096</v>
      </c>
      <c r="M460" s="15" t="n">
        <f aca="false">IF(INDEX('Расчет Кплотн'!$D:$D,MATCH(D460,'Расчет Кплотн'!$A:$A,0))="район",IFERROR(VLOOKUP(INDEX('Расчет Кплотн'!$B:$B,MATCH(D460,'Расчет Кплотн'!$A:$A,0)),'БКПН (приказ 170)'!$A$4:$C$10,3,FALSE()),Моделирование!$F$2),Моделирование!$F$2)</f>
        <v>1686.17</v>
      </c>
    </row>
    <row r="461" customFormat="false" ht="15" hidden="false" customHeight="false" outlineLevel="0" collapsed="false">
      <c r="A461" s="12" t="n">
        <v>456</v>
      </c>
      <c r="B461" s="12" t="str">
        <f aca="false">'РПН 01.08 по МО'!B459</f>
        <v>КЫЗЫЛОРДИНСКАЯ</v>
      </c>
      <c r="C461" s="12" t="str">
        <f aca="false">'РПН 01.08 по МО'!C459</f>
        <v>КГП на ПХВ "Городская поликлиника № 6" управления здравоохранения Кызылординской области</v>
      </c>
      <c r="D461" s="12" t="str">
        <f aca="false">'РПН 01.08 по МО'!E459</f>
        <v>4310</v>
      </c>
      <c r="E461" s="12" t="str">
        <f aca="false">'РПН 01.08 по МО'!F459</f>
        <v>Кызылорда</v>
      </c>
      <c r="F461" s="13" t="n">
        <f aca="false">'РПН 01.08 по МО'!D459</f>
        <v>64125</v>
      </c>
      <c r="G461" s="14" t="n">
        <f aca="false">INDEX('Расчет Кплотн'!$K:$K,MATCH(D461,'Расчет Кплотн'!$A:$A,0))</f>
        <v>1</v>
      </c>
      <c r="H461" s="14" t="n">
        <f aca="false">INDEX('Расчет Кплотн'!$J:$J,MATCH(D461,'Расчет Кплотн'!$A:$A,0))</f>
        <v>1</v>
      </c>
      <c r="I461" s="3" t="n">
        <f aca="false">F461*Моделирование!$F$3*M461*G461/1000</f>
        <v>1297507.815</v>
      </c>
      <c r="J461" s="3" t="n">
        <f aca="false">F461*Моделирование!$F$3*M461*H461/1000</f>
        <v>1297507.815</v>
      </c>
      <c r="K461" s="3" t="n">
        <f aca="false">J461-I461</f>
        <v>0</v>
      </c>
      <c r="L461" s="4" t="n">
        <f aca="false">IFERROR(K461/I461,0)</f>
        <v>0</v>
      </c>
      <c r="M461" s="15" t="n">
        <f aca="false">IF(INDEX('Расчет Кплотн'!$D:$D,MATCH(D461,'Расчет Кплотн'!$A:$A,0))="район",IFERROR(VLOOKUP(INDEX('Расчет Кплотн'!$B:$B,MATCH(D461,'Расчет Кплотн'!$A:$A,0)),'БКПН (приказ 170)'!$A$4:$C$10,3,FALSE()),Моделирование!$F$2),Моделирование!$F$2)</f>
        <v>1686.17</v>
      </c>
    </row>
    <row r="462" customFormat="false" ht="15" hidden="false" customHeight="false" outlineLevel="0" collapsed="false">
      <c r="A462" s="12" t="n">
        <v>457</v>
      </c>
      <c r="B462" s="12" t="str">
        <f aca="false">'РПН 01.08 по МО'!B460</f>
        <v>КЫЗЫЛОРДИНСКАЯ</v>
      </c>
      <c r="C462" s="12" t="str">
        <f aca="false">'РПН 01.08 по МО'!C460</f>
        <v>КГП на ПХВ "Городская поликлиника № 4" управления здравоохранения Кызылординской области"</v>
      </c>
      <c r="D462" s="12" t="str">
        <f aca="false">'РПН 01.08 по МО'!E460</f>
        <v>4310</v>
      </c>
      <c r="E462" s="12" t="str">
        <f aca="false">'РПН 01.08 по МО'!F460</f>
        <v>Кызылорда</v>
      </c>
      <c r="F462" s="13" t="n">
        <f aca="false">'РПН 01.08 по МО'!D460</f>
        <v>41154</v>
      </c>
      <c r="G462" s="14" t="n">
        <f aca="false">INDEX('Расчет Кплотн'!$K:$K,MATCH(D462,'Расчет Кплотн'!$A:$A,0))</f>
        <v>1</v>
      </c>
      <c r="H462" s="14" t="n">
        <f aca="false">INDEX('Расчет Кплотн'!$J:$J,MATCH(D462,'Расчет Кплотн'!$A:$A,0))</f>
        <v>1</v>
      </c>
      <c r="I462" s="3" t="n">
        <f aca="false">F462*Моделирование!$F$3*M462*G462/1000</f>
        <v>832711.68216</v>
      </c>
      <c r="J462" s="3" t="n">
        <f aca="false">F462*Моделирование!$F$3*M462*H462/1000</f>
        <v>832711.68216</v>
      </c>
      <c r="K462" s="3" t="n">
        <f aca="false">J462-I462</f>
        <v>0</v>
      </c>
      <c r="L462" s="4" t="n">
        <f aca="false">IFERROR(K462/I462,0)</f>
        <v>0</v>
      </c>
      <c r="M462" s="15" t="n">
        <f aca="false">IF(INDEX('Расчет Кплотн'!$D:$D,MATCH(D462,'Расчет Кплотн'!$A:$A,0))="район",IFERROR(VLOOKUP(INDEX('Расчет Кплотн'!$B:$B,MATCH(D462,'Расчет Кплотн'!$A:$A,0)),'БКПН (приказ 170)'!$A$4:$C$10,3,FALSE()),Моделирование!$F$2),Моделирование!$F$2)</f>
        <v>1686.17</v>
      </c>
    </row>
    <row r="463" customFormat="false" ht="15" hidden="false" customHeight="false" outlineLevel="0" collapsed="false">
      <c r="A463" s="12" t="n">
        <v>458</v>
      </c>
      <c r="B463" s="12" t="str">
        <f aca="false">'РПН 01.08 по МО'!B461</f>
        <v>КЫЗЫЛОРДИНСКАЯ</v>
      </c>
      <c r="C463" s="12" t="str">
        <f aca="false">'РПН 01.08 по МО'!C461</f>
        <v>КГП на ПХВ "Городская поликлиника № 3" управления здравоохранения Кызылординской области"</v>
      </c>
      <c r="D463" s="12" t="str">
        <f aca="false">'РПН 01.08 по МО'!E461</f>
        <v>4310</v>
      </c>
      <c r="E463" s="12" t="str">
        <f aca="false">'РПН 01.08 по МО'!F461</f>
        <v>Кызылорда</v>
      </c>
      <c r="F463" s="13" t="n">
        <f aca="false">'РПН 01.08 по МО'!D461</f>
        <v>58196</v>
      </c>
      <c r="G463" s="14" t="n">
        <f aca="false">INDEX('Расчет Кплотн'!$K:$K,MATCH(D463,'Расчет Кплотн'!$A:$A,0))</f>
        <v>1</v>
      </c>
      <c r="H463" s="14" t="n">
        <f aca="false">INDEX('Расчет Кплотн'!$J:$J,MATCH(D463,'Расчет Кплотн'!$A:$A,0))</f>
        <v>1</v>
      </c>
      <c r="I463" s="3" t="n">
        <f aca="false">F463*Моделирование!$F$3*M463*G463/1000</f>
        <v>1177540.19184</v>
      </c>
      <c r="J463" s="3" t="n">
        <f aca="false">F463*Моделирование!$F$3*M463*H463/1000</f>
        <v>1177540.19184</v>
      </c>
      <c r="K463" s="3" t="n">
        <f aca="false">J463-I463</f>
        <v>0</v>
      </c>
      <c r="L463" s="4" t="n">
        <f aca="false">IFERROR(K463/I463,0)</f>
        <v>0</v>
      </c>
      <c r="M463" s="15" t="n">
        <f aca="false">IF(INDEX('Расчет Кплотн'!$D:$D,MATCH(D463,'Расчет Кплотн'!$A:$A,0))="район",IFERROR(VLOOKUP(INDEX('Расчет Кплотн'!$B:$B,MATCH(D463,'Расчет Кплотн'!$A:$A,0)),'БКПН (приказ 170)'!$A$4:$C$10,3,FALSE()),Моделирование!$F$2),Моделирование!$F$2)</f>
        <v>1686.17</v>
      </c>
    </row>
    <row r="464" customFormat="false" ht="15" hidden="false" customHeight="false" outlineLevel="0" collapsed="false">
      <c r="A464" s="12" t="n">
        <v>459</v>
      </c>
      <c r="B464" s="12" t="str">
        <f aca="false">'РПН 01.08 по МО'!B462</f>
        <v>КЫЗЫЛОРДИНСКАЯ</v>
      </c>
      <c r="C464" s="12" t="str">
        <f aca="false">'РПН 01.08 по МО'!C462</f>
        <v>КГП на праве хозяйственного ведения "Шиелийская многопрофильная центральная районная больница" управления здравоохранения Кызылординской области"</v>
      </c>
      <c r="D464" s="12" t="str">
        <f aca="false">'РПН 01.08 по МО'!E462</f>
        <v>4352</v>
      </c>
      <c r="E464" s="12" t="str">
        <f aca="false">'РПН 01.08 по МО'!F462</f>
        <v>Шиелийский район</v>
      </c>
      <c r="F464" s="13" t="n">
        <f aca="false">'РПН 01.08 по МО'!D462</f>
        <v>77979</v>
      </c>
      <c r="G464" s="14" t="n">
        <f aca="false">INDEX('Расчет Кплотн'!$K:$K,MATCH(D464,'Расчет Кплотн'!$A:$A,0))</f>
        <v>1.7795</v>
      </c>
      <c r="H464" s="14" t="n">
        <f aca="false">INDEX('Расчет Кплотн'!$J:$J,MATCH(D464,'Расчет Кплотн'!$A:$A,0))</f>
        <v>2</v>
      </c>
      <c r="I464" s="3" t="n">
        <f aca="false">F464*Моделирование!$F$3*M464*G464/1000</f>
        <v>2807748.85008222</v>
      </c>
      <c r="J464" s="3" t="n">
        <f aca="false">F464*Моделирование!$F$3*M464*H464/1000</f>
        <v>3155660.41032</v>
      </c>
      <c r="K464" s="3" t="n">
        <f aca="false">J464-I464</f>
        <v>347911.56023778</v>
      </c>
      <c r="L464" s="4" t="n">
        <f aca="false">IFERROR(K464/I464,0)</f>
        <v>0.12391121101433</v>
      </c>
      <c r="M464" s="15" t="n">
        <f aca="false">IF(INDEX('Расчет Кплотн'!$D:$D,MATCH(D464,'Расчет Кплотн'!$A:$A,0))="район",IFERROR(VLOOKUP(INDEX('Расчет Кплотн'!$B:$B,MATCH(D464,'Расчет Кплотн'!$A:$A,0)),'БКПН (приказ 170)'!$A$4:$C$10,3,FALSE()),Моделирование!$F$2),Моделирование!$F$2)</f>
        <v>1686.17</v>
      </c>
    </row>
    <row r="465" customFormat="false" ht="15" hidden="false" customHeight="false" outlineLevel="0" collapsed="false">
      <c r="A465" s="12" t="n">
        <v>460</v>
      </c>
      <c r="B465" s="12" t="str">
        <f aca="false">'РПН 01.08 по МО'!B463</f>
        <v>КЫЗЫЛОРДИНСКАЯ</v>
      </c>
      <c r="C465" s="12" t="str">
        <f aca="false">'РПН 01.08 по МО'!C463</f>
        <v>КГП на праве хозяйственного ведения "Городская поликлиника № 5" управления здравоохранения Кызылординской области"</v>
      </c>
      <c r="D465" s="12" t="str">
        <f aca="false">'РПН 01.08 по МО'!E463</f>
        <v>4310</v>
      </c>
      <c r="E465" s="12" t="str">
        <f aca="false">'РПН 01.08 по МО'!F463</f>
        <v>Кызылорда</v>
      </c>
      <c r="F465" s="13" t="n">
        <f aca="false">'РПН 01.08 по МО'!D463</f>
        <v>35999</v>
      </c>
      <c r="G465" s="14" t="n">
        <f aca="false">INDEX('Расчет Кплотн'!$K:$K,MATCH(D465,'Расчет Кплотн'!$A:$A,0))</f>
        <v>1</v>
      </c>
      <c r="H465" s="14" t="n">
        <f aca="false">INDEX('Расчет Кплотн'!$J:$J,MATCH(D465,'Расчет Кплотн'!$A:$A,0))</f>
        <v>1</v>
      </c>
      <c r="I465" s="3" t="n">
        <f aca="false">F465*Моделирование!$F$3*M465*G465/1000</f>
        <v>728405.20596</v>
      </c>
      <c r="J465" s="3" t="n">
        <f aca="false">F465*Моделирование!$F$3*M465*H465/1000</f>
        <v>728405.20596</v>
      </c>
      <c r="K465" s="3" t="n">
        <f aca="false">J465-I465</f>
        <v>0</v>
      </c>
      <c r="L465" s="4" t="n">
        <f aca="false">IFERROR(K465/I465,0)</f>
        <v>0</v>
      </c>
      <c r="M465" s="15" t="n">
        <f aca="false">IF(INDEX('Расчет Кплотн'!$D:$D,MATCH(D465,'Расчет Кплотн'!$A:$A,0))="район",IFERROR(VLOOKUP(INDEX('Расчет Кплотн'!$B:$B,MATCH(D465,'Расчет Кплотн'!$A:$A,0)),'БКПН (приказ 170)'!$A$4:$C$10,3,FALSE()),Моделирование!$F$2),Моделирование!$F$2)</f>
        <v>1686.17</v>
      </c>
    </row>
    <row r="466" customFormat="false" ht="15" hidden="false" customHeight="false" outlineLevel="0" collapsed="false">
      <c r="A466" s="12" t="n">
        <v>461</v>
      </c>
      <c r="B466" s="12" t="str">
        <f aca="false">'РПН 01.08 по МО'!B464</f>
        <v>КЫЗЫЛОРДИНСКАЯ</v>
      </c>
      <c r="C466" s="12" t="str">
        <f aca="false">'РПН 01.08 по МО'!C464</f>
        <v>КГПнПХВ "Сырдарьинская районная больница" управления здравоохранения Кызылординской области</v>
      </c>
      <c r="D466" s="12" t="str">
        <f aca="false">'РПН 01.08 по МО'!E464</f>
        <v>4348</v>
      </c>
      <c r="E466" s="12" t="str">
        <f aca="false">'РПН 01.08 по МО'!F464</f>
        <v>Сырдарьинский район</v>
      </c>
      <c r="F466" s="13" t="n">
        <f aca="false">'РПН 01.08 по МО'!D464</f>
        <v>33447</v>
      </c>
      <c r="G466" s="14" t="n">
        <f aca="false">INDEX('Расчет Кплотн'!$K:$K,MATCH(D466,'Расчет Кплотн'!$A:$A,0))</f>
        <v>2</v>
      </c>
      <c r="H466" s="14" t="n">
        <f aca="false">INDEX('Расчет Кплотн'!$J:$J,MATCH(D466,'Расчет Кплотн'!$A:$A,0))</f>
        <v>2</v>
      </c>
      <c r="I466" s="3" t="n">
        <f aca="false">F466*Моделирование!$F$3*M466*G466/1000</f>
        <v>1353535.87176</v>
      </c>
      <c r="J466" s="3" t="n">
        <f aca="false">F466*Моделирование!$F$3*M466*H466/1000</f>
        <v>1353535.87176</v>
      </c>
      <c r="K466" s="3" t="n">
        <f aca="false">J466-I466</f>
        <v>0</v>
      </c>
      <c r="L466" s="4" t="n">
        <f aca="false">IFERROR(K466/I466,0)</f>
        <v>0</v>
      </c>
      <c r="M466" s="15" t="n">
        <f aca="false">IF(INDEX('Расчет Кплотн'!$D:$D,MATCH(D466,'Расчет Кплотн'!$A:$A,0))="район",IFERROR(VLOOKUP(INDEX('Расчет Кплотн'!$B:$B,MATCH(D466,'Расчет Кплотн'!$A:$A,0)),'БКПН (приказ 170)'!$A$4:$C$10,3,FALSE()),Моделирование!$F$2),Моделирование!$F$2)</f>
        <v>1686.17</v>
      </c>
    </row>
    <row r="467" customFormat="false" ht="15" hidden="false" customHeight="false" outlineLevel="0" collapsed="false">
      <c r="A467" s="12" t="n">
        <v>462</v>
      </c>
      <c r="B467" s="12" t="str">
        <f aca="false">'РПН 01.08 по МО'!B465</f>
        <v>МАНГИСТАУСКАЯ</v>
      </c>
      <c r="C467" s="12" t="str">
        <f aca="false">'РПН 01.08 по МО'!C465</f>
        <v>ТОО "Медицинский Центр "Мухамбет"</v>
      </c>
      <c r="D467" s="12" t="str">
        <f aca="false">'РПН 01.08 по МО'!E465</f>
        <v>4750</v>
      </c>
      <c r="E467" s="12" t="str">
        <f aca="false">'РПН 01.08 по МО'!F465</f>
        <v>Мунайлинский район</v>
      </c>
      <c r="F467" s="13" t="n">
        <f aca="false">'РПН 01.08 по МО'!D465</f>
        <v>37131</v>
      </c>
      <c r="G467" s="14" t="n">
        <f aca="false">INDEX('Расчет Кплотн'!$K:$K,MATCH(D467,'Расчет Кплотн'!$A:$A,0))</f>
        <v>1.061</v>
      </c>
      <c r="H467" s="14" t="n">
        <f aca="false">INDEX('Расчет Кплотн'!$J:$J,MATCH(D467,'Расчет Кплотн'!$A:$A,0))</f>
        <v>1.1481</v>
      </c>
      <c r="I467" s="3" t="n">
        <f aca="false">F467*Моделирование!$F$3*M467*G467/1000</f>
        <v>797140.05773364</v>
      </c>
      <c r="J467" s="3" t="n">
        <f aca="false">F467*Моделирование!$F$3*M467*H467/1000</f>
        <v>862579.170861444</v>
      </c>
      <c r="K467" s="3" t="n">
        <f aca="false">J467-I467</f>
        <v>65439.1131278039</v>
      </c>
      <c r="L467" s="4" t="n">
        <f aca="false">IFERROR(K467/I467,0)</f>
        <v>0.0820923656927426</v>
      </c>
      <c r="M467" s="15" t="n">
        <f aca="false">IF(INDEX('Расчет Кплотн'!$D:$D,MATCH(D467,'Расчет Кплотн'!$A:$A,0))="район",IFERROR(VLOOKUP(INDEX('Расчет Кплотн'!$B:$B,MATCH(D467,'Расчет Кплотн'!$A:$A,0)),'БКПН (приказ 170)'!$A$4:$C$10,3,FALSE()),Моделирование!$F$2),Моделирование!$F$2)</f>
        <v>1686.17</v>
      </c>
    </row>
    <row r="468" customFormat="false" ht="15" hidden="false" customHeight="false" outlineLevel="0" collapsed="false">
      <c r="A468" s="12" t="n">
        <v>463</v>
      </c>
      <c r="B468" s="12" t="str">
        <f aca="false">'РПН 01.08 по МО'!B466</f>
        <v>МАНГИСТАУСКАЯ</v>
      </c>
      <c r="C468" s="12" t="str">
        <f aca="false">'РПН 01.08 по МО'!C466</f>
        <v>ТОО "Медикер Каспий"</v>
      </c>
      <c r="D468" s="12" t="str">
        <f aca="false">'РПН 01.08 по МО'!E466</f>
        <v>4710</v>
      </c>
      <c r="E468" s="12" t="str">
        <f aca="false">'РПН 01.08 по МО'!F466</f>
        <v>Актау</v>
      </c>
      <c r="F468" s="13" t="n">
        <f aca="false">'РПН 01.08 по МО'!D466</f>
        <v>5233</v>
      </c>
      <c r="G468" s="14" t="n">
        <f aca="false">INDEX('Расчет Кплотн'!$K:$K,MATCH(D468,'Расчет Кплотн'!$A:$A,0))</f>
        <v>1</v>
      </c>
      <c r="H468" s="14" t="n">
        <f aca="false">INDEX('Расчет Кплотн'!$J:$J,MATCH(D468,'Расчет Кплотн'!$A:$A,0))</f>
        <v>1</v>
      </c>
      <c r="I468" s="3" t="n">
        <f aca="false">F468*Моделирование!$F$3*M468*G468/1000</f>
        <v>105884.73132</v>
      </c>
      <c r="J468" s="3" t="n">
        <f aca="false">F468*Моделирование!$F$3*M468*H468/1000</f>
        <v>105884.73132</v>
      </c>
      <c r="K468" s="3" t="n">
        <f aca="false">J468-I468</f>
        <v>0</v>
      </c>
      <c r="L468" s="4" t="n">
        <f aca="false">IFERROR(K468/I468,0)</f>
        <v>0</v>
      </c>
      <c r="M468" s="15" t="n">
        <f aca="false">IF(INDEX('Расчет Кплотн'!$D:$D,MATCH(D468,'Расчет Кплотн'!$A:$A,0))="район",IFERROR(VLOOKUP(INDEX('Расчет Кплотн'!$B:$B,MATCH(D468,'Расчет Кплотн'!$A:$A,0)),'БКПН (приказ 170)'!$A$4:$C$10,3,FALSE()),Моделирование!$F$2),Моделирование!$F$2)</f>
        <v>1686.17</v>
      </c>
    </row>
    <row r="469" customFormat="false" ht="15" hidden="false" customHeight="false" outlineLevel="0" collapsed="false">
      <c r="A469" s="12" t="n">
        <v>464</v>
      </c>
      <c r="B469" s="12" t="str">
        <f aca="false">'РПН 01.08 по МО'!B467</f>
        <v>МАНГИСТАУСКАЯ</v>
      </c>
      <c r="C469" s="12" t="str">
        <f aca="false">'РПН 01.08 по МО'!C467</f>
        <v>ТОО "Еркемед"</v>
      </c>
      <c r="D469" s="12" t="str">
        <f aca="false">'РПН 01.08 по МО'!E467</f>
        <v>4710</v>
      </c>
      <c r="E469" s="12" t="str">
        <f aca="false">'РПН 01.08 по МО'!F467</f>
        <v>Актау</v>
      </c>
      <c r="F469" s="13" t="n">
        <f aca="false">'РПН 01.08 по МО'!D467</f>
        <v>27114</v>
      </c>
      <c r="G469" s="14" t="n">
        <f aca="false">INDEX('Расчет Кплотн'!$K:$K,MATCH(D469,'Расчет Кплотн'!$A:$A,0))</f>
        <v>1</v>
      </c>
      <c r="H469" s="14" t="n">
        <f aca="false">INDEX('Расчет Кплотн'!$J:$J,MATCH(D469,'Расчет Кплотн'!$A:$A,0))</f>
        <v>1</v>
      </c>
      <c r="I469" s="3" t="n">
        <f aca="false">F469*Моделирование!$F$3*M469*G469/1000</f>
        <v>548625.76056</v>
      </c>
      <c r="J469" s="3" t="n">
        <f aca="false">F469*Моделирование!$F$3*M469*H469/1000</f>
        <v>548625.76056</v>
      </c>
      <c r="K469" s="3" t="n">
        <f aca="false">J469-I469</f>
        <v>0</v>
      </c>
      <c r="L469" s="4" t="n">
        <f aca="false">IFERROR(K469/I469,0)</f>
        <v>0</v>
      </c>
      <c r="M469" s="15" t="n">
        <f aca="false">IF(INDEX('Расчет Кплотн'!$D:$D,MATCH(D469,'Расчет Кплотн'!$A:$A,0))="район",IFERROR(VLOOKUP(INDEX('Расчет Кплотн'!$B:$B,MATCH(D469,'Расчет Кплотн'!$A:$A,0)),'БКПН (приказ 170)'!$A$4:$C$10,3,FALSE()),Моделирование!$F$2),Моделирование!$F$2)</f>
        <v>1686.17</v>
      </c>
    </row>
    <row r="470" customFormat="false" ht="15" hidden="false" customHeight="false" outlineLevel="0" collapsed="false">
      <c r="A470" s="12" t="n">
        <v>465</v>
      </c>
      <c r="B470" s="12" t="str">
        <f aca="false">'РПН 01.08 по МО'!B468</f>
        <v>МАНГИСТАУСКАЯ</v>
      </c>
      <c r="C470" s="12" t="str">
        <f aca="false">'РПН 01.08 по МО'!C468</f>
        <v>ТОО "UZENMEDICS"</v>
      </c>
      <c r="D470" s="12" t="str">
        <f aca="false">'РПН 01.08 по МО'!E468</f>
        <v>4718</v>
      </c>
      <c r="E470" s="12" t="str">
        <f aca="false">'РПН 01.08 по МО'!F468</f>
        <v>Жанаозен</v>
      </c>
      <c r="F470" s="13" t="n">
        <f aca="false">'РПН 01.08 по МО'!D468</f>
        <v>15493</v>
      </c>
      <c r="G470" s="14" t="n">
        <f aca="false">INDEX('Расчет Кплотн'!$K:$K,MATCH(D470,'Расчет Кплотн'!$A:$A,0))</f>
        <v>1.5</v>
      </c>
      <c r="H470" s="14" t="n">
        <f aca="false">INDEX('Расчет Кплотн'!$J:$J,MATCH(D470,'Расчет Кплотн'!$A:$A,0))</f>
        <v>1.5</v>
      </c>
      <c r="I470" s="3" t="n">
        <f aca="false">F470*Моделирование!$F$3*M470*G470/1000</f>
        <v>470228.97258</v>
      </c>
      <c r="J470" s="3" t="n">
        <f aca="false">F470*Моделирование!$F$3*M470*H470/1000</f>
        <v>470228.97258</v>
      </c>
      <c r="K470" s="3" t="n">
        <f aca="false">J470-I470</f>
        <v>0</v>
      </c>
      <c r="L470" s="4" t="n">
        <f aca="false">IFERROR(K470/I470,0)</f>
        <v>0</v>
      </c>
      <c r="M470" s="15" t="n">
        <f aca="false">IF(INDEX('Расчет Кплотн'!$D:$D,MATCH(D470,'Расчет Кплотн'!$A:$A,0))="район",IFERROR(VLOOKUP(INDEX('Расчет Кплотн'!$B:$B,MATCH(D470,'Расчет Кплотн'!$A:$A,0)),'БКПН (приказ 170)'!$A$4:$C$10,3,FALSE()),Моделирование!$F$2),Моделирование!$F$2)</f>
        <v>1686.17</v>
      </c>
    </row>
    <row r="471" customFormat="false" ht="15" hidden="false" customHeight="false" outlineLevel="0" collapsed="false">
      <c r="A471" s="12" t="n">
        <v>466</v>
      </c>
      <c r="B471" s="12" t="str">
        <f aca="false">'РПН 01.08 по МО'!B469</f>
        <v>МАНГИСТАУСКАЯ</v>
      </c>
      <c r="C471" s="12" t="str">
        <f aca="false">'РПН 01.08 по МО'!C469</f>
        <v>ТОО "West Medical Corp"</v>
      </c>
      <c r="D471" s="12" t="str">
        <f aca="false">'РПН 01.08 по МО'!E469</f>
        <v>4710</v>
      </c>
      <c r="E471" s="12" t="str">
        <f aca="false">'РПН 01.08 по МО'!F469</f>
        <v>Актау</v>
      </c>
      <c r="F471" s="13" t="n">
        <f aca="false">'РПН 01.08 по МО'!D469</f>
        <v>8974</v>
      </c>
      <c r="G471" s="14" t="n">
        <f aca="false">INDEX('Расчет Кплотн'!$K:$K,MATCH(D471,'Расчет Кплотн'!$A:$A,0))</f>
        <v>1</v>
      </c>
      <c r="H471" s="14" t="n">
        <f aca="false">INDEX('Расчет Кплотн'!$J:$J,MATCH(D471,'Расчет Кплотн'!$A:$A,0))</f>
        <v>1</v>
      </c>
      <c r="I471" s="3" t="n">
        <f aca="false">F471*Моделирование!$F$3*M471*G471/1000</f>
        <v>181580.27496</v>
      </c>
      <c r="J471" s="3" t="n">
        <f aca="false">F471*Моделирование!$F$3*M471*H471/1000</f>
        <v>181580.27496</v>
      </c>
      <c r="K471" s="3" t="n">
        <f aca="false">J471-I471</f>
        <v>0</v>
      </c>
      <c r="L471" s="4" t="n">
        <f aca="false">IFERROR(K471/I471,0)</f>
        <v>0</v>
      </c>
      <c r="M471" s="15" t="n">
        <f aca="false">IF(INDEX('Расчет Кплотн'!$D:$D,MATCH(D471,'Расчет Кплотн'!$A:$A,0))="район",IFERROR(VLOOKUP(INDEX('Расчет Кплотн'!$B:$B,MATCH(D471,'Расчет Кплотн'!$A:$A,0)),'БКПН (приказ 170)'!$A$4:$C$10,3,FALSE()),Моделирование!$F$2),Моделирование!$F$2)</f>
        <v>1686.17</v>
      </c>
    </row>
    <row r="472" customFormat="false" ht="15" hidden="false" customHeight="false" outlineLevel="0" collapsed="false">
      <c r="A472" s="12" t="n">
        <v>467</v>
      </c>
      <c r="B472" s="12" t="str">
        <f aca="false">'РПН 01.08 по МО'!B470</f>
        <v>МАНГИСТАУСКАЯ</v>
      </c>
      <c r="C472" s="12" t="str">
        <f aca="false">'РПН 01.08 по МО'!C470</f>
        <v>ТОО "Медицинский центр "ЯСИН - Атамекен"</v>
      </c>
      <c r="D472" s="12" t="str">
        <f aca="false">'РПН 01.08 по МО'!E470</f>
        <v>4750</v>
      </c>
      <c r="E472" s="12" t="str">
        <f aca="false">'РПН 01.08 по МО'!F470</f>
        <v>Мунайлинский район</v>
      </c>
      <c r="F472" s="13" t="n">
        <f aca="false">'РПН 01.08 по МО'!D470</f>
        <v>10371</v>
      </c>
      <c r="G472" s="14" t="n">
        <f aca="false">INDEX('Расчет Кплотн'!$K:$K,MATCH(D472,'Расчет Кплотн'!$A:$A,0))</f>
        <v>1.061</v>
      </c>
      <c r="H472" s="14" t="n">
        <f aca="false">INDEX('Расчет Кплотн'!$J:$J,MATCH(D472,'Расчет Кплотн'!$A:$A,0))</f>
        <v>1.1481</v>
      </c>
      <c r="I472" s="3" t="n">
        <f aca="false">F472*Моделирование!$F$3*M472*G472/1000</f>
        <v>222647.90979924</v>
      </c>
      <c r="J472" s="3" t="n">
        <f aca="false">F472*Моделирование!$F$3*M472*H472/1000</f>
        <v>240925.603431204</v>
      </c>
      <c r="K472" s="3" t="n">
        <f aca="false">J472-I472</f>
        <v>18277.693631964</v>
      </c>
      <c r="L472" s="4" t="n">
        <f aca="false">IFERROR(K472/I472,0)</f>
        <v>0.0820923656927426</v>
      </c>
      <c r="M472" s="15" t="n">
        <f aca="false">IF(INDEX('Расчет Кплотн'!$D:$D,MATCH(D472,'Расчет Кплотн'!$A:$A,0))="район",IFERROR(VLOOKUP(INDEX('Расчет Кплотн'!$B:$B,MATCH(D472,'Расчет Кплотн'!$A:$A,0)),'БКПН (приказ 170)'!$A$4:$C$10,3,FALSE()),Моделирование!$F$2),Моделирование!$F$2)</f>
        <v>1686.17</v>
      </c>
    </row>
    <row r="473" customFormat="false" ht="15" hidden="false" customHeight="false" outlineLevel="0" collapsed="false">
      <c r="A473" s="12" t="n">
        <v>468</v>
      </c>
      <c r="B473" s="12" t="str">
        <f aca="false">'РПН 01.08 по МО'!B471</f>
        <v>МАНГИСТАУСКАЯ</v>
      </c>
      <c r="C473" s="12" t="str">
        <f aca="false">'РПН 01.08 по МО'!C471</f>
        <v>ТОО "Абылхайрхан"</v>
      </c>
      <c r="D473" s="12" t="str">
        <f aca="false">'РПН 01.08 по МО'!E471</f>
        <v>4742</v>
      </c>
      <c r="E473" s="12" t="str">
        <f aca="false">'РПН 01.08 по МО'!F471</f>
        <v>Каракиянский район</v>
      </c>
      <c r="F473" s="13" t="n">
        <f aca="false">'РПН 01.08 по МО'!D471</f>
        <v>10548</v>
      </c>
      <c r="G473" s="14" t="n">
        <f aca="false">INDEX('Расчет Кплотн'!$K:$K,MATCH(D473,'Расчет Кплотн'!$A:$A,0))</f>
        <v>2</v>
      </c>
      <c r="H473" s="14" t="n">
        <f aca="false">INDEX('Расчет Кплотн'!$J:$J,MATCH(D473,'Расчет Кплотн'!$A:$A,0))</f>
        <v>2</v>
      </c>
      <c r="I473" s="3" t="n">
        <f aca="false">F473*Моделирование!$F$3*M473*G473/1000</f>
        <v>426857.30784</v>
      </c>
      <c r="J473" s="3" t="n">
        <f aca="false">F473*Моделирование!$F$3*M473*H473/1000</f>
        <v>426857.30784</v>
      </c>
      <c r="K473" s="3" t="n">
        <f aca="false">J473-I473</f>
        <v>0</v>
      </c>
      <c r="L473" s="4" t="n">
        <f aca="false">IFERROR(K473/I473,0)</f>
        <v>0</v>
      </c>
      <c r="M473" s="15" t="n">
        <f aca="false">IF(INDEX('Расчет Кплотн'!$D:$D,MATCH(D473,'Расчет Кплотн'!$A:$A,0))="район",IFERROR(VLOOKUP(INDEX('Расчет Кплотн'!$B:$B,MATCH(D473,'Расчет Кплотн'!$A:$A,0)),'БКПН (приказ 170)'!$A$4:$C$10,3,FALSE()),Моделирование!$F$2),Моделирование!$F$2)</f>
        <v>1686.17</v>
      </c>
    </row>
    <row r="474" customFormat="false" ht="15" hidden="false" customHeight="false" outlineLevel="0" collapsed="false">
      <c r="A474" s="12" t="n">
        <v>469</v>
      </c>
      <c r="B474" s="12" t="str">
        <f aca="false">'РПН 01.08 по МО'!B472</f>
        <v>МАНГИСТАУСКАЯ</v>
      </c>
      <c r="C474" s="12" t="str">
        <f aca="false">'РПН 01.08 по МО'!C472</f>
        <v>ТОО "Медцентр Медина"</v>
      </c>
      <c r="D474" s="12" t="str">
        <f aca="false">'РПН 01.08 по МО'!E472</f>
        <v>4750</v>
      </c>
      <c r="E474" s="12" t="str">
        <f aca="false">'РПН 01.08 по МО'!F472</f>
        <v>Мунайлинский район</v>
      </c>
      <c r="F474" s="13" t="n">
        <f aca="false">'РПН 01.08 по МО'!D472</f>
        <v>13237</v>
      </c>
      <c r="G474" s="14" t="n">
        <f aca="false">INDEX('Расчет Кплотн'!$K:$K,MATCH(D474,'Расчет Кплотн'!$A:$A,0))</f>
        <v>1.061</v>
      </c>
      <c r="H474" s="14" t="n">
        <f aca="false">INDEX('Расчет Кплотн'!$J:$J,MATCH(D474,'Расчет Кплотн'!$A:$A,0))</f>
        <v>1.1481</v>
      </c>
      <c r="I474" s="3" t="n">
        <f aca="false">F474*Моделирование!$F$3*M474*G474/1000</f>
        <v>284176.10471628</v>
      </c>
      <c r="J474" s="3" t="n">
        <f aca="false">F474*Моделирование!$F$3*M474*H474/1000</f>
        <v>307504.793425788</v>
      </c>
      <c r="K474" s="3" t="n">
        <f aca="false">J474-I474</f>
        <v>23328.688709508</v>
      </c>
      <c r="L474" s="4" t="n">
        <f aca="false">IFERROR(K474/I474,0)</f>
        <v>0.0820923656927426</v>
      </c>
      <c r="M474" s="15" t="n">
        <f aca="false">IF(INDEX('Расчет Кплотн'!$D:$D,MATCH(D474,'Расчет Кплотн'!$A:$A,0))="район",IFERROR(VLOOKUP(INDEX('Расчет Кплотн'!$B:$B,MATCH(D474,'Расчет Кплотн'!$A:$A,0)),'БКПН (приказ 170)'!$A$4:$C$10,3,FALSE()),Моделирование!$F$2),Моделирование!$F$2)</f>
        <v>1686.17</v>
      </c>
    </row>
    <row r="475" customFormat="false" ht="15" hidden="false" customHeight="false" outlineLevel="0" collapsed="false">
      <c r="A475" s="12" t="n">
        <v>470</v>
      </c>
      <c r="B475" s="12" t="str">
        <f aca="false">'РПН 01.08 по МО'!B473</f>
        <v>МАНГИСТАУСКАЯ</v>
      </c>
      <c r="C475" s="12" t="str">
        <f aca="false">'РПН 01.08 по МО'!C473</f>
        <v>ТОО "Сагынмед"</v>
      </c>
      <c r="D475" s="12" t="str">
        <f aca="false">'РПН 01.08 по МО'!E473</f>
        <v>4746</v>
      </c>
      <c r="E475" s="12" t="str">
        <f aca="false">'РПН 01.08 по МО'!F473</f>
        <v>Мангистауский район</v>
      </c>
      <c r="F475" s="13" t="n">
        <f aca="false">'РПН 01.08 по МО'!D473</f>
        <v>3482</v>
      </c>
      <c r="G475" s="14" t="n">
        <f aca="false">INDEX('Расчет Кплотн'!$K:$K,MATCH(D475,'Расчет Кплотн'!$A:$A,0))</f>
        <v>2</v>
      </c>
      <c r="H475" s="14" t="n">
        <f aca="false">INDEX('Расчет Кплотн'!$J:$J,MATCH(D475,'Расчет Кплотн'!$A:$A,0))</f>
        <v>2</v>
      </c>
      <c r="I475" s="3" t="n">
        <f aca="false">F475*Моделирование!$F$3*M475*G475/1000</f>
        <v>140909.85456</v>
      </c>
      <c r="J475" s="3" t="n">
        <f aca="false">F475*Моделирование!$F$3*M475*H475/1000</f>
        <v>140909.85456</v>
      </c>
      <c r="K475" s="3" t="n">
        <f aca="false">J475-I475</f>
        <v>0</v>
      </c>
      <c r="L475" s="4" t="n">
        <f aca="false">IFERROR(K475/I475,0)</f>
        <v>0</v>
      </c>
      <c r="M475" s="15" t="n">
        <f aca="false">IF(INDEX('Расчет Кплотн'!$D:$D,MATCH(D475,'Расчет Кплотн'!$A:$A,0))="район",IFERROR(VLOOKUP(INDEX('Расчет Кплотн'!$B:$B,MATCH(D475,'Расчет Кплотн'!$A:$A,0)),'БКПН (приказ 170)'!$A$4:$C$10,3,FALSE()),Моделирование!$F$2),Моделирование!$F$2)</f>
        <v>1686.17</v>
      </c>
    </row>
    <row r="476" customFormat="false" ht="15" hidden="false" customHeight="false" outlineLevel="0" collapsed="false">
      <c r="A476" s="12" t="n">
        <v>471</v>
      </c>
      <c r="B476" s="12" t="str">
        <f aca="false">'РПН 01.08 по МО'!B474</f>
        <v>МАНГИСТАУСКАЯ</v>
      </c>
      <c r="C476" s="12" t="str">
        <f aca="false">'РПН 01.08 по МО'!C474</f>
        <v>ТОО "Многопрофильная клиника "Sofie Medgroup" /Софи Медгрупп/</v>
      </c>
      <c r="D476" s="12" t="str">
        <f aca="false">'РПН 01.08 по МО'!E474</f>
        <v>4710</v>
      </c>
      <c r="E476" s="12" t="str">
        <f aca="false">'РПН 01.08 по МО'!F474</f>
        <v>Актау</v>
      </c>
      <c r="F476" s="13" t="n">
        <f aca="false">'РПН 01.08 по МО'!D474</f>
        <v>28584</v>
      </c>
      <c r="G476" s="14" t="n">
        <f aca="false">INDEX('Расчет Кплотн'!$K:$K,MATCH(D476,'Расчет Кплотн'!$A:$A,0))</f>
        <v>1</v>
      </c>
      <c r="H476" s="14" t="n">
        <f aca="false">INDEX('Расчет Кплотн'!$J:$J,MATCH(D476,'Расчет Кплотн'!$A:$A,0))</f>
        <v>1</v>
      </c>
      <c r="I476" s="3" t="n">
        <f aca="false">F476*Моделирование!$F$3*M476*G476/1000</f>
        <v>578369.79936</v>
      </c>
      <c r="J476" s="3" t="n">
        <f aca="false">F476*Моделирование!$F$3*M476*H476/1000</f>
        <v>578369.79936</v>
      </c>
      <c r="K476" s="3" t="n">
        <f aca="false">J476-I476</f>
        <v>0</v>
      </c>
      <c r="L476" s="4" t="n">
        <f aca="false">IFERROR(K476/I476,0)</f>
        <v>0</v>
      </c>
      <c r="M476" s="15" t="n">
        <f aca="false">IF(INDEX('Расчет Кплотн'!$D:$D,MATCH(D476,'Расчет Кплотн'!$A:$A,0))="район",IFERROR(VLOOKUP(INDEX('Расчет Кплотн'!$B:$B,MATCH(D476,'Расчет Кплотн'!$A:$A,0)),'БКПН (приказ 170)'!$A$4:$C$10,3,FALSE()),Моделирование!$F$2),Моделирование!$F$2)</f>
        <v>1686.17</v>
      </c>
    </row>
    <row r="477" customFormat="false" ht="15" hidden="false" customHeight="false" outlineLevel="0" collapsed="false">
      <c r="A477" s="12" t="n">
        <v>472</v>
      </c>
      <c r="B477" s="12" t="str">
        <f aca="false">'РПН 01.08 по МО'!B475</f>
        <v>МАНГИСТАУСКАЯ</v>
      </c>
      <c r="C477" s="12" t="str">
        <f aca="false">'РПН 01.08 по МО'!C475</f>
        <v>ТОО "МЦ Жоламан"</v>
      </c>
      <c r="D477" s="12" t="str">
        <f aca="false">'РПН 01.08 по МО'!E475</f>
        <v>4752</v>
      </c>
      <c r="E477" s="12" t="str">
        <f aca="false">'РПН 01.08 по МО'!F475</f>
        <v>Тупкараганский район</v>
      </c>
      <c r="F477" s="13" t="n">
        <f aca="false">'РПН 01.08 по МО'!D475</f>
        <v>6911</v>
      </c>
      <c r="G477" s="14" t="n">
        <f aca="false">INDEX('Расчет Кплотн'!$K:$K,MATCH(D477,'Расчет Кплотн'!$A:$A,0))</f>
        <v>1.4236</v>
      </c>
      <c r="H477" s="14" t="n">
        <f aca="false">INDEX('Расчет Кплотн'!$J:$J,MATCH(D477,'Расчет Кплотн'!$A:$A,0))</f>
        <v>2</v>
      </c>
      <c r="I477" s="3" t="n">
        <f aca="false">F477*Моделирование!$F$3*M477*G477/1000</f>
        <v>199072.594446384</v>
      </c>
      <c r="J477" s="3" t="n">
        <f aca="false">F477*Моделирование!$F$3*M477*H477/1000</f>
        <v>279674.90088</v>
      </c>
      <c r="K477" s="3" t="n">
        <f aca="false">J477-I477</f>
        <v>80602.306433616</v>
      </c>
      <c r="L477" s="4" t="n">
        <f aca="false">IFERROR(K477/I477,0)</f>
        <v>0.404889013767912</v>
      </c>
      <c r="M477" s="15" t="n">
        <f aca="false">IF(INDEX('Расчет Кплотн'!$D:$D,MATCH(D477,'Расчет Кплотн'!$A:$A,0))="район",IFERROR(VLOOKUP(INDEX('Расчет Кплотн'!$B:$B,MATCH(D477,'Расчет Кплотн'!$A:$A,0)),'БКПН (приказ 170)'!$A$4:$C$10,3,FALSE()),Моделирование!$F$2),Моделирование!$F$2)</f>
        <v>1686.17</v>
      </c>
    </row>
    <row r="478" customFormat="false" ht="15" hidden="false" customHeight="false" outlineLevel="0" collapsed="false">
      <c r="A478" s="12" t="n">
        <v>473</v>
      </c>
      <c r="B478" s="12" t="str">
        <f aca="false">'РПН 01.08 по МО'!B476</f>
        <v>МАНГИСТАУСКАЯ</v>
      </c>
      <c r="C478" s="12" t="str">
        <f aca="false">'РПН 01.08 по МО'!C476</f>
        <v>ТОО "Нейрон-Узень"</v>
      </c>
      <c r="D478" s="12" t="str">
        <f aca="false">'РПН 01.08 по МО'!E476</f>
        <v>4718</v>
      </c>
      <c r="E478" s="12" t="str">
        <f aca="false">'РПН 01.08 по МО'!F476</f>
        <v>Жанаозен</v>
      </c>
      <c r="F478" s="13" t="n">
        <f aca="false">'РПН 01.08 по МО'!D476</f>
        <v>15598</v>
      </c>
      <c r="G478" s="14" t="n">
        <f aca="false">INDEX('Расчет Кплотн'!$K:$K,MATCH(D478,'Расчет Кплотн'!$A:$A,0))</f>
        <v>1.5</v>
      </c>
      <c r="H478" s="14" t="n">
        <f aca="false">INDEX('Расчет Кплотн'!$J:$J,MATCH(D478,'Расчет Кплотн'!$A:$A,0))</f>
        <v>1.5</v>
      </c>
      <c r="I478" s="3" t="n">
        <f aca="false">F478*Моделирование!$F$3*M478*G478/1000</f>
        <v>473415.83388</v>
      </c>
      <c r="J478" s="3" t="n">
        <f aca="false">F478*Моделирование!$F$3*M478*H478/1000</f>
        <v>473415.83388</v>
      </c>
      <c r="K478" s="3" t="n">
        <f aca="false">J478-I478</f>
        <v>0</v>
      </c>
      <c r="L478" s="4" t="n">
        <f aca="false">IFERROR(K478/I478,0)</f>
        <v>0</v>
      </c>
      <c r="M478" s="15" t="n">
        <f aca="false">IF(INDEX('Расчет Кплотн'!$D:$D,MATCH(D478,'Расчет Кплотн'!$A:$A,0))="район",IFERROR(VLOOKUP(INDEX('Расчет Кплотн'!$B:$B,MATCH(D478,'Расчет Кплотн'!$A:$A,0)),'БКПН (приказ 170)'!$A$4:$C$10,3,FALSE()),Моделирование!$F$2),Моделирование!$F$2)</f>
        <v>1686.17</v>
      </c>
    </row>
    <row r="479" customFormat="false" ht="15" hidden="false" customHeight="false" outlineLevel="0" collapsed="false">
      <c r="A479" s="12" t="n">
        <v>474</v>
      </c>
      <c r="B479" s="12" t="str">
        <f aca="false">'РПН 01.08 по МО'!B477</f>
        <v>МАНГИСТАУСКАЯ</v>
      </c>
      <c r="C479" s="12" t="str">
        <f aca="false">'РПН 01.08 по МО'!C477</f>
        <v>ТОО медицинский центр «Reamed»</v>
      </c>
      <c r="D479" s="12" t="str">
        <f aca="false">'РПН 01.08 по МО'!E477</f>
        <v>4710</v>
      </c>
      <c r="E479" s="12" t="str">
        <f aca="false">'РПН 01.08 по МО'!F477</f>
        <v>Актау</v>
      </c>
      <c r="F479" s="13" t="n">
        <f aca="false">'РПН 01.08 по МО'!D477</f>
        <v>8838</v>
      </c>
      <c r="G479" s="14" t="n">
        <f aca="false">INDEX('Расчет Кплотн'!$K:$K,MATCH(D479,'Расчет Кплотн'!$A:$A,0))</f>
        <v>1</v>
      </c>
      <c r="H479" s="14" t="n">
        <f aca="false">INDEX('Расчет Кплотн'!$J:$J,MATCH(D479,'Расчет Кплотн'!$A:$A,0))</f>
        <v>1</v>
      </c>
      <c r="I479" s="3" t="n">
        <f aca="false">F479*Моделирование!$F$3*M479*G479/1000</f>
        <v>178828.44552</v>
      </c>
      <c r="J479" s="3" t="n">
        <f aca="false">F479*Моделирование!$F$3*M479*H479/1000</f>
        <v>178828.44552</v>
      </c>
      <c r="K479" s="3" t="n">
        <f aca="false">J479-I479</f>
        <v>0</v>
      </c>
      <c r="L479" s="4" t="n">
        <f aca="false">IFERROR(K479/I479,0)</f>
        <v>0</v>
      </c>
      <c r="M479" s="15" t="n">
        <f aca="false">IF(INDEX('Расчет Кплотн'!$D:$D,MATCH(D479,'Расчет Кплотн'!$A:$A,0))="район",IFERROR(VLOOKUP(INDEX('Расчет Кплотн'!$B:$B,MATCH(D479,'Расчет Кплотн'!$A:$A,0)),'БКПН (приказ 170)'!$A$4:$C$10,3,FALSE()),Моделирование!$F$2),Моделирование!$F$2)</f>
        <v>1686.17</v>
      </c>
    </row>
    <row r="480" customFormat="false" ht="15" hidden="false" customHeight="false" outlineLevel="0" collapsed="false">
      <c r="A480" s="12" t="n">
        <v>475</v>
      </c>
      <c r="B480" s="12" t="str">
        <f aca="false">'РПН 01.08 по МО'!B478</f>
        <v>МАНГИСТАУСКАЯ</v>
      </c>
      <c r="C480" s="12" t="str">
        <f aca="false">'РПН 01.08 по МО'!C478</f>
        <v>ТОО "Фирма Ча-Кур"</v>
      </c>
      <c r="D480" s="12" t="str">
        <f aca="false">'РПН 01.08 по МО'!E478</f>
        <v>4710</v>
      </c>
      <c r="E480" s="12" t="str">
        <f aca="false">'РПН 01.08 по МО'!F478</f>
        <v>Актау</v>
      </c>
      <c r="F480" s="13" t="n">
        <f aca="false">'РПН 01.08 по МО'!D478</f>
        <v>14866</v>
      </c>
      <c r="G480" s="14" t="n">
        <f aca="false">INDEX('Расчет Кплотн'!$K:$K,MATCH(D480,'Расчет Кплотн'!$A:$A,0))</f>
        <v>1</v>
      </c>
      <c r="H480" s="14" t="n">
        <f aca="false">INDEX('Расчет Кплотн'!$J:$J,MATCH(D480,'Расчет Кплотн'!$A:$A,0))</f>
        <v>1</v>
      </c>
      <c r="I480" s="3" t="n">
        <f aca="false">F480*Моделирование!$F$3*M480*G480/1000</f>
        <v>300799.23864</v>
      </c>
      <c r="J480" s="3" t="n">
        <f aca="false">F480*Моделирование!$F$3*M480*H480/1000</f>
        <v>300799.23864</v>
      </c>
      <c r="K480" s="3" t="n">
        <f aca="false">J480-I480</f>
        <v>0</v>
      </c>
      <c r="L480" s="4" t="n">
        <f aca="false">IFERROR(K480/I480,0)</f>
        <v>0</v>
      </c>
      <c r="M480" s="15" t="n">
        <f aca="false">IF(INDEX('Расчет Кплотн'!$D:$D,MATCH(D480,'Расчет Кплотн'!$A:$A,0))="район",IFERROR(VLOOKUP(INDEX('Расчет Кплотн'!$B:$B,MATCH(D480,'Расчет Кплотн'!$A:$A,0)),'БКПН (приказ 170)'!$A$4:$C$10,3,FALSE()),Моделирование!$F$2),Моделирование!$F$2)</f>
        <v>1686.17</v>
      </c>
    </row>
    <row r="481" customFormat="false" ht="15" hidden="false" customHeight="false" outlineLevel="0" collapsed="false">
      <c r="A481" s="12" t="n">
        <v>476</v>
      </c>
      <c r="B481" s="12" t="str">
        <f aca="false">'РПН 01.08 по МО'!B479</f>
        <v>МАНГИСТАУСКАЯ</v>
      </c>
      <c r="C481" s="12" t="str">
        <f aca="false">'РПН 01.08 по МО'!C479</f>
        <v>ТОО «Медицинский Центр «ЯСИН»</v>
      </c>
      <c r="D481" s="12" t="str">
        <f aca="false">'РПН 01.08 по МО'!E479</f>
        <v>4710</v>
      </c>
      <c r="E481" s="12" t="str">
        <f aca="false">'РПН 01.08 по МО'!F479</f>
        <v>Актау</v>
      </c>
      <c r="F481" s="13" t="n">
        <f aca="false">'РПН 01.08 по МО'!D479</f>
        <v>62332</v>
      </c>
      <c r="G481" s="14" t="n">
        <f aca="false">INDEX('Расчет Кплотн'!$K:$K,MATCH(D481,'Расчет Кплотн'!$A:$A,0))</f>
        <v>1</v>
      </c>
      <c r="H481" s="14" t="n">
        <f aca="false">INDEX('Расчет Кплотн'!$J:$J,MATCH(D481,'Расчет Кплотн'!$A:$A,0))</f>
        <v>1</v>
      </c>
      <c r="I481" s="3" t="n">
        <f aca="false">F481*Моделирование!$F$3*M481*G481/1000</f>
        <v>1261228.18128</v>
      </c>
      <c r="J481" s="3" t="n">
        <f aca="false">F481*Моделирование!$F$3*M481*H481/1000</f>
        <v>1261228.18128</v>
      </c>
      <c r="K481" s="3" t="n">
        <f aca="false">J481-I481</f>
        <v>0</v>
      </c>
      <c r="L481" s="4" t="n">
        <f aca="false">IFERROR(K481/I481,0)</f>
        <v>0</v>
      </c>
      <c r="M481" s="15" t="n">
        <f aca="false">IF(INDEX('Расчет Кплотн'!$D:$D,MATCH(D481,'Расчет Кплотн'!$A:$A,0))="район",IFERROR(VLOOKUP(INDEX('Расчет Кплотн'!$B:$B,MATCH(D481,'Расчет Кплотн'!$A:$A,0)),'БКПН (приказ 170)'!$A$4:$C$10,3,FALSE()),Моделирование!$F$2),Моделирование!$F$2)</f>
        <v>1686.17</v>
      </c>
    </row>
    <row r="482" customFormat="false" ht="15" hidden="false" customHeight="false" outlineLevel="0" collapsed="false">
      <c r="A482" s="12" t="n">
        <v>477</v>
      </c>
      <c r="B482" s="12" t="str">
        <f aca="false">'РПН 01.08 по МО'!B480</f>
        <v>МАНГИСТАУСКАЯ</v>
      </c>
      <c r="C482" s="12" t="str">
        <f aca="false">'РПН 01.08 по МО'!C480</f>
        <v>ТОО "МК "Сенім"</v>
      </c>
      <c r="D482" s="12" t="str">
        <f aca="false">'РПН 01.08 по МО'!E480</f>
        <v>4710</v>
      </c>
      <c r="E482" s="12" t="str">
        <f aca="false">'РПН 01.08 по МО'!F480</f>
        <v>Актау</v>
      </c>
      <c r="F482" s="13" t="n">
        <f aca="false">'РПН 01.08 по МО'!D480</f>
        <v>23346</v>
      </c>
      <c r="G482" s="14" t="n">
        <f aca="false">INDEX('Расчет Кплотн'!$K:$K,MATCH(D482,'Расчет Кплотн'!$A:$A,0))</f>
        <v>1</v>
      </c>
      <c r="H482" s="14" t="n">
        <f aca="false">INDEX('Расчет Кплотн'!$J:$J,MATCH(D482,'Расчет Кплотн'!$A:$A,0))</f>
        <v>1</v>
      </c>
      <c r="I482" s="3" t="n">
        <f aca="false">F482*Моделирование!$F$3*M482*G482/1000</f>
        <v>472383.89784</v>
      </c>
      <c r="J482" s="3" t="n">
        <f aca="false">F482*Моделирование!$F$3*M482*H482/1000</f>
        <v>472383.89784</v>
      </c>
      <c r="K482" s="3" t="n">
        <f aca="false">J482-I482</f>
        <v>0</v>
      </c>
      <c r="L482" s="4" t="n">
        <f aca="false">IFERROR(K482/I482,0)</f>
        <v>0</v>
      </c>
      <c r="M482" s="15" t="n">
        <f aca="false">IF(INDEX('Расчет Кплотн'!$D:$D,MATCH(D482,'Расчет Кплотн'!$A:$A,0))="район",IFERROR(VLOOKUP(INDEX('Расчет Кплотн'!$B:$B,MATCH(D482,'Расчет Кплотн'!$A:$A,0)),'БКПН (приказ 170)'!$A$4:$C$10,3,FALSE()),Моделирование!$F$2),Моделирование!$F$2)</f>
        <v>1686.17</v>
      </c>
    </row>
    <row r="483" customFormat="false" ht="15" hidden="false" customHeight="false" outlineLevel="0" collapsed="false">
      <c r="A483" s="12" t="n">
        <v>478</v>
      </c>
      <c r="B483" s="12" t="str">
        <f aca="false">'РПН 01.08 по МО'!B481</f>
        <v>МАНГИСТАУСКАЯ</v>
      </c>
      <c r="C483" s="12" t="str">
        <f aca="false">'РПН 01.08 по МО'!C481</f>
        <v>ТОО "ToliMed"</v>
      </c>
      <c r="D483" s="12" t="str">
        <f aca="false">'РПН 01.08 по МО'!E481</f>
        <v>4750</v>
      </c>
      <c r="E483" s="12" t="str">
        <f aca="false">'РПН 01.08 по МО'!F481</f>
        <v>Мунайлинский район</v>
      </c>
      <c r="F483" s="13" t="n">
        <f aca="false">'РПН 01.08 по МО'!D481</f>
        <v>6613</v>
      </c>
      <c r="G483" s="14" t="n">
        <f aca="false">INDEX('Расчет Кплотн'!$K:$K,MATCH(D483,'Расчет Кплотн'!$A:$A,0))</f>
        <v>1.061</v>
      </c>
      <c r="H483" s="14" t="n">
        <f aca="false">INDEX('Расчет Кплотн'!$J:$J,MATCH(D483,'Расчет Кплотн'!$A:$A,0))</f>
        <v>1.1481</v>
      </c>
      <c r="I483" s="3" t="n">
        <f aca="false">F483*Моделирование!$F$3*M483*G483/1000</f>
        <v>141969.97661772</v>
      </c>
      <c r="J483" s="3" t="n">
        <f aca="false">F483*Моделирование!$F$3*M483*H483/1000</f>
        <v>153624.627855612</v>
      </c>
      <c r="K483" s="3" t="n">
        <f aca="false">J483-I483</f>
        <v>11654.651237892</v>
      </c>
      <c r="L483" s="4" t="n">
        <f aca="false">IFERROR(K483/I483,0)</f>
        <v>0.0820923656927428</v>
      </c>
      <c r="M483" s="15" t="n">
        <f aca="false">IF(INDEX('Расчет Кплотн'!$D:$D,MATCH(D483,'Расчет Кплотн'!$A:$A,0))="район",IFERROR(VLOOKUP(INDEX('Расчет Кплотн'!$B:$B,MATCH(D483,'Расчет Кплотн'!$A:$A,0)),'БКПН (приказ 170)'!$A$4:$C$10,3,FALSE()),Моделирование!$F$2),Моделирование!$F$2)</f>
        <v>1686.17</v>
      </c>
    </row>
    <row r="484" customFormat="false" ht="15" hidden="false" customHeight="false" outlineLevel="0" collapsed="false">
      <c r="A484" s="12" t="n">
        <v>479</v>
      </c>
      <c r="B484" s="12" t="str">
        <f aca="false">'РПН 01.08 по МО'!B482</f>
        <v>МАНГИСТАУСКАЯ</v>
      </c>
      <c r="C484" s="12" t="str">
        <f aca="false">'РПН 01.08 по МО'!C482</f>
        <v>ГКП на праве хозяйственного ведения "Жанаозенская городская поликлиника № 3" Управления здравоохранения Мангистауской области</v>
      </c>
      <c r="D484" s="12" t="str">
        <f aca="false">'РПН 01.08 по МО'!E482</f>
        <v>4718</v>
      </c>
      <c r="E484" s="12" t="str">
        <f aca="false">'РПН 01.08 по МО'!F482</f>
        <v>Жанаозен</v>
      </c>
      <c r="F484" s="13" t="n">
        <f aca="false">'РПН 01.08 по МО'!D482</f>
        <v>43417</v>
      </c>
      <c r="G484" s="14" t="n">
        <f aca="false">INDEX('Расчет Кплотн'!$K:$K,MATCH(D484,'Расчет Кплотн'!$A:$A,0))</f>
        <v>1.5</v>
      </c>
      <c r="H484" s="14" t="n">
        <f aca="false">INDEX('Расчет Кплотн'!$J:$J,MATCH(D484,'Расчет Кплотн'!$A:$A,0))</f>
        <v>1.5</v>
      </c>
      <c r="I484" s="3" t="n">
        <f aca="false">F484*Моделирование!$F$3*M484*G484/1000</f>
        <v>1317751.97202</v>
      </c>
      <c r="J484" s="3" t="n">
        <f aca="false">F484*Моделирование!$F$3*M484*H484/1000</f>
        <v>1317751.97202</v>
      </c>
      <c r="K484" s="3" t="n">
        <f aca="false">J484-I484</f>
        <v>0</v>
      </c>
      <c r="L484" s="4" t="n">
        <f aca="false">IFERROR(K484/I484,0)</f>
        <v>0</v>
      </c>
      <c r="M484" s="15" t="n">
        <f aca="false">IF(INDEX('Расчет Кплотн'!$D:$D,MATCH(D484,'Расчет Кплотн'!$A:$A,0))="район",IFERROR(VLOOKUP(INDEX('Расчет Кплотн'!$B:$B,MATCH(D484,'Расчет Кплотн'!$A:$A,0)),'БКПН (приказ 170)'!$A$4:$C$10,3,FALSE()),Моделирование!$F$2),Моделирование!$F$2)</f>
        <v>1686.17</v>
      </c>
    </row>
    <row r="485" customFormat="false" ht="15" hidden="false" customHeight="false" outlineLevel="0" collapsed="false">
      <c r="A485" s="12" t="n">
        <v>480</v>
      </c>
      <c r="B485" s="12" t="str">
        <f aca="false">'РПН 01.08 по МО'!B483</f>
        <v>МАНГИСТАУСКАЯ</v>
      </c>
      <c r="C485" s="12" t="str">
        <f aca="false">'РПН 01.08 по МО'!C483</f>
        <v>ТОО "Jarqyn-2019"</v>
      </c>
      <c r="D485" s="12" t="str">
        <f aca="false">'РПН 01.08 по МО'!E483</f>
        <v>4710</v>
      </c>
      <c r="E485" s="12" t="str">
        <f aca="false">'РПН 01.08 по МО'!F483</f>
        <v>Актау</v>
      </c>
      <c r="F485" s="13" t="n">
        <f aca="false">'РПН 01.08 по МО'!D483</f>
        <v>5225</v>
      </c>
      <c r="G485" s="14" t="n">
        <f aca="false">INDEX('Расчет Кплотн'!$K:$K,MATCH(D485,'Расчет Кплотн'!$A:$A,0))</f>
        <v>1</v>
      </c>
      <c r="H485" s="14" t="n">
        <f aca="false">INDEX('Расчет Кплотн'!$J:$J,MATCH(D485,'Расчет Кплотн'!$A:$A,0))</f>
        <v>1</v>
      </c>
      <c r="I485" s="3" t="n">
        <f aca="false">F485*Моделирование!$F$3*M485*G485/1000</f>
        <v>105722.859</v>
      </c>
      <c r="J485" s="3" t="n">
        <f aca="false">F485*Моделирование!$F$3*M485*H485/1000</f>
        <v>105722.859</v>
      </c>
      <c r="K485" s="3" t="n">
        <f aca="false">J485-I485</f>
        <v>0</v>
      </c>
      <c r="L485" s="4" t="n">
        <f aca="false">IFERROR(K485/I485,0)</f>
        <v>0</v>
      </c>
      <c r="M485" s="15" t="n">
        <f aca="false">IF(INDEX('Расчет Кплотн'!$D:$D,MATCH(D485,'Расчет Кплотн'!$A:$A,0))="район",IFERROR(VLOOKUP(INDEX('Расчет Кплотн'!$B:$B,MATCH(D485,'Расчет Кплотн'!$A:$A,0)),'БКПН (приказ 170)'!$A$4:$C$10,3,FALSE()),Моделирование!$F$2),Моделирование!$F$2)</f>
        <v>1686.17</v>
      </c>
    </row>
    <row r="486" customFormat="false" ht="15" hidden="false" customHeight="false" outlineLevel="0" collapsed="false">
      <c r="A486" s="12" t="n">
        <v>481</v>
      </c>
      <c r="B486" s="12" t="str">
        <f aca="false">'РПН 01.08 по МО'!B484</f>
        <v>МАНГИСТАУСКАЯ</v>
      </c>
      <c r="C486" s="12" t="str">
        <f aca="false">'РПН 01.08 по МО'!C484</f>
        <v>ТОО "SMA Company KZ"</v>
      </c>
      <c r="D486" s="12" t="str">
        <f aca="false">'РПН 01.08 по МО'!E484</f>
        <v>4710</v>
      </c>
      <c r="E486" s="12" t="str">
        <f aca="false">'РПН 01.08 по МО'!F484</f>
        <v>Актау</v>
      </c>
      <c r="F486" s="13" t="n">
        <f aca="false">'РПН 01.08 по МО'!D484</f>
        <v>12186</v>
      </c>
      <c r="G486" s="14" t="n">
        <f aca="false">INDEX('Расчет Кплотн'!$K:$K,MATCH(D486,'Расчет Кплотн'!$A:$A,0))</f>
        <v>1</v>
      </c>
      <c r="H486" s="14" t="n">
        <f aca="false">INDEX('Расчет Кплотн'!$J:$J,MATCH(D486,'Расчет Кплотн'!$A:$A,0))</f>
        <v>1</v>
      </c>
      <c r="I486" s="3" t="n">
        <f aca="false">F486*Моделирование!$F$3*M486*G486/1000</f>
        <v>246572.01144</v>
      </c>
      <c r="J486" s="3" t="n">
        <f aca="false">F486*Моделирование!$F$3*M486*H486/1000</f>
        <v>246572.01144</v>
      </c>
      <c r="K486" s="3" t="n">
        <f aca="false">J486-I486</f>
        <v>0</v>
      </c>
      <c r="L486" s="4" t="n">
        <f aca="false">IFERROR(K486/I486,0)</f>
        <v>0</v>
      </c>
      <c r="M486" s="15" t="n">
        <f aca="false">IF(INDEX('Расчет Кплотн'!$D:$D,MATCH(D486,'Расчет Кплотн'!$A:$A,0))="район",IFERROR(VLOOKUP(INDEX('Расчет Кплотн'!$B:$B,MATCH(D486,'Расчет Кплотн'!$A:$A,0)),'БКПН (приказ 170)'!$A$4:$C$10,3,FALSE()),Моделирование!$F$2),Моделирование!$F$2)</f>
        <v>1686.17</v>
      </c>
    </row>
    <row r="487" customFormat="false" ht="15" hidden="false" customHeight="false" outlineLevel="0" collapsed="false">
      <c r="A487" s="12" t="n">
        <v>482</v>
      </c>
      <c r="B487" s="12" t="str">
        <f aca="false">'РПН 01.08 по МО'!B485</f>
        <v>МАНГИСТАУСКАЯ</v>
      </c>
      <c r="C487" s="12" t="str">
        <f aca="false">'РПН 01.08 по МО'!C485</f>
        <v>ГКП на праве хозяйственного ведения "Жанаозенская городская поликлиника № 1" Управления здравоохранения Мангистауской области</v>
      </c>
      <c r="D487" s="12" t="str">
        <f aca="false">'РПН 01.08 по МО'!E485</f>
        <v>4718</v>
      </c>
      <c r="E487" s="12" t="str">
        <f aca="false">'РПН 01.08 по МО'!F485</f>
        <v>Жанаозен</v>
      </c>
      <c r="F487" s="13" t="n">
        <f aca="false">'РПН 01.08 по МО'!D485</f>
        <v>36414</v>
      </c>
      <c r="G487" s="14" t="n">
        <f aca="false">INDEX('Расчет Кплотн'!$K:$K,MATCH(D487,'Расчет Кплотн'!$A:$A,0))</f>
        <v>1.5</v>
      </c>
      <c r="H487" s="14" t="n">
        <f aca="false">INDEX('Расчет Кплотн'!$J:$J,MATCH(D487,'Расчет Кплотн'!$A:$A,0))</f>
        <v>1.5</v>
      </c>
      <c r="I487" s="3" t="n">
        <f aca="false">F487*Моделирование!$F$3*M487*G487/1000</f>
        <v>1105203.49884</v>
      </c>
      <c r="J487" s="3" t="n">
        <f aca="false">F487*Моделирование!$F$3*M487*H487/1000</f>
        <v>1105203.49884</v>
      </c>
      <c r="K487" s="3" t="n">
        <f aca="false">J487-I487</f>
        <v>0</v>
      </c>
      <c r="L487" s="4" t="n">
        <f aca="false">IFERROR(K487/I487,0)</f>
        <v>0</v>
      </c>
      <c r="M487" s="15" t="n">
        <f aca="false">IF(INDEX('Расчет Кплотн'!$D:$D,MATCH(D487,'Расчет Кплотн'!$A:$A,0))="район",IFERROR(VLOOKUP(INDEX('Расчет Кплотн'!$B:$B,MATCH(D487,'Расчет Кплотн'!$A:$A,0)),'БКПН (приказ 170)'!$A$4:$C$10,3,FALSE()),Моделирование!$F$2),Моделирование!$F$2)</f>
        <v>1686.17</v>
      </c>
    </row>
    <row r="488" customFormat="false" ht="15" hidden="false" customHeight="false" outlineLevel="0" collapsed="false">
      <c r="A488" s="12" t="n">
        <v>483</v>
      </c>
      <c r="B488" s="12" t="str">
        <f aca="false">'РПН 01.08 по МО'!B486</f>
        <v>МАНГИСТАУСКАЯ</v>
      </c>
      <c r="C488" s="12" t="str">
        <f aca="false">'РПН 01.08 по МО'!C486</f>
        <v>ГКП на праве хозяйственного ведения "Жанаозенская городская поликлиника № 2" Управления здравоохранения Мангистауской области</v>
      </c>
      <c r="D488" s="12" t="str">
        <f aca="false">'РПН 01.08 по МО'!E486</f>
        <v>4718</v>
      </c>
      <c r="E488" s="12" t="str">
        <f aca="false">'РПН 01.08 по МО'!F486</f>
        <v>Жанаозен</v>
      </c>
      <c r="F488" s="13" t="n">
        <f aca="false">'РПН 01.08 по МО'!D486</f>
        <v>37786</v>
      </c>
      <c r="G488" s="14" t="n">
        <f aca="false">INDEX('Расчет Кплотн'!$K:$K,MATCH(D488,'Расчет Кплотн'!$A:$A,0))</f>
        <v>1.5</v>
      </c>
      <c r="H488" s="14" t="n">
        <f aca="false">INDEX('Расчет Кплотн'!$J:$J,MATCH(D488,'Расчет Кплотн'!$A:$A,0))</f>
        <v>1.5</v>
      </c>
      <c r="I488" s="3" t="n">
        <f aca="false">F488*Моделирование!$F$3*M488*G488/1000</f>
        <v>1146845.15316</v>
      </c>
      <c r="J488" s="3" t="n">
        <f aca="false">F488*Моделирование!$F$3*M488*H488/1000</f>
        <v>1146845.15316</v>
      </c>
      <c r="K488" s="3" t="n">
        <f aca="false">J488-I488</f>
        <v>0</v>
      </c>
      <c r="L488" s="4" t="n">
        <f aca="false">IFERROR(K488/I488,0)</f>
        <v>0</v>
      </c>
      <c r="M488" s="15" t="n">
        <f aca="false">IF(INDEX('Расчет Кплотн'!$D:$D,MATCH(D488,'Расчет Кплотн'!$A:$A,0))="район",IFERROR(VLOOKUP(INDEX('Расчет Кплотн'!$B:$B,MATCH(D488,'Расчет Кплотн'!$A:$A,0)),'БКПН (приказ 170)'!$A$4:$C$10,3,FALSE()),Моделирование!$F$2),Моделирование!$F$2)</f>
        <v>1686.17</v>
      </c>
    </row>
    <row r="489" customFormat="false" ht="15" hidden="false" customHeight="false" outlineLevel="0" collapsed="false">
      <c r="A489" s="12" t="n">
        <v>484</v>
      </c>
      <c r="B489" s="12" t="str">
        <f aca="false">'РПН 01.08 по МО'!B487</f>
        <v>МАНГИСТАУСКАЯ</v>
      </c>
      <c r="C489" s="12" t="str">
        <f aca="false">'РПН 01.08 по МО'!C487</f>
        <v>ГКП на праве хозяйственного ведения "Жетыбайская сельская больница" Управления здравоохранения Мангистауской области</v>
      </c>
      <c r="D489" s="12" t="str">
        <f aca="false">'РПН 01.08 по МО'!E487</f>
        <v>4742</v>
      </c>
      <c r="E489" s="12" t="str">
        <f aca="false">'РПН 01.08 по МО'!F487</f>
        <v>Каракиянский район</v>
      </c>
      <c r="F489" s="13" t="n">
        <f aca="false">'РПН 01.08 по МО'!D487</f>
        <v>12383</v>
      </c>
      <c r="G489" s="14" t="n">
        <f aca="false">INDEX('Расчет Кплотн'!$K:$K,MATCH(D489,'Расчет Кплотн'!$A:$A,0))</f>
        <v>2</v>
      </c>
      <c r="H489" s="14" t="n">
        <f aca="false">INDEX('Расчет Кплотн'!$J:$J,MATCH(D489,'Расчет Кплотн'!$A:$A,0))</f>
        <v>2</v>
      </c>
      <c r="I489" s="3" t="n">
        <f aca="false">F489*Моделирование!$F$3*M489*G489/1000</f>
        <v>501116.23464</v>
      </c>
      <c r="J489" s="3" t="n">
        <f aca="false">F489*Моделирование!$F$3*M489*H489/1000</f>
        <v>501116.23464</v>
      </c>
      <c r="K489" s="3" t="n">
        <f aca="false">J489-I489</f>
        <v>0</v>
      </c>
      <c r="L489" s="4" t="n">
        <f aca="false">IFERROR(K489/I489,0)</f>
        <v>0</v>
      </c>
      <c r="M489" s="15" t="n">
        <f aca="false">IF(INDEX('Расчет Кплотн'!$D:$D,MATCH(D489,'Расчет Кплотн'!$A:$A,0))="район",IFERROR(VLOOKUP(INDEX('Расчет Кплотн'!$B:$B,MATCH(D489,'Расчет Кплотн'!$A:$A,0)),'БКПН (приказ 170)'!$A$4:$C$10,3,FALSE()),Моделирование!$F$2),Моделирование!$F$2)</f>
        <v>1686.17</v>
      </c>
    </row>
    <row r="490" customFormat="false" ht="15" hidden="false" customHeight="false" outlineLevel="0" collapsed="false">
      <c r="A490" s="12" t="n">
        <v>485</v>
      </c>
      <c r="B490" s="12" t="str">
        <f aca="false">'РПН 01.08 по МО'!B488</f>
        <v>МАНГИСТАУСКАЯ</v>
      </c>
      <c r="C490" s="12" t="str">
        <f aca="false">'РПН 01.08 по МО'!C488</f>
        <v>ГКП на праве хозяйственного ведения "Каракиянская центральная районная больница" Управления здравоохранения Мангистауской области</v>
      </c>
      <c r="D490" s="12" t="str">
        <f aca="false">'РПН 01.08 по МО'!E488</f>
        <v>4742</v>
      </c>
      <c r="E490" s="12" t="str">
        <f aca="false">'РПН 01.08 по МО'!F488</f>
        <v>Каракиянский район</v>
      </c>
      <c r="F490" s="13" t="n">
        <f aca="false">'РПН 01.08 по МО'!D488</f>
        <v>15193</v>
      </c>
      <c r="G490" s="14" t="n">
        <f aca="false">INDEX('Расчет Кплотн'!$K:$K,MATCH(D490,'Расчет Кплотн'!$A:$A,0))</f>
        <v>2</v>
      </c>
      <c r="H490" s="14" t="n">
        <f aca="false">INDEX('Расчет Кплотн'!$J:$J,MATCH(D490,'Расчет Кплотн'!$A:$A,0))</f>
        <v>2</v>
      </c>
      <c r="I490" s="3" t="n">
        <f aca="false">F490*Моделирование!$F$3*M490*G490/1000</f>
        <v>614831.53944</v>
      </c>
      <c r="J490" s="3" t="n">
        <f aca="false">F490*Моделирование!$F$3*M490*H490/1000</f>
        <v>614831.53944</v>
      </c>
      <c r="K490" s="3" t="n">
        <f aca="false">J490-I490</f>
        <v>0</v>
      </c>
      <c r="L490" s="4" t="n">
        <f aca="false">IFERROR(K490/I490,0)</f>
        <v>0</v>
      </c>
      <c r="M490" s="15" t="n">
        <f aca="false">IF(INDEX('Расчет Кплотн'!$D:$D,MATCH(D490,'Расчет Кплотн'!$A:$A,0))="район",IFERROR(VLOOKUP(INDEX('Расчет Кплотн'!$B:$B,MATCH(D490,'Расчет Кплотн'!$A:$A,0)),'БКПН (приказ 170)'!$A$4:$C$10,3,FALSE()),Моделирование!$F$2),Моделирование!$F$2)</f>
        <v>1686.17</v>
      </c>
    </row>
    <row r="491" customFormat="false" ht="15" hidden="false" customHeight="false" outlineLevel="0" collapsed="false">
      <c r="A491" s="12" t="n">
        <v>486</v>
      </c>
      <c r="B491" s="12" t="str">
        <f aca="false">'РПН 01.08 по МО'!B489</f>
        <v>МАНГИСТАУСКАЯ</v>
      </c>
      <c r="C491" s="12" t="str">
        <f aca="false">'РПН 01.08 по МО'!C489</f>
        <v>ГКП на праве хозяйственного ведения "Мангистауская центральная районная больница" Управления здравоохранения Мангистауской области</v>
      </c>
      <c r="D491" s="12" t="str">
        <f aca="false">'РПН 01.08 по МО'!E489</f>
        <v>4746</v>
      </c>
      <c r="E491" s="12" t="str">
        <f aca="false">'РПН 01.08 по МО'!F489</f>
        <v>Мангистауский район</v>
      </c>
      <c r="F491" s="13" t="n">
        <f aca="false">'РПН 01.08 по МО'!D489</f>
        <v>27342</v>
      </c>
      <c r="G491" s="14" t="n">
        <f aca="false">INDEX('Расчет Кплотн'!$K:$K,MATCH(D491,'Расчет Кплотн'!$A:$A,0))</f>
        <v>2</v>
      </c>
      <c r="H491" s="14" t="n">
        <f aca="false">INDEX('Расчет Кплотн'!$J:$J,MATCH(D491,'Расчет Кплотн'!$A:$A,0))</f>
        <v>2</v>
      </c>
      <c r="I491" s="3" t="n">
        <f aca="false">F491*Моделирование!$F$3*M491*G491/1000</f>
        <v>1106478.24336</v>
      </c>
      <c r="J491" s="3" t="n">
        <f aca="false">F491*Моделирование!$F$3*M491*H491/1000</f>
        <v>1106478.24336</v>
      </c>
      <c r="K491" s="3" t="n">
        <f aca="false">J491-I491</f>
        <v>0</v>
      </c>
      <c r="L491" s="4" t="n">
        <f aca="false">IFERROR(K491/I491,0)</f>
        <v>0</v>
      </c>
      <c r="M491" s="15" t="n">
        <f aca="false">IF(INDEX('Расчет Кплотн'!$D:$D,MATCH(D491,'Расчет Кплотн'!$A:$A,0))="район",IFERROR(VLOOKUP(INDEX('Расчет Кплотн'!$B:$B,MATCH(D491,'Расчет Кплотн'!$A:$A,0)),'БКПН (приказ 170)'!$A$4:$C$10,3,FALSE()),Моделирование!$F$2),Моделирование!$F$2)</f>
        <v>1686.17</v>
      </c>
    </row>
    <row r="492" customFormat="false" ht="15" hidden="false" customHeight="false" outlineLevel="0" collapsed="false">
      <c r="A492" s="12" t="n">
        <v>487</v>
      </c>
      <c r="B492" s="12" t="str">
        <f aca="false">'РПН 01.08 по МО'!B490</f>
        <v>МАНГИСТАУСКАЯ</v>
      </c>
      <c r="C492" s="12" t="str">
        <f aca="false">'РПН 01.08 по МО'!C490</f>
        <v>ГКППХВ "Бейнеуская многопрофильная центральная районная больница" Управления здравоохранения Мангистауской области</v>
      </c>
      <c r="D492" s="12" t="str">
        <f aca="false">'РПН 01.08 по МО'!E490</f>
        <v>4736</v>
      </c>
      <c r="E492" s="12" t="str">
        <f aca="false">'РПН 01.08 по МО'!F490</f>
        <v>Бейнеуский район</v>
      </c>
      <c r="F492" s="13" t="n">
        <f aca="false">'РПН 01.08 по МО'!D490</f>
        <v>54624</v>
      </c>
      <c r="G492" s="14" t="n">
        <f aca="false">INDEX('Расчет Кплотн'!$K:$K,MATCH(D492,'Расчет Кплотн'!$A:$A,0))</f>
        <v>2</v>
      </c>
      <c r="H492" s="14" t="n">
        <f aca="false">INDEX('Расчет Кплотн'!$J:$J,MATCH(D492,'Расчет Кплотн'!$A:$A,0))</f>
        <v>2</v>
      </c>
      <c r="I492" s="3" t="n">
        <f aca="false">F492*Моделирование!$F$3*M492*G492/1000</f>
        <v>2210528.40192</v>
      </c>
      <c r="J492" s="3" t="n">
        <f aca="false">F492*Моделирование!$F$3*M492*H492/1000</f>
        <v>2210528.40192</v>
      </c>
      <c r="K492" s="3" t="n">
        <f aca="false">J492-I492</f>
        <v>0</v>
      </c>
      <c r="L492" s="4" t="n">
        <f aca="false">IFERROR(K492/I492,0)</f>
        <v>0</v>
      </c>
      <c r="M492" s="15" t="n">
        <f aca="false">IF(INDEX('Расчет Кплотн'!$D:$D,MATCH(D492,'Расчет Кплотн'!$A:$A,0))="район",IFERROR(VLOOKUP(INDEX('Расчет Кплотн'!$B:$B,MATCH(D492,'Расчет Кплотн'!$A:$A,0)),'БКПН (приказ 170)'!$A$4:$C$10,3,FALSE()),Моделирование!$F$2),Моделирование!$F$2)</f>
        <v>1686.17</v>
      </c>
    </row>
    <row r="493" customFormat="false" ht="15" hidden="false" customHeight="false" outlineLevel="0" collapsed="false">
      <c r="A493" s="12" t="n">
        <v>488</v>
      </c>
      <c r="B493" s="12" t="str">
        <f aca="false">'РПН 01.08 по МО'!B491</f>
        <v>МАНГИСТАУСКАЯ</v>
      </c>
      <c r="C493" s="12" t="str">
        <f aca="false">'РПН 01.08 по МО'!C491</f>
        <v>ГКП на праве хозяйственного ведения "Актауская городская поликлиника №1" Управления здравоохранения Мангистауской области</v>
      </c>
      <c r="D493" s="12" t="str">
        <f aca="false">'РПН 01.08 по МО'!E491</f>
        <v>4710</v>
      </c>
      <c r="E493" s="12" t="str">
        <f aca="false">'РПН 01.08 по МО'!F491</f>
        <v>Актау</v>
      </c>
      <c r="F493" s="13" t="n">
        <f aca="false">'РПН 01.08 по МО'!D491</f>
        <v>53278</v>
      </c>
      <c r="G493" s="14" t="n">
        <f aca="false">INDEX('Расчет Кплотн'!$K:$K,MATCH(D493,'Расчет Кплотн'!$A:$A,0))</f>
        <v>1</v>
      </c>
      <c r="H493" s="14" t="n">
        <f aca="false">INDEX('Расчет Кплотн'!$J:$J,MATCH(D493,'Расчет Кплотн'!$A:$A,0))</f>
        <v>1</v>
      </c>
      <c r="I493" s="3" t="n">
        <f aca="false">F493*Моделирование!$F$3*M493*G493/1000</f>
        <v>1078029.18312</v>
      </c>
      <c r="J493" s="3" t="n">
        <f aca="false">F493*Моделирование!$F$3*M493*H493/1000</f>
        <v>1078029.18312</v>
      </c>
      <c r="K493" s="3" t="n">
        <f aca="false">J493-I493</f>
        <v>0</v>
      </c>
      <c r="L493" s="4" t="n">
        <f aca="false">IFERROR(K493/I493,0)</f>
        <v>0</v>
      </c>
      <c r="M493" s="15" t="n">
        <f aca="false">IF(INDEX('Расчет Кплотн'!$D:$D,MATCH(D493,'Расчет Кплотн'!$A:$A,0))="район",IFERROR(VLOOKUP(INDEX('Расчет Кплотн'!$B:$B,MATCH(D493,'Расчет Кплотн'!$A:$A,0)),'БКПН (приказ 170)'!$A$4:$C$10,3,FALSE()),Моделирование!$F$2),Моделирование!$F$2)</f>
        <v>1686.17</v>
      </c>
    </row>
    <row r="494" customFormat="false" ht="15" hidden="false" customHeight="false" outlineLevel="0" collapsed="false">
      <c r="A494" s="12" t="n">
        <v>489</v>
      </c>
      <c r="B494" s="12" t="str">
        <f aca="false">'РПН 01.08 по МО'!B492</f>
        <v>МАНГИСТАУСКАЯ</v>
      </c>
      <c r="C494" s="12" t="str">
        <f aca="false">'РПН 01.08 по МО'!C492</f>
        <v>Государственное коммунальное предприятие на праве хозяйственного ведения "Тупкараганская центральная районная больница" Управления здравоохранения Мангистауской области акимата Мангистауской области</v>
      </c>
      <c r="D494" s="12" t="str">
        <f aca="false">'РПН 01.08 по МО'!E492</f>
        <v>4752</v>
      </c>
      <c r="E494" s="12" t="str">
        <f aca="false">'РПН 01.08 по МО'!F492</f>
        <v>Тупкараганский район</v>
      </c>
      <c r="F494" s="13" t="n">
        <f aca="false">'РПН 01.08 по МО'!D492</f>
        <v>26144</v>
      </c>
      <c r="G494" s="14" t="n">
        <f aca="false">INDEX('Расчет Кплотн'!$K:$K,MATCH(D494,'Расчет Кплотн'!$A:$A,0))</f>
        <v>1.4236</v>
      </c>
      <c r="H494" s="14" t="n">
        <f aca="false">INDEX('Расчет Кплотн'!$J:$J,MATCH(D494,'Расчет Кплотн'!$A:$A,0))</f>
        <v>2</v>
      </c>
      <c r="I494" s="3" t="n">
        <f aca="false">F494*Моделирование!$F$3*M494*G494/1000</f>
        <v>753082.608769536</v>
      </c>
      <c r="J494" s="3" t="n">
        <f aca="false">F494*Моделирование!$F$3*M494*H494/1000</f>
        <v>1057997.48352</v>
      </c>
      <c r="K494" s="3" t="n">
        <f aca="false">J494-I494</f>
        <v>304914.874750464</v>
      </c>
      <c r="L494" s="4" t="n">
        <f aca="false">IFERROR(K494/I494,0)</f>
        <v>0.404889013767912</v>
      </c>
      <c r="M494" s="15" t="n">
        <f aca="false">IF(INDEX('Расчет Кплотн'!$D:$D,MATCH(D494,'Расчет Кплотн'!$A:$A,0))="район",IFERROR(VLOOKUP(INDEX('Расчет Кплотн'!$B:$B,MATCH(D494,'Расчет Кплотн'!$A:$A,0)),'БКПН (приказ 170)'!$A$4:$C$10,3,FALSE()),Моделирование!$F$2),Моделирование!$F$2)</f>
        <v>1686.17</v>
      </c>
    </row>
    <row r="495" customFormat="false" ht="15" hidden="false" customHeight="false" outlineLevel="0" collapsed="false">
      <c r="A495" s="12" t="n">
        <v>490</v>
      </c>
      <c r="B495" s="12" t="str">
        <f aca="false">'РПН 01.08 по МО'!B493</f>
        <v>МАНГИСТАУСКАЯ</v>
      </c>
      <c r="C495" s="12" t="str">
        <f aca="false">'РПН 01.08 по МО'!C493</f>
        <v>Мунайлинская районная больница</v>
      </c>
      <c r="D495" s="12" t="str">
        <f aca="false">'РПН 01.08 по МО'!E493</f>
        <v>4750</v>
      </c>
      <c r="E495" s="12" t="str">
        <f aca="false">'РПН 01.08 по МО'!F493</f>
        <v>Мунайлинский район</v>
      </c>
      <c r="F495" s="13" t="n">
        <f aca="false">'РПН 01.08 по МО'!D493</f>
        <v>105737</v>
      </c>
      <c r="G495" s="14" t="n">
        <f aca="false">INDEX('Расчет Кплотн'!$K:$K,MATCH(D495,'Расчет Кплотн'!$A:$A,0))</f>
        <v>1.061</v>
      </c>
      <c r="H495" s="14" t="n">
        <f aca="false">INDEX('Расчет Кплотн'!$J:$J,MATCH(D495,'Расчет Кплотн'!$A:$A,0))</f>
        <v>1.1481</v>
      </c>
      <c r="I495" s="3" t="n">
        <f aca="false">F495*Моделирование!$F$3*M495*G495/1000</f>
        <v>2269995.37541628</v>
      </c>
      <c r="J495" s="3" t="n">
        <f aca="false">F495*Моделирование!$F$3*M495*H495/1000</f>
        <v>2456344.66589579</v>
      </c>
      <c r="K495" s="3" t="n">
        <f aca="false">J495-I495</f>
        <v>186349.290479508</v>
      </c>
      <c r="L495" s="4" t="n">
        <f aca="false">IFERROR(K495/I495,0)</f>
        <v>0.0820923656927426</v>
      </c>
      <c r="M495" s="15" t="n">
        <f aca="false">IF(INDEX('Расчет Кплотн'!$D:$D,MATCH(D495,'Расчет Кплотн'!$A:$A,0))="район",IFERROR(VLOOKUP(INDEX('Расчет Кплотн'!$B:$B,MATCH(D495,'Расчет Кплотн'!$A:$A,0)),'БКПН (приказ 170)'!$A$4:$C$10,3,FALSE()),Моделирование!$F$2),Моделирование!$F$2)</f>
        <v>1686.17</v>
      </c>
    </row>
    <row r="496" customFormat="false" ht="15" hidden="false" customHeight="false" outlineLevel="0" collapsed="false">
      <c r="A496" s="12" t="n">
        <v>491</v>
      </c>
      <c r="B496" s="12" t="str">
        <f aca="false">'РПН 01.08 по МО'!B494</f>
        <v>МАНГИСТАУСКАЯ</v>
      </c>
      <c r="C496" s="12" t="str">
        <f aca="false">'РПН 01.08 по МО'!C494</f>
        <v>Товарищество с ограниченной отвественностью "Нейрон"</v>
      </c>
      <c r="D496" s="12" t="str">
        <f aca="false">'РПН 01.08 по МО'!E494</f>
        <v>4710</v>
      </c>
      <c r="E496" s="12" t="str">
        <f aca="false">'РПН 01.08 по МО'!F494</f>
        <v>Актау</v>
      </c>
      <c r="F496" s="13" t="n">
        <f aca="false">'РПН 01.08 по МО'!D494</f>
        <v>25587</v>
      </c>
      <c r="G496" s="14" t="n">
        <f aca="false">INDEX('Расчет Кплотн'!$K:$K,MATCH(D496,'Расчет Кплотн'!$A:$A,0))</f>
        <v>1</v>
      </c>
      <c r="H496" s="14" t="n">
        <f aca="false">INDEX('Расчет Кплотн'!$J:$J,MATCH(D496,'Расчет Кплотн'!$A:$A,0))</f>
        <v>1</v>
      </c>
      <c r="I496" s="3" t="n">
        <f aca="false">F496*Моделирование!$F$3*M496*G496/1000</f>
        <v>517728.38148</v>
      </c>
      <c r="J496" s="3" t="n">
        <f aca="false">F496*Моделирование!$F$3*M496*H496/1000</f>
        <v>517728.38148</v>
      </c>
      <c r="K496" s="3" t="n">
        <f aca="false">J496-I496</f>
        <v>0</v>
      </c>
      <c r="L496" s="4" t="n">
        <f aca="false">IFERROR(K496/I496,0)</f>
        <v>0</v>
      </c>
      <c r="M496" s="15" t="n">
        <f aca="false">IF(INDEX('Расчет Кплотн'!$D:$D,MATCH(D496,'Расчет Кплотн'!$A:$A,0))="район",IFERROR(VLOOKUP(INDEX('Расчет Кплотн'!$B:$B,MATCH(D496,'Расчет Кплотн'!$A:$A,0)),'БКПН (приказ 170)'!$A$4:$C$10,3,FALSE()),Моделирование!$F$2),Моделирование!$F$2)</f>
        <v>1686.17</v>
      </c>
    </row>
    <row r="497" customFormat="false" ht="15" hidden="false" customHeight="false" outlineLevel="0" collapsed="false">
      <c r="A497" s="12" t="n">
        <v>492</v>
      </c>
      <c r="B497" s="12" t="str">
        <f aca="false">'РПН 01.08 по МО'!B495</f>
        <v>МАНГИСТАУСКАЯ</v>
      </c>
      <c r="C497" s="12" t="str">
        <f aca="false">'РПН 01.08 по МО'!C495</f>
        <v>ТОО "AMANKOS Clinic"</v>
      </c>
      <c r="D497" s="12" t="str">
        <f aca="false">'РПН 01.08 по МО'!E495</f>
        <v>4710</v>
      </c>
      <c r="E497" s="12" t="str">
        <f aca="false">'РПН 01.08 по МО'!F495</f>
        <v>Актау</v>
      </c>
      <c r="F497" s="13" t="n">
        <f aca="false">'РПН 01.08 по МО'!D495</f>
        <v>10574</v>
      </c>
      <c r="G497" s="14" t="n">
        <f aca="false">INDEX('Расчет Кплотн'!$K:$K,MATCH(D497,'Расчет Кплотн'!$A:$A,0))</f>
        <v>1</v>
      </c>
      <c r="H497" s="14" t="n">
        <f aca="false">INDEX('Расчет Кплотн'!$J:$J,MATCH(D497,'Расчет Кплотн'!$A:$A,0))</f>
        <v>1</v>
      </c>
      <c r="I497" s="3" t="n">
        <f aca="false">F497*Моделирование!$F$3*M497*G497/1000</f>
        <v>213954.73896</v>
      </c>
      <c r="J497" s="3" t="n">
        <f aca="false">F497*Моделирование!$F$3*M497*H497/1000</f>
        <v>213954.73896</v>
      </c>
      <c r="K497" s="3" t="n">
        <f aca="false">J497-I497</f>
        <v>0</v>
      </c>
      <c r="L497" s="4" t="n">
        <f aca="false">IFERROR(K497/I497,0)</f>
        <v>0</v>
      </c>
      <c r="M497" s="15" t="n">
        <f aca="false">IF(INDEX('Расчет Кплотн'!$D:$D,MATCH(D497,'Расчет Кплотн'!$A:$A,0))="район",IFERROR(VLOOKUP(INDEX('Расчет Кплотн'!$B:$B,MATCH(D497,'Расчет Кплотн'!$A:$A,0)),'БКПН (приказ 170)'!$A$4:$C$10,3,FALSE()),Моделирование!$F$2),Моделирование!$F$2)</f>
        <v>1686.17</v>
      </c>
    </row>
    <row r="498" customFormat="false" ht="15" hidden="false" customHeight="false" outlineLevel="0" collapsed="false">
      <c r="A498" s="12" t="n">
        <v>493</v>
      </c>
      <c r="B498" s="12" t="str">
        <f aca="false">'РПН 01.08 по МО'!B496</f>
        <v>МАНГИСТАУСКАЯ</v>
      </c>
      <c r="C498" s="12" t="str">
        <f aca="false">'РПН 01.08 по МО'!C496</f>
        <v>ТОО "AYA CLINIC Medical Centre"</v>
      </c>
      <c r="D498" s="12" t="str">
        <f aca="false">'РПН 01.08 по МО'!E496</f>
        <v>4736</v>
      </c>
      <c r="E498" s="12" t="str">
        <f aca="false">'РПН 01.08 по МО'!F496</f>
        <v>Бейнеуский район</v>
      </c>
      <c r="F498" s="13" t="n">
        <f aca="false">'РПН 01.08 по МО'!D496</f>
        <v>2637</v>
      </c>
      <c r="G498" s="14" t="n">
        <f aca="false">INDEX('Расчет Кплотн'!$K:$K,MATCH(D498,'Расчет Кплотн'!$A:$A,0))</f>
        <v>2</v>
      </c>
      <c r="H498" s="14" t="n">
        <f aca="false">INDEX('Расчет Кплотн'!$J:$J,MATCH(D498,'Расчет Кплотн'!$A:$A,0))</f>
        <v>2</v>
      </c>
      <c r="I498" s="3" t="n">
        <f aca="false">F498*Моделирование!$F$3*M498*G498/1000</f>
        <v>106714.32696</v>
      </c>
      <c r="J498" s="3" t="n">
        <f aca="false">F498*Моделирование!$F$3*M498*H498/1000</f>
        <v>106714.32696</v>
      </c>
      <c r="K498" s="3" t="n">
        <f aca="false">J498-I498</f>
        <v>0</v>
      </c>
      <c r="L498" s="4" t="n">
        <f aca="false">IFERROR(K498/I498,0)</f>
        <v>0</v>
      </c>
      <c r="M498" s="15" t="n">
        <f aca="false">IF(INDEX('Расчет Кплотн'!$D:$D,MATCH(D498,'Расчет Кплотн'!$A:$A,0))="район",IFERROR(VLOOKUP(INDEX('Расчет Кплотн'!$B:$B,MATCH(D498,'Расчет Кплотн'!$A:$A,0)),'БКПН (приказ 170)'!$A$4:$C$10,3,FALSE()),Моделирование!$F$2),Моделирование!$F$2)</f>
        <v>1686.17</v>
      </c>
    </row>
    <row r="499" customFormat="false" ht="15" hidden="false" customHeight="false" outlineLevel="0" collapsed="false">
      <c r="A499" s="12" t="n">
        <v>494</v>
      </c>
      <c r="B499" s="12" t="str">
        <f aca="false">'РПН 01.08 по МО'!B497</f>
        <v>МАНГИСТАУСКАЯ</v>
      </c>
      <c r="C499" s="12" t="str">
        <f aca="false">'РПН 01.08 по МО'!C497</f>
        <v>ТОО "CaspiMed"</v>
      </c>
      <c r="D499" s="12" t="str">
        <f aca="false">'РПН 01.08 по МО'!E497</f>
        <v>4710</v>
      </c>
      <c r="E499" s="12" t="str">
        <f aca="false">'РПН 01.08 по МО'!F497</f>
        <v>Актау</v>
      </c>
      <c r="F499" s="13" t="n">
        <f aca="false">'РПН 01.08 по МО'!D497</f>
        <v>3934</v>
      </c>
      <c r="G499" s="14" t="n">
        <f aca="false">INDEX('Расчет Кплотн'!$K:$K,MATCH(D499,'Расчет Кплотн'!$A:$A,0))</f>
        <v>1</v>
      </c>
      <c r="H499" s="14" t="n">
        <f aca="false">INDEX('Расчет Кплотн'!$J:$J,MATCH(D499,'Расчет Кплотн'!$A:$A,0))</f>
        <v>1</v>
      </c>
      <c r="I499" s="3" t="n">
        <f aca="false">F499*Моделирование!$F$3*M499*G499/1000</f>
        <v>79600.71336</v>
      </c>
      <c r="J499" s="3" t="n">
        <f aca="false">F499*Моделирование!$F$3*M499*H499/1000</f>
        <v>79600.71336</v>
      </c>
      <c r="K499" s="3" t="n">
        <f aca="false">J499-I499</f>
        <v>0</v>
      </c>
      <c r="L499" s="4" t="n">
        <f aca="false">IFERROR(K499/I499,0)</f>
        <v>0</v>
      </c>
      <c r="M499" s="15" t="n">
        <f aca="false">IF(INDEX('Расчет Кплотн'!$D:$D,MATCH(D499,'Расчет Кплотн'!$A:$A,0))="район",IFERROR(VLOOKUP(INDEX('Расчет Кплотн'!$B:$B,MATCH(D499,'Расчет Кплотн'!$A:$A,0)),'БКПН (приказ 170)'!$A$4:$C$10,3,FALSE()),Моделирование!$F$2),Моделирование!$F$2)</f>
        <v>1686.17</v>
      </c>
    </row>
    <row r="500" customFormat="false" ht="15" hidden="false" customHeight="false" outlineLevel="0" collapsed="false">
      <c r="A500" s="12" t="n">
        <v>495</v>
      </c>
      <c r="B500" s="12" t="str">
        <f aca="false">'РПН 01.08 по МО'!B498</f>
        <v>МАНГИСТАУСКАЯ</v>
      </c>
      <c r="C500" s="12" t="str">
        <f aca="false">'РПН 01.08 по МО'!C498</f>
        <v>Государственное коммунальное предприятие на праве хозяйственного ведения "Актауская городская поликлиника №2" Управления здравоохранения Мангистауской области</v>
      </c>
      <c r="D500" s="12" t="str">
        <f aca="false">'РПН 01.08 по МО'!E498</f>
        <v>4710</v>
      </c>
      <c r="E500" s="12" t="str">
        <f aca="false">'РПН 01.08 по МО'!F498</f>
        <v>Актау</v>
      </c>
      <c r="F500" s="13" t="n">
        <f aca="false">'РПН 01.08 по МО'!D498</f>
        <v>60642</v>
      </c>
      <c r="G500" s="14" t="n">
        <f aca="false">INDEX('Расчет Кплотн'!$K:$K,MATCH(D500,'Расчет Кплотн'!$A:$A,0))</f>
        <v>1</v>
      </c>
      <c r="H500" s="14" t="n">
        <f aca="false">INDEX('Расчет Кплотн'!$J:$J,MATCH(D500,'Расчет Кплотн'!$A:$A,0))</f>
        <v>1</v>
      </c>
      <c r="I500" s="3" t="n">
        <f aca="false">F500*Моделирование!$F$3*M500*G500/1000</f>
        <v>1227032.65368</v>
      </c>
      <c r="J500" s="3" t="n">
        <f aca="false">F500*Моделирование!$F$3*M500*H500/1000</f>
        <v>1227032.65368</v>
      </c>
      <c r="K500" s="3" t="n">
        <f aca="false">J500-I500</f>
        <v>0</v>
      </c>
      <c r="L500" s="4" t="n">
        <f aca="false">IFERROR(K500/I500,0)</f>
        <v>0</v>
      </c>
      <c r="M500" s="15" t="n">
        <f aca="false">IF(INDEX('Расчет Кплотн'!$D:$D,MATCH(D500,'Расчет Кплотн'!$A:$A,0))="район",IFERROR(VLOOKUP(INDEX('Расчет Кплотн'!$B:$B,MATCH(D500,'Расчет Кплотн'!$A:$A,0)),'БКПН (приказ 170)'!$A$4:$C$10,3,FALSE()),Моделирование!$F$2),Моделирование!$F$2)</f>
        <v>1686.17</v>
      </c>
    </row>
    <row r="501" customFormat="false" ht="15" hidden="false" customHeight="false" outlineLevel="0" collapsed="false">
      <c r="A501" s="12" t="n">
        <v>496</v>
      </c>
      <c r="B501" s="12" t="str">
        <f aca="false">'РПН 01.08 по МО'!B499</f>
        <v>ПАВЛОДАРСКАЯ</v>
      </c>
      <c r="C501" s="12" t="str">
        <f aca="false">'РПН 01.08 по МО'!C499</f>
        <v>ТОО "BASSK"</v>
      </c>
      <c r="D501" s="12" t="str">
        <f aca="false">'РПН 01.08 по МО'!E499</f>
        <v>5510</v>
      </c>
      <c r="E501" s="12" t="str">
        <f aca="false">'РПН 01.08 по МО'!F499</f>
        <v>Павлодар</v>
      </c>
      <c r="F501" s="13" t="n">
        <f aca="false">'РПН 01.08 по МО'!D499</f>
        <v>6503</v>
      </c>
      <c r="G501" s="14" t="n">
        <f aca="false">INDEX('Расчет Кплотн'!$K:$K,MATCH(D501,'Расчет Кплотн'!$A:$A,0))</f>
        <v>1</v>
      </c>
      <c r="H501" s="14" t="n">
        <f aca="false">INDEX('Расчет Кплотн'!$J:$J,MATCH(D501,'Расчет Кплотн'!$A:$A,0))</f>
        <v>1</v>
      </c>
      <c r="I501" s="3" t="n">
        <f aca="false">F501*Моделирование!$F$3*M501*G501/1000</f>
        <v>131581.96212</v>
      </c>
      <c r="J501" s="3" t="n">
        <f aca="false">F501*Моделирование!$F$3*M501*H501/1000</f>
        <v>131581.96212</v>
      </c>
      <c r="K501" s="3" t="n">
        <f aca="false">J501-I501</f>
        <v>0</v>
      </c>
      <c r="L501" s="4" t="n">
        <f aca="false">IFERROR(K501/I501,0)</f>
        <v>0</v>
      </c>
      <c r="M501" s="15" t="n">
        <f aca="false">IF(INDEX('Расчет Кплотн'!$D:$D,MATCH(D501,'Расчет Кплотн'!$A:$A,0))="район",IFERROR(VLOOKUP(INDEX('Расчет Кплотн'!$B:$B,MATCH(D501,'Расчет Кплотн'!$A:$A,0)),'БКПН (приказ 170)'!$A$4:$C$10,3,FALSE()),Моделирование!$F$2),Моделирование!$F$2)</f>
        <v>1686.17</v>
      </c>
    </row>
    <row r="502" customFormat="false" ht="15" hidden="false" customHeight="false" outlineLevel="0" collapsed="false">
      <c r="A502" s="12" t="n">
        <v>497</v>
      </c>
      <c r="B502" s="12" t="str">
        <f aca="false">'РПН 01.08 по МО'!B500</f>
        <v>ПАВЛОДАРСКАЯ</v>
      </c>
      <c r="C502" s="12" t="str">
        <f aca="false">'РПН 01.08 по МО'!C500</f>
        <v>ТОО "Danelclinic"</v>
      </c>
      <c r="D502" s="12" t="str">
        <f aca="false">'РПН 01.08 по МО'!E500</f>
        <v>5510</v>
      </c>
      <c r="E502" s="12" t="str">
        <f aca="false">'РПН 01.08 по МО'!F500</f>
        <v>Павлодар</v>
      </c>
      <c r="F502" s="13" t="n">
        <f aca="false">'РПН 01.08 по МО'!D500</f>
        <v>23225</v>
      </c>
      <c r="G502" s="14" t="n">
        <f aca="false">INDEX('Расчет Кплотн'!$K:$K,MATCH(D502,'Расчет Кплотн'!$A:$A,0))</f>
        <v>1</v>
      </c>
      <c r="H502" s="14" t="n">
        <f aca="false">INDEX('Расчет Кплотн'!$J:$J,MATCH(D502,'Расчет Кплотн'!$A:$A,0))</f>
        <v>1</v>
      </c>
      <c r="I502" s="3" t="n">
        <f aca="false">F502*Моделирование!$F$3*M502*G502/1000</f>
        <v>469935.579</v>
      </c>
      <c r="J502" s="3" t="n">
        <f aca="false">F502*Моделирование!$F$3*M502*H502/1000</f>
        <v>469935.579</v>
      </c>
      <c r="K502" s="3" t="n">
        <f aca="false">J502-I502</f>
        <v>0</v>
      </c>
      <c r="L502" s="4" t="n">
        <f aca="false">IFERROR(K502/I502,0)</f>
        <v>0</v>
      </c>
      <c r="M502" s="15" t="n">
        <f aca="false">IF(INDEX('Расчет Кплотн'!$D:$D,MATCH(D502,'Расчет Кплотн'!$A:$A,0))="район",IFERROR(VLOOKUP(INDEX('Расчет Кплотн'!$B:$B,MATCH(D502,'Расчет Кплотн'!$A:$A,0)),'БКПН (приказ 170)'!$A$4:$C$10,3,FALSE()),Моделирование!$F$2),Моделирование!$F$2)</f>
        <v>1686.17</v>
      </c>
    </row>
    <row r="503" customFormat="false" ht="15" hidden="false" customHeight="false" outlineLevel="0" collapsed="false">
      <c r="A503" s="12" t="n">
        <v>498</v>
      </c>
      <c r="B503" s="12" t="str">
        <f aca="false">'РПН 01.08 по МО'!B501</f>
        <v>ПАВЛОДАРСКАЯ</v>
      </c>
      <c r="C503" s="12" t="str">
        <f aca="false">'РПН 01.08 по МО'!C501</f>
        <v>ТОО "MED-C"</v>
      </c>
      <c r="D503" s="12" t="str">
        <f aca="false">'РПН 01.08 по МО'!E501</f>
        <v>5510</v>
      </c>
      <c r="E503" s="12" t="str">
        <f aca="false">'РПН 01.08 по МО'!F501</f>
        <v>Павлодар</v>
      </c>
      <c r="F503" s="13" t="n">
        <f aca="false">'РПН 01.08 по МО'!D501</f>
        <v>9044</v>
      </c>
      <c r="G503" s="14" t="n">
        <f aca="false">INDEX('Расчет Кплотн'!$K:$K,MATCH(D503,'Расчет Кплотн'!$A:$A,0))</f>
        <v>1</v>
      </c>
      <c r="H503" s="14" t="n">
        <f aca="false">INDEX('Расчет Кплотн'!$J:$J,MATCH(D503,'Расчет Кплотн'!$A:$A,0))</f>
        <v>1</v>
      </c>
      <c r="I503" s="3" t="n">
        <f aca="false">F503*Моделирование!$F$3*M503*G503/1000</f>
        <v>182996.65776</v>
      </c>
      <c r="J503" s="3" t="n">
        <f aca="false">F503*Моделирование!$F$3*M503*H503/1000</f>
        <v>182996.65776</v>
      </c>
      <c r="K503" s="3" t="n">
        <f aca="false">J503-I503</f>
        <v>0</v>
      </c>
      <c r="L503" s="4" t="n">
        <f aca="false">IFERROR(K503/I503,0)</f>
        <v>0</v>
      </c>
      <c r="M503" s="15" t="n">
        <f aca="false">IF(INDEX('Расчет Кплотн'!$D:$D,MATCH(D503,'Расчет Кплотн'!$A:$A,0))="район",IFERROR(VLOOKUP(INDEX('Расчет Кплотн'!$B:$B,MATCH(D503,'Расчет Кплотн'!$A:$A,0)),'БКПН (приказ 170)'!$A$4:$C$10,3,FALSE()),Моделирование!$F$2),Моделирование!$F$2)</f>
        <v>1686.17</v>
      </c>
    </row>
    <row r="504" customFormat="false" ht="15" hidden="false" customHeight="false" outlineLevel="0" collapsed="false">
      <c r="A504" s="12" t="n">
        <v>499</v>
      </c>
      <c r="B504" s="12" t="str">
        <f aca="false">'РПН 01.08 по МО'!B502</f>
        <v>ПАВЛОДАРСКАЯ</v>
      </c>
      <c r="C504" s="12" t="str">
        <f aca="false">'РПН 01.08 по МО'!C502</f>
        <v>ТОО "Mediker Yertis"</v>
      </c>
      <c r="D504" s="12" t="str">
        <f aca="false">'РПН 01.08 по МО'!E502</f>
        <v>5510</v>
      </c>
      <c r="E504" s="12" t="str">
        <f aca="false">'РПН 01.08 по МО'!F502</f>
        <v>Павлодар</v>
      </c>
      <c r="F504" s="13" t="n">
        <f aca="false">'РПН 01.08 по МО'!D502</f>
        <v>10740</v>
      </c>
      <c r="G504" s="14" t="n">
        <f aca="false">INDEX('Расчет Кплотн'!$K:$K,MATCH(D504,'Расчет Кплотн'!$A:$A,0))</f>
        <v>1</v>
      </c>
      <c r="H504" s="14" t="n">
        <f aca="false">INDEX('Расчет Кплотн'!$J:$J,MATCH(D504,'Расчет Кплотн'!$A:$A,0))</f>
        <v>1</v>
      </c>
      <c r="I504" s="3" t="n">
        <f aca="false">F504*Моделирование!$F$3*M504*G504/1000</f>
        <v>217313.5896</v>
      </c>
      <c r="J504" s="3" t="n">
        <f aca="false">F504*Моделирование!$F$3*M504*H504/1000</f>
        <v>217313.5896</v>
      </c>
      <c r="K504" s="3" t="n">
        <f aca="false">J504-I504</f>
        <v>0</v>
      </c>
      <c r="L504" s="4" t="n">
        <f aca="false">IFERROR(K504/I504,0)</f>
        <v>0</v>
      </c>
      <c r="M504" s="15" t="n">
        <f aca="false">IF(INDEX('Расчет Кплотн'!$D:$D,MATCH(D504,'Расчет Кплотн'!$A:$A,0))="район",IFERROR(VLOOKUP(INDEX('Расчет Кплотн'!$B:$B,MATCH(D504,'Расчет Кплотн'!$A:$A,0)),'БКПН (приказ 170)'!$A$4:$C$10,3,FALSE()),Моделирование!$F$2),Моделирование!$F$2)</f>
        <v>1686.17</v>
      </c>
    </row>
    <row r="505" customFormat="false" ht="15" hidden="false" customHeight="false" outlineLevel="0" collapsed="false">
      <c r="A505" s="12" t="n">
        <v>500</v>
      </c>
      <c r="B505" s="12" t="str">
        <f aca="false">'РПН 01.08 по МО'!B503</f>
        <v>ПАВЛОДАРСКАЯ</v>
      </c>
      <c r="C505" s="12" t="str">
        <f aca="false">'РПН 01.08 по МО'!C503</f>
        <v>ТОО "Poliklinika №1"</v>
      </c>
      <c r="D505" s="12" t="str">
        <f aca="false">'РПН 01.08 по МО'!E503</f>
        <v>5510</v>
      </c>
      <c r="E505" s="12" t="str">
        <f aca="false">'РПН 01.08 по МО'!F503</f>
        <v>Павлодар</v>
      </c>
      <c r="F505" s="13" t="n">
        <f aca="false">'РПН 01.08 по МО'!D503</f>
        <v>62407</v>
      </c>
      <c r="G505" s="14" t="n">
        <f aca="false">INDEX('Расчет Кплотн'!$K:$K,MATCH(D505,'Расчет Кплотн'!$A:$A,0))</f>
        <v>1</v>
      </c>
      <c r="H505" s="14" t="n">
        <f aca="false">INDEX('Расчет Кплотн'!$J:$J,MATCH(D505,'Расчет Кплотн'!$A:$A,0))</f>
        <v>1</v>
      </c>
      <c r="I505" s="3" t="n">
        <f aca="false">F505*Моделирование!$F$3*M505*G505/1000</f>
        <v>1262745.73428</v>
      </c>
      <c r="J505" s="3" t="n">
        <f aca="false">F505*Моделирование!$F$3*M505*H505/1000</f>
        <v>1262745.73428</v>
      </c>
      <c r="K505" s="3" t="n">
        <f aca="false">J505-I505</f>
        <v>0</v>
      </c>
      <c r="L505" s="4" t="n">
        <f aca="false">IFERROR(K505/I505,0)</f>
        <v>0</v>
      </c>
      <c r="M505" s="15" t="n">
        <f aca="false">IF(INDEX('Расчет Кплотн'!$D:$D,MATCH(D505,'Расчет Кплотн'!$A:$A,0))="район",IFERROR(VLOOKUP(INDEX('Расчет Кплотн'!$B:$B,MATCH(D505,'Расчет Кплотн'!$A:$A,0)),'БКПН (приказ 170)'!$A$4:$C$10,3,FALSE()),Моделирование!$F$2),Моделирование!$F$2)</f>
        <v>1686.17</v>
      </c>
    </row>
    <row r="506" customFormat="false" ht="15" hidden="false" customHeight="false" outlineLevel="0" collapsed="false">
      <c r="A506" s="12" t="n">
        <v>501</v>
      </c>
      <c r="B506" s="12" t="str">
        <f aca="false">'РПН 01.08 по МО'!B504</f>
        <v>ПАВЛОДАРСКАЯ</v>
      </c>
      <c r="C506" s="12" t="str">
        <f aca="false">'РПН 01.08 по МО'!C504</f>
        <v>ТОО "Омир-ПВ"</v>
      </c>
      <c r="D506" s="12" t="str">
        <f aca="false">'РПН 01.08 по МО'!E504</f>
        <v>5510</v>
      </c>
      <c r="E506" s="12" t="str">
        <f aca="false">'РПН 01.08 по МО'!F504</f>
        <v>Павлодар</v>
      </c>
      <c r="F506" s="13" t="n">
        <f aca="false">'РПН 01.08 по МО'!D504</f>
        <v>2898</v>
      </c>
      <c r="G506" s="14" t="n">
        <f aca="false">INDEX('Расчет Кплотн'!$K:$K,MATCH(D506,'Расчет Кплотн'!$A:$A,0))</f>
        <v>1</v>
      </c>
      <c r="H506" s="14" t="n">
        <f aca="false">INDEX('Расчет Кплотн'!$J:$J,MATCH(D506,'Расчет Кплотн'!$A:$A,0))</f>
        <v>1</v>
      </c>
      <c r="I506" s="3" t="n">
        <f aca="false">F506*Моделирование!$F$3*M506*G506/1000</f>
        <v>58638.24792</v>
      </c>
      <c r="J506" s="3" t="n">
        <f aca="false">F506*Моделирование!$F$3*M506*H506/1000</f>
        <v>58638.24792</v>
      </c>
      <c r="K506" s="3" t="n">
        <f aca="false">J506-I506</f>
        <v>0</v>
      </c>
      <c r="L506" s="4" t="n">
        <f aca="false">IFERROR(K506/I506,0)</f>
        <v>0</v>
      </c>
      <c r="M506" s="15" t="n">
        <f aca="false">IF(INDEX('Расчет Кплотн'!$D:$D,MATCH(D506,'Расчет Кплотн'!$A:$A,0))="район",IFERROR(VLOOKUP(INDEX('Расчет Кплотн'!$B:$B,MATCH(D506,'Расчет Кплотн'!$A:$A,0)),'БКПН (приказ 170)'!$A$4:$C$10,3,FALSE()),Моделирование!$F$2),Моделирование!$F$2)</f>
        <v>1686.17</v>
      </c>
    </row>
    <row r="507" customFormat="false" ht="15" hidden="false" customHeight="false" outlineLevel="0" collapsed="false">
      <c r="A507" s="12" t="n">
        <v>502</v>
      </c>
      <c r="B507" s="12" t="str">
        <f aca="false">'РПН 01.08 по МО'!B505</f>
        <v>ПАВЛОДАРСКАЯ</v>
      </c>
      <c r="C507" s="12" t="str">
        <f aca="false">'РПН 01.08 по МО'!C505</f>
        <v>ТОО "VitaClinic"</v>
      </c>
      <c r="D507" s="12" t="str">
        <f aca="false">'РПН 01.08 по МО'!E505</f>
        <v>5516</v>
      </c>
      <c r="E507" s="12" t="str">
        <f aca="false">'РПН 01.08 по МО'!F505</f>
        <v>Аксу</v>
      </c>
      <c r="F507" s="13" t="n">
        <f aca="false">'РПН 01.08 по МО'!D505</f>
        <v>6877</v>
      </c>
      <c r="G507" s="14" t="n">
        <f aca="false">INDEX('Расчет Кплотн'!$K:$K,MATCH(D507,'Расчет Кплотн'!$A:$A,0))</f>
        <v>1.5</v>
      </c>
      <c r="H507" s="14" t="n">
        <f aca="false">INDEX('Расчет Кплотн'!$J:$J,MATCH(D507,'Расчет Кплотн'!$A:$A,0))</f>
        <v>1.5</v>
      </c>
      <c r="I507" s="3" t="n">
        <f aca="false">F507*Моделирование!$F$3*M507*G507/1000</f>
        <v>208724.23962</v>
      </c>
      <c r="J507" s="3" t="n">
        <f aca="false">F507*Моделирование!$F$3*M507*H507/1000</f>
        <v>208724.23962</v>
      </c>
      <c r="K507" s="3" t="n">
        <f aca="false">J507-I507</f>
        <v>0</v>
      </c>
      <c r="L507" s="4" t="n">
        <f aca="false">IFERROR(K507/I507,0)</f>
        <v>0</v>
      </c>
      <c r="M507" s="15" t="n">
        <f aca="false">IF(INDEX('Расчет Кплотн'!$D:$D,MATCH(D507,'Расчет Кплотн'!$A:$A,0))="район",IFERROR(VLOOKUP(INDEX('Расчет Кплотн'!$B:$B,MATCH(D507,'Расчет Кплотн'!$A:$A,0)),'БКПН (приказ 170)'!$A$4:$C$10,3,FALSE()),Моделирование!$F$2),Моделирование!$F$2)</f>
        <v>1686.17</v>
      </c>
    </row>
    <row r="508" customFormat="false" ht="15" hidden="false" customHeight="false" outlineLevel="0" collapsed="false">
      <c r="A508" s="12" t="n">
        <v>503</v>
      </c>
      <c r="B508" s="12" t="str">
        <f aca="false">'РПН 01.08 по МО'!B506</f>
        <v>ПАВЛОДАРСКАЯ</v>
      </c>
      <c r="C508" s="12" t="str">
        <f aca="false">'РПН 01.08 по МО'!C506</f>
        <v>ТОО "Клиника семейной медицины"</v>
      </c>
      <c r="D508" s="12" t="str">
        <f aca="false">'РПН 01.08 по МО'!E506</f>
        <v>5510</v>
      </c>
      <c r="E508" s="12" t="str">
        <f aca="false">'РПН 01.08 по МО'!F506</f>
        <v>Павлодар</v>
      </c>
      <c r="F508" s="13" t="n">
        <f aca="false">'РПН 01.08 по МО'!D506</f>
        <v>7060</v>
      </c>
      <c r="G508" s="14" t="n">
        <f aca="false">INDEX('Расчет Кплотн'!$K:$K,MATCH(D508,'Расчет Кплотн'!$A:$A,0))</f>
        <v>1</v>
      </c>
      <c r="H508" s="14" t="n">
        <f aca="false">INDEX('Расчет Кплотн'!$J:$J,MATCH(D508,'Расчет Кплотн'!$A:$A,0))</f>
        <v>1</v>
      </c>
      <c r="I508" s="3" t="n">
        <f aca="false">F508*Моделирование!$F$3*M508*G508/1000</f>
        <v>142852.3224</v>
      </c>
      <c r="J508" s="3" t="n">
        <f aca="false">F508*Моделирование!$F$3*M508*H508/1000</f>
        <v>142852.3224</v>
      </c>
      <c r="K508" s="3" t="n">
        <f aca="false">J508-I508</f>
        <v>0</v>
      </c>
      <c r="L508" s="4" t="n">
        <f aca="false">IFERROR(K508/I508,0)</f>
        <v>0</v>
      </c>
      <c r="M508" s="15" t="n">
        <f aca="false">IF(INDEX('Расчет Кплотн'!$D:$D,MATCH(D508,'Расчет Кплотн'!$A:$A,0))="район",IFERROR(VLOOKUP(INDEX('Расчет Кплотн'!$B:$B,MATCH(D508,'Расчет Кплотн'!$A:$A,0)),'БКПН (приказ 170)'!$A$4:$C$10,3,FALSE()),Моделирование!$F$2),Моделирование!$F$2)</f>
        <v>1686.17</v>
      </c>
    </row>
    <row r="509" customFormat="false" ht="15" hidden="false" customHeight="false" outlineLevel="0" collapsed="false">
      <c r="A509" s="12" t="n">
        <v>504</v>
      </c>
      <c r="B509" s="12" t="str">
        <f aca="false">'РПН 01.08 по МО'!B507</f>
        <v>ПАВЛОДАРСКАЯ</v>
      </c>
      <c r="C509" s="12" t="str">
        <f aca="false">'РПН 01.08 по МО'!C507</f>
        <v>ТОО "Центр персональной медицины"</v>
      </c>
      <c r="D509" s="12" t="str">
        <f aca="false">'РПН 01.08 по МО'!E507</f>
        <v>5522</v>
      </c>
      <c r="E509" s="12" t="str">
        <f aca="false">'РПН 01.08 по МО'!F507</f>
        <v>Экибастуз</v>
      </c>
      <c r="F509" s="13" t="n">
        <f aca="false">'РПН 01.08 по МО'!D507</f>
        <v>100570</v>
      </c>
      <c r="G509" s="14" t="n">
        <f aca="false">INDEX('Расчет Кплотн'!$K:$K,MATCH(D509,'Расчет Кплотн'!$A:$A,0))</f>
        <v>1.5</v>
      </c>
      <c r="H509" s="14" t="n">
        <f aca="false">INDEX('Расчет Кплотн'!$J:$J,MATCH(D509,'Расчет Кплотн'!$A:$A,0))</f>
        <v>1.5</v>
      </c>
      <c r="I509" s="3" t="n">
        <f aca="false">F509*Моделирование!$F$3*M509*G509/1000</f>
        <v>3052406.1042</v>
      </c>
      <c r="J509" s="3" t="n">
        <f aca="false">F509*Моделирование!$F$3*M509*H509/1000</f>
        <v>3052406.1042</v>
      </c>
      <c r="K509" s="3" t="n">
        <f aca="false">J509-I509</f>
        <v>0</v>
      </c>
      <c r="L509" s="4" t="n">
        <f aca="false">IFERROR(K509/I509,0)</f>
        <v>0</v>
      </c>
      <c r="M509" s="15" t="n">
        <f aca="false">IF(INDEX('Расчет Кплотн'!$D:$D,MATCH(D509,'Расчет Кплотн'!$A:$A,0))="район",IFERROR(VLOOKUP(INDEX('Расчет Кплотн'!$B:$B,MATCH(D509,'Расчет Кплотн'!$A:$A,0)),'БКПН (приказ 170)'!$A$4:$C$10,3,FALSE()),Моделирование!$F$2),Моделирование!$F$2)</f>
        <v>1686.17</v>
      </c>
    </row>
    <row r="510" customFormat="false" ht="15" hidden="false" customHeight="false" outlineLevel="0" collapsed="false">
      <c r="A510" s="12" t="n">
        <v>505</v>
      </c>
      <c r="B510" s="12" t="str">
        <f aca="false">'РПН 01.08 по МО'!B508</f>
        <v>ПАВЛОДАРСКАЯ</v>
      </c>
      <c r="C510" s="12" t="str">
        <f aca="false">'РПН 01.08 по МО'!C508</f>
        <v>ТОО "РАХИМ-А"</v>
      </c>
      <c r="D510" s="12" t="str">
        <f aca="false">'РПН 01.08 по МО'!E508</f>
        <v>5510</v>
      </c>
      <c r="E510" s="12" t="str">
        <f aca="false">'РПН 01.08 по МО'!F508</f>
        <v>Павлодар</v>
      </c>
      <c r="F510" s="13" t="n">
        <f aca="false">'РПН 01.08 по МО'!D508</f>
        <v>10164</v>
      </c>
      <c r="G510" s="14" t="n">
        <f aca="false">INDEX('Расчет Кплотн'!$K:$K,MATCH(D510,'Расчет Кплотн'!$A:$A,0))</f>
        <v>1</v>
      </c>
      <c r="H510" s="14" t="n">
        <f aca="false">INDEX('Расчет Кплотн'!$J:$J,MATCH(D510,'Расчет Кплотн'!$A:$A,0))</f>
        <v>1</v>
      </c>
      <c r="I510" s="3" t="n">
        <f aca="false">F510*Моделирование!$F$3*M510*G510/1000</f>
        <v>205658.78256</v>
      </c>
      <c r="J510" s="3" t="n">
        <f aca="false">F510*Моделирование!$F$3*M510*H510/1000</f>
        <v>205658.78256</v>
      </c>
      <c r="K510" s="3" t="n">
        <f aca="false">J510-I510</f>
        <v>0</v>
      </c>
      <c r="L510" s="4" t="n">
        <f aca="false">IFERROR(K510/I510,0)</f>
        <v>0</v>
      </c>
      <c r="M510" s="15" t="n">
        <f aca="false">IF(INDEX('Расчет Кплотн'!$D:$D,MATCH(D510,'Расчет Кплотн'!$A:$A,0))="район",IFERROR(VLOOKUP(INDEX('Расчет Кплотн'!$B:$B,MATCH(D510,'Расчет Кплотн'!$A:$A,0)),'БКПН (приказ 170)'!$A$4:$C$10,3,FALSE()),Моделирование!$F$2),Моделирование!$F$2)</f>
        <v>1686.17</v>
      </c>
    </row>
    <row r="511" customFormat="false" ht="15" hidden="false" customHeight="false" outlineLevel="0" collapsed="false">
      <c r="A511" s="12" t="n">
        <v>506</v>
      </c>
      <c r="B511" s="12" t="str">
        <f aca="false">'РПН 01.08 по МО'!B509</f>
        <v>ПАВЛОДАРСКАЯ</v>
      </c>
      <c r="C511" s="12" t="str">
        <f aca="false">'РПН 01.08 по МО'!C509</f>
        <v>Товарищество с ограниченной ответственностью "МедПроект-ПВ"</v>
      </c>
      <c r="D511" s="12" t="str">
        <f aca="false">'РПН 01.08 по МО'!E509</f>
        <v>5510</v>
      </c>
      <c r="E511" s="12" t="str">
        <f aca="false">'РПН 01.08 по МО'!F509</f>
        <v>Павлодар</v>
      </c>
      <c r="F511" s="13" t="n">
        <f aca="false">'РПН 01.08 по МО'!D509</f>
        <v>5898</v>
      </c>
      <c r="G511" s="14" t="n">
        <f aca="false">INDEX('Расчет Кплотн'!$K:$K,MATCH(D511,'Расчет Кплотн'!$A:$A,0))</f>
        <v>1</v>
      </c>
      <c r="H511" s="14" t="n">
        <f aca="false">INDEX('Расчет Кплотн'!$J:$J,MATCH(D511,'Расчет Кплотн'!$A:$A,0))</f>
        <v>1</v>
      </c>
      <c r="I511" s="3" t="n">
        <f aca="false">F511*Моделирование!$F$3*M511*G511/1000</f>
        <v>119340.36792</v>
      </c>
      <c r="J511" s="3" t="n">
        <f aca="false">F511*Моделирование!$F$3*M511*H511/1000</f>
        <v>119340.36792</v>
      </c>
      <c r="K511" s="3" t="n">
        <f aca="false">J511-I511</f>
        <v>0</v>
      </c>
      <c r="L511" s="4" t="n">
        <f aca="false">IFERROR(K511/I511,0)</f>
        <v>0</v>
      </c>
      <c r="M511" s="15" t="n">
        <f aca="false">IF(INDEX('Расчет Кплотн'!$D:$D,MATCH(D511,'Расчет Кплотн'!$A:$A,0))="район",IFERROR(VLOOKUP(INDEX('Расчет Кплотн'!$B:$B,MATCH(D511,'Расчет Кплотн'!$A:$A,0)),'БКПН (приказ 170)'!$A$4:$C$10,3,FALSE()),Моделирование!$F$2),Моделирование!$F$2)</f>
        <v>1686.17</v>
      </c>
    </row>
    <row r="512" customFormat="false" ht="15" hidden="false" customHeight="false" outlineLevel="0" collapsed="false">
      <c r="A512" s="12" t="n">
        <v>507</v>
      </c>
      <c r="B512" s="12" t="str">
        <f aca="false">'РПН 01.08 по МО'!B510</f>
        <v>ПАВЛОДАРСКАЯ</v>
      </c>
      <c r="C512" s="12" t="str">
        <f aca="false">'РПН 01.08 по МО'!C510</f>
        <v>ТОО "Viamedis Pavlodar"</v>
      </c>
      <c r="D512" s="12" t="str">
        <f aca="false">'РПН 01.08 по МО'!E510</f>
        <v>5510</v>
      </c>
      <c r="E512" s="12" t="str">
        <f aca="false">'РПН 01.08 по МО'!F510</f>
        <v>Павлодар</v>
      </c>
      <c r="F512" s="13" t="n">
        <f aca="false">'РПН 01.08 по МО'!D510</f>
        <v>67639</v>
      </c>
      <c r="G512" s="14" t="n">
        <f aca="false">INDEX('Расчет Кплотн'!$K:$K,MATCH(D512,'Расчет Кплотн'!$A:$A,0))</f>
        <v>1</v>
      </c>
      <c r="H512" s="14" t="n">
        <f aca="false">INDEX('Расчет Кплотн'!$J:$J,MATCH(D512,'Расчет Кплотн'!$A:$A,0))</f>
        <v>1</v>
      </c>
      <c r="I512" s="3" t="n">
        <f aca="false">F512*Моделирование!$F$3*M512*G512/1000</f>
        <v>1368610.23156</v>
      </c>
      <c r="J512" s="3" t="n">
        <f aca="false">F512*Моделирование!$F$3*M512*H512/1000</f>
        <v>1368610.23156</v>
      </c>
      <c r="K512" s="3" t="n">
        <f aca="false">J512-I512</f>
        <v>0</v>
      </c>
      <c r="L512" s="4" t="n">
        <f aca="false">IFERROR(K512/I512,0)</f>
        <v>0</v>
      </c>
      <c r="M512" s="15" t="n">
        <f aca="false">IF(INDEX('Расчет Кплотн'!$D:$D,MATCH(D512,'Расчет Кплотн'!$A:$A,0))="район",IFERROR(VLOOKUP(INDEX('Расчет Кплотн'!$B:$B,MATCH(D512,'Расчет Кплотн'!$A:$A,0)),'БКПН (приказ 170)'!$A$4:$C$10,3,FALSE()),Моделирование!$F$2),Моделирование!$F$2)</f>
        <v>1686.17</v>
      </c>
    </row>
    <row r="513" customFormat="false" ht="15" hidden="false" customHeight="false" outlineLevel="0" collapsed="false">
      <c r="A513" s="12" t="n">
        <v>508</v>
      </c>
      <c r="B513" s="12" t="str">
        <f aca="false">'РПН 01.08 по МО'!B511</f>
        <v>ПАВЛОДАРСКАЯ</v>
      </c>
      <c r="C513" s="12" t="str">
        <f aca="false">'РПН 01.08 по МО'!C511</f>
        <v>ПК "ДИСКОНТ"</v>
      </c>
      <c r="D513" s="12" t="str">
        <f aca="false">'РПН 01.08 по МО'!E511</f>
        <v>5522</v>
      </c>
      <c r="E513" s="12" t="str">
        <f aca="false">'РПН 01.08 по МО'!F511</f>
        <v>Экибастуз</v>
      </c>
      <c r="F513" s="13" t="n">
        <f aca="false">'РПН 01.08 по МО'!D511</f>
        <v>43039</v>
      </c>
      <c r="G513" s="14" t="n">
        <f aca="false">INDEX('Расчет Кплотн'!$K:$K,MATCH(D513,'Расчет Кплотн'!$A:$A,0))</f>
        <v>1.5</v>
      </c>
      <c r="H513" s="14" t="n">
        <f aca="false">INDEX('Расчет Кплотн'!$J:$J,MATCH(D513,'Расчет Кплотн'!$A:$A,0))</f>
        <v>1.5</v>
      </c>
      <c r="I513" s="3" t="n">
        <f aca="false">F513*Моделирование!$F$3*M513*G513/1000</f>
        <v>1306279.27134</v>
      </c>
      <c r="J513" s="3" t="n">
        <f aca="false">F513*Моделирование!$F$3*M513*H513/1000</f>
        <v>1306279.27134</v>
      </c>
      <c r="K513" s="3" t="n">
        <f aca="false">J513-I513</f>
        <v>0</v>
      </c>
      <c r="L513" s="4" t="n">
        <f aca="false">IFERROR(K513/I513,0)</f>
        <v>0</v>
      </c>
      <c r="M513" s="15" t="n">
        <f aca="false">IF(INDEX('Расчет Кплотн'!$D:$D,MATCH(D513,'Расчет Кплотн'!$A:$A,0))="район",IFERROR(VLOOKUP(INDEX('Расчет Кплотн'!$B:$B,MATCH(D513,'Расчет Кплотн'!$A:$A,0)),'БКПН (приказ 170)'!$A$4:$C$10,3,FALSE()),Моделирование!$F$2),Моделирование!$F$2)</f>
        <v>1686.17</v>
      </c>
    </row>
    <row r="514" customFormat="false" ht="15" hidden="false" customHeight="false" outlineLevel="0" collapsed="false">
      <c r="A514" s="12" t="n">
        <v>509</v>
      </c>
      <c r="B514" s="12" t="str">
        <f aca="false">'РПН 01.08 по МО'!B512</f>
        <v>ПАВЛОДАРСКАЯ</v>
      </c>
      <c r="C514" s="12" t="str">
        <f aca="false">'РПН 01.08 по МО'!C512</f>
        <v>ТОО "Павлодарская железнодорожная больница"</v>
      </c>
      <c r="D514" s="12" t="str">
        <f aca="false">'РПН 01.08 по МО'!E512</f>
        <v>5510</v>
      </c>
      <c r="E514" s="12" t="str">
        <f aca="false">'РПН 01.08 по МО'!F512</f>
        <v>Павлодар</v>
      </c>
      <c r="F514" s="13" t="n">
        <f aca="false">'РПН 01.08 по МО'!D512</f>
        <v>20326</v>
      </c>
      <c r="G514" s="14" t="n">
        <f aca="false">INDEX('Расчет Кплотн'!$K:$K,MATCH(D514,'Расчет Кплотн'!$A:$A,0))</f>
        <v>1</v>
      </c>
      <c r="H514" s="14" t="n">
        <f aca="false">INDEX('Расчет Кплотн'!$J:$J,MATCH(D514,'Расчет Кплотн'!$A:$A,0))</f>
        <v>1</v>
      </c>
      <c r="I514" s="3" t="n">
        <f aca="false">F514*Моделирование!$F$3*M514*G514/1000</f>
        <v>411277.09704</v>
      </c>
      <c r="J514" s="3" t="n">
        <f aca="false">F514*Моделирование!$F$3*M514*H514/1000</f>
        <v>411277.09704</v>
      </c>
      <c r="K514" s="3" t="n">
        <f aca="false">J514-I514</f>
        <v>0</v>
      </c>
      <c r="L514" s="4" t="n">
        <f aca="false">IFERROR(K514/I514,0)</f>
        <v>0</v>
      </c>
      <c r="M514" s="15" t="n">
        <f aca="false">IF(INDEX('Расчет Кплотн'!$D:$D,MATCH(D514,'Расчет Кплотн'!$A:$A,0))="район",IFERROR(VLOOKUP(INDEX('Расчет Кплотн'!$B:$B,MATCH(D514,'Расчет Кплотн'!$A:$A,0)),'БКПН (приказ 170)'!$A$4:$C$10,3,FALSE()),Моделирование!$F$2),Моделирование!$F$2)</f>
        <v>1686.17</v>
      </c>
    </row>
    <row r="515" customFormat="false" ht="15" hidden="false" customHeight="false" outlineLevel="0" collapsed="false">
      <c r="A515" s="12" t="n">
        <v>510</v>
      </c>
      <c r="B515" s="12" t="str">
        <f aca="false">'РПН 01.08 по МО'!B513</f>
        <v>ПАВЛОДАРСКАЯ</v>
      </c>
      <c r="C515" s="12" t="str">
        <f aca="false">'РПН 01.08 по МО'!C513</f>
        <v>Коммунальное государственное предприятие на праве хозяйственного ведения "Железинская районная больница" управления здравоохранения Павлодарской области, акимата Павлодарской области</v>
      </c>
      <c r="D515" s="12" t="str">
        <f aca="false">'РПН 01.08 по МО'!E513</f>
        <v>5542</v>
      </c>
      <c r="E515" s="12" t="str">
        <f aca="false">'РПН 01.08 по МО'!F513</f>
        <v>Железинский район</v>
      </c>
      <c r="F515" s="13" t="n">
        <f aca="false">'РПН 01.08 по МО'!D513</f>
        <v>12168</v>
      </c>
      <c r="G515" s="14" t="n">
        <f aca="false">INDEX('Расчет Кплотн'!$K:$K,MATCH(D515,'Расчет Кплотн'!$A:$A,0))</f>
        <v>2</v>
      </c>
      <c r="H515" s="14" t="n">
        <f aca="false">INDEX('Расчет Кплотн'!$J:$J,MATCH(D515,'Расчет Кплотн'!$A:$A,0))</f>
        <v>2</v>
      </c>
      <c r="I515" s="3" t="n">
        <f aca="false">F515*Моделирование!$F$3*M515*G515/1000</f>
        <v>657016.51392</v>
      </c>
      <c r="J515" s="3" t="n">
        <f aca="false">F515*Моделирование!$F$3*M515*H515/1000</f>
        <v>657016.51392</v>
      </c>
      <c r="K515" s="3" t="n">
        <f aca="false">J515-I515</f>
        <v>0</v>
      </c>
      <c r="L515" s="4" t="n">
        <f aca="false">IFERROR(K515/I515,0)</f>
        <v>0</v>
      </c>
      <c r="M515" s="15" t="n">
        <f aca="false">IF(INDEX('Расчет Кплотн'!$D:$D,MATCH(D515,'Расчет Кплотн'!$A:$A,0))="район",IFERROR(VLOOKUP(INDEX('Расчет Кплотн'!$B:$B,MATCH(D515,'Расчет Кплотн'!$A:$A,0)),'БКПН (приказ 170)'!$A$4:$C$10,3,FALSE()),Моделирование!$F$2),Моделирование!$F$2)</f>
        <v>2249.81</v>
      </c>
    </row>
    <row r="516" customFormat="false" ht="15" hidden="false" customHeight="false" outlineLevel="0" collapsed="false">
      <c r="A516" s="12" t="n">
        <v>511</v>
      </c>
      <c r="B516" s="12" t="str">
        <f aca="false">'РПН 01.08 по МО'!B514</f>
        <v>ПАВЛОДАРСКАЯ</v>
      </c>
      <c r="C516" s="12" t="str">
        <f aca="false">'РПН 01.08 по МО'!C514</f>
        <v>КГП на праве хозяйственного ведения "Поликлиника № 5 города Павлодара" управления здравоохранения Павлодарской области, акимата Павлодарской области</v>
      </c>
      <c r="D516" s="12" t="str">
        <f aca="false">'РПН 01.08 по МО'!E514</f>
        <v>5510</v>
      </c>
      <c r="E516" s="12" t="str">
        <f aca="false">'РПН 01.08 по МО'!F514</f>
        <v>Павлодар</v>
      </c>
      <c r="F516" s="13" t="n">
        <f aca="false">'РПН 01.08 по МО'!D514</f>
        <v>51489</v>
      </c>
      <c r="G516" s="14" t="n">
        <f aca="false">INDEX('Расчет Кплотн'!$K:$K,MATCH(D516,'Расчет Кплотн'!$A:$A,0))</f>
        <v>1</v>
      </c>
      <c r="H516" s="14" t="n">
        <f aca="false">INDEX('Расчет Кплотн'!$J:$J,MATCH(D516,'Расчет Кплотн'!$A:$A,0))</f>
        <v>1</v>
      </c>
      <c r="I516" s="3" t="n">
        <f aca="false">F516*Моделирование!$F$3*M516*G516/1000</f>
        <v>1041830.48556</v>
      </c>
      <c r="J516" s="3" t="n">
        <f aca="false">F516*Моделирование!$F$3*M516*H516/1000</f>
        <v>1041830.48556</v>
      </c>
      <c r="K516" s="3" t="n">
        <f aca="false">J516-I516</f>
        <v>0</v>
      </c>
      <c r="L516" s="4" t="n">
        <f aca="false">IFERROR(K516/I516,0)</f>
        <v>0</v>
      </c>
      <c r="M516" s="15" t="n">
        <f aca="false">IF(INDEX('Расчет Кплотн'!$D:$D,MATCH(D516,'Расчет Кплотн'!$A:$A,0))="район",IFERROR(VLOOKUP(INDEX('Расчет Кплотн'!$B:$B,MATCH(D516,'Расчет Кплотн'!$A:$A,0)),'БКПН (приказ 170)'!$A$4:$C$10,3,FALSE()),Моделирование!$F$2),Моделирование!$F$2)</f>
        <v>1686.17</v>
      </c>
    </row>
    <row r="517" customFormat="false" ht="15" hidden="false" customHeight="false" outlineLevel="0" collapsed="false">
      <c r="A517" s="12" t="n">
        <v>512</v>
      </c>
      <c r="B517" s="12" t="str">
        <f aca="false">'РПН 01.08 по МО'!B515</f>
        <v>ПАВЛОДАРСКАЯ</v>
      </c>
      <c r="C517" s="12" t="str">
        <f aca="false">'РПН 01.08 по МО'!C515</f>
        <v>Павлодарский филиал ТОО "Almaz Medical Group"</v>
      </c>
      <c r="D517" s="12" t="str">
        <f aca="false">'РПН 01.08 по МО'!E515</f>
        <v>5510</v>
      </c>
      <c r="E517" s="12" t="str">
        <f aca="false">'РПН 01.08 по МО'!F515</f>
        <v>Павлодар</v>
      </c>
      <c r="F517" s="13" t="n">
        <f aca="false">'РПН 01.08 по МО'!D515</f>
        <v>63926</v>
      </c>
      <c r="G517" s="14" t="n">
        <f aca="false">INDEX('Расчет Кплотн'!$K:$K,MATCH(D517,'Расчет Кплотн'!$A:$A,0))</f>
        <v>1</v>
      </c>
      <c r="H517" s="14" t="n">
        <f aca="false">INDEX('Расчет Кплотн'!$J:$J,MATCH(D517,'Расчет Кплотн'!$A:$A,0))</f>
        <v>1</v>
      </c>
      <c r="I517" s="3" t="n">
        <f aca="false">F517*Моделирование!$F$3*M517*G517/1000</f>
        <v>1293481.24104</v>
      </c>
      <c r="J517" s="3" t="n">
        <f aca="false">F517*Моделирование!$F$3*M517*H517/1000</f>
        <v>1293481.24104</v>
      </c>
      <c r="K517" s="3" t="n">
        <f aca="false">J517-I517</f>
        <v>0</v>
      </c>
      <c r="L517" s="4" t="n">
        <f aca="false">IFERROR(K517/I517,0)</f>
        <v>0</v>
      </c>
      <c r="M517" s="15" t="n">
        <f aca="false">IF(INDEX('Расчет Кплотн'!$D:$D,MATCH(D517,'Расчет Кплотн'!$A:$A,0))="район",IFERROR(VLOOKUP(INDEX('Расчет Кплотн'!$B:$B,MATCH(D517,'Расчет Кплотн'!$A:$A,0)),'БКПН (приказ 170)'!$A$4:$C$10,3,FALSE()),Моделирование!$F$2),Моделирование!$F$2)</f>
        <v>1686.17</v>
      </c>
    </row>
    <row r="518" customFormat="false" ht="15" hidden="false" customHeight="false" outlineLevel="0" collapsed="false">
      <c r="A518" s="12" t="n">
        <v>513</v>
      </c>
      <c r="B518" s="12" t="str">
        <f aca="false">'РПН 01.08 по МО'!B516</f>
        <v>ПАВЛОДАРСКАЯ</v>
      </c>
      <c r="C518" s="12" t="str">
        <f aca="false">'РПН 01.08 по МО'!C516</f>
        <v>КГП на праве хозяйственного ведения "Щербактинская районная больница" управления здравоохранения Павлодарской области, акимата Павлодарской области</v>
      </c>
      <c r="D518" s="12" t="str">
        <f aca="false">'РПН 01.08 по МО'!E516</f>
        <v>5568</v>
      </c>
      <c r="E518" s="12" t="str">
        <f aca="false">'РПН 01.08 по МО'!F516</f>
        <v>Щербактинский район</v>
      </c>
      <c r="F518" s="13" t="n">
        <f aca="false">'РПН 01.08 по МО'!D516</f>
        <v>16083</v>
      </c>
      <c r="G518" s="14" t="n">
        <f aca="false">INDEX('Расчет Кплотн'!$K:$K,MATCH(D518,'Расчет Кплотн'!$A:$A,0))</f>
        <v>1.7395</v>
      </c>
      <c r="H518" s="14" t="n">
        <f aca="false">INDEX('Расчет Кплотн'!$J:$J,MATCH(D518,'Расчет Кплотн'!$A:$A,0))</f>
        <v>2</v>
      </c>
      <c r="I518" s="3" t="n">
        <f aca="false">F518*Моделирование!$F$3*M518*G518/1000</f>
        <v>755298.43335702</v>
      </c>
      <c r="J518" s="3" t="n">
        <f aca="false">F518*Моделирование!$F$3*M518*H518/1000</f>
        <v>868408.66152</v>
      </c>
      <c r="K518" s="3" t="n">
        <f aca="false">J518-I518</f>
        <v>113110.22816298</v>
      </c>
      <c r="L518" s="4" t="n">
        <f aca="false">IFERROR(K518/I518,0)</f>
        <v>0.149755676918655</v>
      </c>
      <c r="M518" s="15" t="n">
        <f aca="false">IF(INDEX('Расчет Кплотн'!$D:$D,MATCH(D518,'Расчет Кплотн'!$A:$A,0))="район",IFERROR(VLOOKUP(INDEX('Расчет Кплотн'!$B:$B,MATCH(D518,'Расчет Кплотн'!$A:$A,0)),'БКПН (приказ 170)'!$A$4:$C$10,3,FALSE()),Моделирование!$F$2),Моделирование!$F$2)</f>
        <v>2249.81</v>
      </c>
    </row>
    <row r="519" customFormat="false" ht="15" hidden="false" customHeight="false" outlineLevel="0" collapsed="false">
      <c r="A519" s="12" t="n">
        <v>514</v>
      </c>
      <c r="B519" s="12" t="str">
        <f aca="false">'РПН 01.08 по МО'!B517</f>
        <v>ПАВЛОДАРСКАЯ</v>
      </c>
      <c r="C519" s="12" t="str">
        <f aca="false">'РПН 01.08 по МО'!C517</f>
        <v>КГП на ПХВ "Актогайская районная больница" управления здравоохранения Павлодарской области, акимата Павлодарской области</v>
      </c>
      <c r="D519" s="12" t="str">
        <f aca="false">'РПН 01.08 по МО'!E517</f>
        <v>5532</v>
      </c>
      <c r="E519" s="12" t="str">
        <f aca="false">'РПН 01.08 по МО'!F517</f>
        <v>Актогайский район</v>
      </c>
      <c r="F519" s="13" t="n">
        <f aca="false">'РПН 01.08 по МО'!D517</f>
        <v>9614</v>
      </c>
      <c r="G519" s="14" t="n">
        <f aca="false">INDEX('Расчет Кплотн'!$K:$K,MATCH(D519,'Расчет Кплотн'!$A:$A,0))</f>
        <v>2</v>
      </c>
      <c r="H519" s="14" t="n">
        <f aca="false">INDEX('Расчет Кплотн'!$J:$J,MATCH(D519,'Расчет Кплотн'!$A:$A,0))</f>
        <v>2</v>
      </c>
      <c r="I519" s="3" t="n">
        <f aca="false">F519*Моделирование!$F$3*M519*G519/1000</f>
        <v>519112.16016</v>
      </c>
      <c r="J519" s="3" t="n">
        <f aca="false">F519*Моделирование!$F$3*M519*H519/1000</f>
        <v>519112.16016</v>
      </c>
      <c r="K519" s="3" t="n">
        <f aca="false">J519-I519</f>
        <v>0</v>
      </c>
      <c r="L519" s="4" t="n">
        <f aca="false">IFERROR(K519/I519,0)</f>
        <v>0</v>
      </c>
      <c r="M519" s="15" t="n">
        <f aca="false">IF(INDEX('Расчет Кплотн'!$D:$D,MATCH(D519,'Расчет Кплотн'!$A:$A,0))="район",IFERROR(VLOOKUP(INDEX('Расчет Кплотн'!$B:$B,MATCH(D519,'Расчет Кплотн'!$A:$A,0)),'БКПН (приказ 170)'!$A$4:$C$10,3,FALSE()),Моделирование!$F$2),Моделирование!$F$2)</f>
        <v>2249.81</v>
      </c>
    </row>
    <row r="520" customFormat="false" ht="15" hidden="false" customHeight="false" outlineLevel="0" collapsed="false">
      <c r="A520" s="12" t="n">
        <v>515</v>
      </c>
      <c r="B520" s="12" t="str">
        <f aca="false">'РПН 01.08 по МО'!B518</f>
        <v>ПАВЛОДАРСКАЯ</v>
      </c>
      <c r="C520" s="12" t="str">
        <f aca="false">'РПН 01.08 по МО'!C518</f>
        <v>КГП на ПХВ "Баянаульская районная больница" управления здравоохранения Павлодарской области,акимата Павлодарской области</v>
      </c>
      <c r="D520" s="12" t="str">
        <f aca="false">'РПН 01.08 по МО'!E518</f>
        <v>5536</v>
      </c>
      <c r="E520" s="12" t="str">
        <f aca="false">'РПН 01.08 по МО'!F518</f>
        <v>Баянаульский район</v>
      </c>
      <c r="F520" s="13" t="n">
        <f aca="false">'РПН 01.08 по МО'!D518</f>
        <v>19924</v>
      </c>
      <c r="G520" s="14" t="n">
        <f aca="false">INDEX('Расчет Кплотн'!$K:$K,MATCH(D520,'Расчет Кплотн'!$A:$A,0))</f>
        <v>2</v>
      </c>
      <c r="H520" s="14" t="n">
        <f aca="false">INDEX('Расчет Кплотн'!$J:$J,MATCH(D520,'Расчет Кплотн'!$A:$A,0))</f>
        <v>2</v>
      </c>
      <c r="I520" s="3" t="n">
        <f aca="false">F520*Моделирование!$F$3*M520*G520/1000</f>
        <v>1075805.14656</v>
      </c>
      <c r="J520" s="3" t="n">
        <f aca="false">F520*Моделирование!$F$3*M520*H520/1000</f>
        <v>1075805.14656</v>
      </c>
      <c r="K520" s="3" t="n">
        <f aca="false">J520-I520</f>
        <v>0</v>
      </c>
      <c r="L520" s="4" t="n">
        <f aca="false">IFERROR(K520/I520,0)</f>
        <v>0</v>
      </c>
      <c r="M520" s="15" t="n">
        <f aca="false">IF(INDEX('Расчет Кплотн'!$D:$D,MATCH(D520,'Расчет Кплотн'!$A:$A,0))="район",IFERROR(VLOOKUP(INDEX('Расчет Кплотн'!$B:$B,MATCH(D520,'Расчет Кплотн'!$A:$A,0)),'БКПН (приказ 170)'!$A$4:$C$10,3,FALSE()),Моделирование!$F$2),Моделирование!$F$2)</f>
        <v>2249.81</v>
      </c>
    </row>
    <row r="521" customFormat="false" ht="15" hidden="false" customHeight="false" outlineLevel="0" collapsed="false">
      <c r="A521" s="12" t="n">
        <v>516</v>
      </c>
      <c r="B521" s="12" t="str">
        <f aca="false">'РПН 01.08 по МО'!B519</f>
        <v>ПАВЛОДАРСКАЯ</v>
      </c>
      <c r="C521" s="12" t="str">
        <f aca="false">'РПН 01.08 по МО'!C519</f>
        <v>КГП на ПХВ "Больница района Аққулы" управления здравоохранения Павлодарской области, акимата Павлодарской области</v>
      </c>
      <c r="D521" s="12" t="str">
        <f aca="false">'РПН 01.08 по МО'!E519</f>
        <v>5552</v>
      </c>
      <c r="E521" s="12" t="str">
        <f aca="false">'РПН 01.08 по МО'!F519</f>
        <v>район Аққулы</v>
      </c>
      <c r="F521" s="13" t="n">
        <f aca="false">'РПН 01.08 по МО'!D519</f>
        <v>9350</v>
      </c>
      <c r="G521" s="14" t="n">
        <f aca="false">INDEX('Расчет Кплотн'!$K:$K,MATCH(D521,'Расчет Кплотн'!$A:$A,0))</f>
        <v>2</v>
      </c>
      <c r="H521" s="14" t="n">
        <f aca="false">INDEX('Расчет Кплотн'!$J:$J,MATCH(D521,'Расчет Кплотн'!$A:$A,0))</f>
        <v>2</v>
      </c>
      <c r="I521" s="3" t="n">
        <f aca="false">F521*Моделирование!$F$3*M521*G521/1000</f>
        <v>504857.364</v>
      </c>
      <c r="J521" s="3" t="n">
        <f aca="false">F521*Моделирование!$F$3*M521*H521/1000</f>
        <v>504857.364</v>
      </c>
      <c r="K521" s="3" t="n">
        <f aca="false">J521-I521</f>
        <v>0</v>
      </c>
      <c r="L521" s="4" t="n">
        <f aca="false">IFERROR(K521/I521,0)</f>
        <v>0</v>
      </c>
      <c r="M521" s="15" t="n">
        <f aca="false">IF(INDEX('Расчет Кплотн'!$D:$D,MATCH(D521,'Расчет Кплотн'!$A:$A,0))="район",IFERROR(VLOOKUP(INDEX('Расчет Кплотн'!$B:$B,MATCH(D521,'Расчет Кплотн'!$A:$A,0)),'БКПН (приказ 170)'!$A$4:$C$10,3,FALSE()),Моделирование!$F$2),Моделирование!$F$2)</f>
        <v>2249.81</v>
      </c>
    </row>
    <row r="522" customFormat="false" ht="15" hidden="false" customHeight="false" outlineLevel="0" collapsed="false">
      <c r="A522" s="12" t="n">
        <v>517</v>
      </c>
      <c r="B522" s="12" t="str">
        <f aca="false">'РПН 01.08 по МО'!B520</f>
        <v>ПАВЛОДАРСКАЯ</v>
      </c>
      <c r="C522" s="12" t="str">
        <f aca="false">'РПН 01.08 по МО'!C520</f>
        <v>КГП на праве хозяйственного ведения "Успенская районная больница" управления здравоохранения Павлодарской области, акимата Павлодарской области.</v>
      </c>
      <c r="D522" s="12" t="str">
        <f aca="false">'РПН 01.08 по МО'!E520</f>
        <v>5564</v>
      </c>
      <c r="E522" s="12" t="str">
        <f aca="false">'РПН 01.08 по МО'!F520</f>
        <v>Успенский район</v>
      </c>
      <c r="F522" s="13" t="n">
        <f aca="false">'РПН 01.08 по МО'!D520</f>
        <v>10577</v>
      </c>
      <c r="G522" s="14" t="n">
        <f aca="false">INDEX('Расчет Кплотн'!$K:$K,MATCH(D522,'Расчет Кплотн'!$A:$A,0))</f>
        <v>1.9044</v>
      </c>
      <c r="H522" s="14" t="n">
        <f aca="false">INDEX('Расчет Кплотн'!$J:$J,MATCH(D522,'Расчет Кплотн'!$A:$A,0))</f>
        <v>2</v>
      </c>
      <c r="I522" s="3" t="n">
        <f aca="false">F522*Моделирование!$F$3*M522*G522/1000</f>
        <v>543810.721927536</v>
      </c>
      <c r="J522" s="3" t="n">
        <f aca="false">F522*Моделирование!$F$3*M522*H522/1000</f>
        <v>571109.76888</v>
      </c>
      <c r="K522" s="3" t="n">
        <f aca="false">J522-I522</f>
        <v>27299.046952464</v>
      </c>
      <c r="L522" s="4" t="n">
        <f aca="false">IFERROR(K522/I522,0)</f>
        <v>0.0501995379122034</v>
      </c>
      <c r="M522" s="15" t="n">
        <f aca="false">IF(INDEX('Расчет Кплотн'!$D:$D,MATCH(D522,'Расчет Кплотн'!$A:$A,0))="район",IFERROR(VLOOKUP(INDEX('Расчет Кплотн'!$B:$B,MATCH(D522,'Расчет Кплотн'!$A:$A,0)),'БКПН (приказ 170)'!$A$4:$C$10,3,FALSE()),Моделирование!$F$2),Моделирование!$F$2)</f>
        <v>2249.81</v>
      </c>
    </row>
    <row r="523" customFormat="false" ht="15" hidden="false" customHeight="false" outlineLevel="0" collapsed="false">
      <c r="A523" s="12" t="n">
        <v>518</v>
      </c>
      <c r="B523" s="12" t="str">
        <f aca="false">'РПН 01.08 по МО'!B521</f>
        <v>ПАВЛОДАРСКАЯ</v>
      </c>
      <c r="C523" s="12" t="str">
        <f aca="false">'РПН 01.08 по МО'!C521</f>
        <v>КГП на ПХВ "Майская районная больница" управления здравоохранения Павлодарской области, акимата Павлодарской области</v>
      </c>
      <c r="D523" s="12" t="str">
        <f aca="false">'РПН 01.08 по МО'!E521</f>
        <v>5556</v>
      </c>
      <c r="E523" s="12" t="str">
        <f aca="false">'РПН 01.08 по МО'!F521</f>
        <v>Майский район</v>
      </c>
      <c r="F523" s="13" t="n">
        <f aca="false">'РПН 01.08 по МО'!D521</f>
        <v>8134</v>
      </c>
      <c r="G523" s="14" t="n">
        <f aca="false">INDEX('Расчет Кплотн'!$K:$K,MATCH(D523,'Расчет Кплотн'!$A:$A,0))</f>
        <v>2</v>
      </c>
      <c r="H523" s="14" t="n">
        <f aca="false">INDEX('Расчет Кплотн'!$J:$J,MATCH(D523,'Расчет Кплотн'!$A:$A,0))</f>
        <v>2</v>
      </c>
      <c r="I523" s="3" t="n">
        <f aca="false">F523*Моделирование!$F$3*M523*G523/1000</f>
        <v>439198.90896</v>
      </c>
      <c r="J523" s="3" t="n">
        <f aca="false">F523*Моделирование!$F$3*M523*H523/1000</f>
        <v>439198.90896</v>
      </c>
      <c r="K523" s="3" t="n">
        <f aca="false">J523-I523</f>
        <v>0</v>
      </c>
      <c r="L523" s="4" t="n">
        <f aca="false">IFERROR(K523/I523,0)</f>
        <v>0</v>
      </c>
      <c r="M523" s="15" t="n">
        <f aca="false">IF(INDEX('Расчет Кплотн'!$D:$D,MATCH(D523,'Расчет Кплотн'!$A:$A,0))="район",IFERROR(VLOOKUP(INDEX('Расчет Кплотн'!$B:$B,MATCH(D523,'Расчет Кплотн'!$A:$A,0)),'БКПН (приказ 170)'!$A$4:$C$10,3,FALSE()),Моделирование!$F$2),Моделирование!$F$2)</f>
        <v>2249.81</v>
      </c>
    </row>
    <row r="524" customFormat="false" ht="15" hidden="false" customHeight="false" outlineLevel="0" collapsed="false">
      <c r="A524" s="12" t="n">
        <v>519</v>
      </c>
      <c r="B524" s="12" t="str">
        <f aca="false">'РПН 01.08 по МО'!B522</f>
        <v>ПАВЛОДАРСКАЯ</v>
      </c>
      <c r="C524" s="12" t="str">
        <f aca="false">'РПН 01.08 по МО'!C522</f>
        <v>КГП на ПХВ "Поликлиника № 3 города Павлодара" управления здравоохранения Павлодарской области, акимата Павлодарской области</v>
      </c>
      <c r="D524" s="12" t="str">
        <f aca="false">'РПН 01.08 по МО'!E522</f>
        <v>5510</v>
      </c>
      <c r="E524" s="12" t="str">
        <f aca="false">'РПН 01.08 по МО'!F522</f>
        <v>Павлодар</v>
      </c>
      <c r="F524" s="13" t="n">
        <f aca="false">'РПН 01.08 по МО'!D522</f>
        <v>50874</v>
      </c>
      <c r="G524" s="14" t="n">
        <f aca="false">INDEX('Расчет Кплотн'!$K:$K,MATCH(D524,'Расчет Кплотн'!$A:$A,0))</f>
        <v>1</v>
      </c>
      <c r="H524" s="14" t="n">
        <f aca="false">INDEX('Расчет Кплотн'!$J:$J,MATCH(D524,'Расчет Кплотн'!$A:$A,0))</f>
        <v>1</v>
      </c>
      <c r="I524" s="3" t="n">
        <f aca="false">F524*Моделирование!$F$3*M524*G524/1000</f>
        <v>1029386.55096</v>
      </c>
      <c r="J524" s="3" t="n">
        <f aca="false">F524*Моделирование!$F$3*M524*H524/1000</f>
        <v>1029386.55096</v>
      </c>
      <c r="K524" s="3" t="n">
        <f aca="false">J524-I524</f>
        <v>0</v>
      </c>
      <c r="L524" s="4" t="n">
        <f aca="false">IFERROR(K524/I524,0)</f>
        <v>0</v>
      </c>
      <c r="M524" s="15" t="n">
        <f aca="false">IF(INDEX('Расчет Кплотн'!$D:$D,MATCH(D524,'Расчет Кплотн'!$A:$A,0))="район",IFERROR(VLOOKUP(INDEX('Расчет Кплотн'!$B:$B,MATCH(D524,'Расчет Кплотн'!$A:$A,0)),'БКПН (приказ 170)'!$A$4:$C$10,3,FALSE()),Моделирование!$F$2),Моделирование!$F$2)</f>
        <v>1686.17</v>
      </c>
    </row>
    <row r="525" customFormat="false" ht="15" hidden="false" customHeight="false" outlineLevel="0" collapsed="false">
      <c r="A525" s="12" t="n">
        <v>520</v>
      </c>
      <c r="B525" s="12" t="str">
        <f aca="false">'РПН 01.08 по МО'!B523</f>
        <v>ПАВЛОДАРСКАЯ</v>
      </c>
      <c r="C525" s="12" t="str">
        <f aca="false">'РПН 01.08 по МО'!C523</f>
        <v>КГП на ПХВ "Поликлиника Павлодарского района" управления здравоохранения Павлодарской области, акимата Павлодарской области</v>
      </c>
      <c r="D525" s="12" t="str">
        <f aca="false">'РПН 01.08 по МО'!E523</f>
        <v>5560</v>
      </c>
      <c r="E525" s="12" t="str">
        <f aca="false">'РПН 01.08 по МО'!F523</f>
        <v>Павлодарский район</v>
      </c>
      <c r="F525" s="13" t="n">
        <f aca="false">'РПН 01.08 по МО'!D523</f>
        <v>23097</v>
      </c>
      <c r="G525" s="14" t="n">
        <f aca="false">INDEX('Расчет Кплотн'!$K:$K,MATCH(D525,'Расчет Кплотн'!$A:$A,0))</f>
        <v>1.4472</v>
      </c>
      <c r="H525" s="14" t="n">
        <f aca="false">INDEX('Расчет Кплотн'!$J:$J,MATCH(D525,'Расчет Кплотн'!$A:$A,0))</f>
        <v>2</v>
      </c>
      <c r="I525" s="3" t="n">
        <f aca="false">F525*Моделирование!$F$3*M525*G525/1000</f>
        <v>902425.205569248</v>
      </c>
      <c r="J525" s="3" t="n">
        <f aca="false">F525*Моделирование!$F$3*M525*H525/1000</f>
        <v>1247132.67768</v>
      </c>
      <c r="K525" s="3" t="n">
        <f aca="false">J525-I525</f>
        <v>344707.472110752</v>
      </c>
      <c r="L525" s="4" t="n">
        <f aca="false">IFERROR(K525/I525,0)</f>
        <v>0.381978993919292</v>
      </c>
      <c r="M525" s="15" t="n">
        <f aca="false">IF(INDEX('Расчет Кплотн'!$D:$D,MATCH(D525,'Расчет Кплотн'!$A:$A,0))="район",IFERROR(VLOOKUP(INDEX('Расчет Кплотн'!$B:$B,MATCH(D525,'Расчет Кплотн'!$A:$A,0)),'БКПН (приказ 170)'!$A$4:$C$10,3,FALSE()),Моделирование!$F$2),Моделирование!$F$2)</f>
        <v>2249.81</v>
      </c>
    </row>
    <row r="526" customFormat="false" ht="15" hidden="false" customHeight="false" outlineLevel="0" collapsed="false">
      <c r="A526" s="12" t="n">
        <v>521</v>
      </c>
      <c r="B526" s="12" t="str">
        <f aca="false">'РПН 01.08 по МО'!B524</f>
        <v>ПАВЛОДАРСКАЯ</v>
      </c>
      <c r="C526" s="12" t="str">
        <f aca="false">'РПН 01.08 по МО'!C524</f>
        <v>КГП на ПХВ «Иртышская районная больница» управления здравоохранения Павлодарской области, акимата Павлодарской области.</v>
      </c>
      <c r="D526" s="12" t="str">
        <f aca="false">'РПН 01.08 по МО'!E524</f>
        <v>5546</v>
      </c>
      <c r="E526" s="12" t="str">
        <f aca="false">'РПН 01.08 по МО'!F524</f>
        <v>Иртышский район</v>
      </c>
      <c r="F526" s="13" t="n">
        <f aca="false">'РПН 01.08 по МО'!D524</f>
        <v>13636</v>
      </c>
      <c r="G526" s="14" t="n">
        <f aca="false">INDEX('Расчет Кплотн'!$K:$K,MATCH(D526,'Расчет Кплотн'!$A:$A,0))</f>
        <v>2</v>
      </c>
      <c r="H526" s="14" t="n">
        <f aca="false">INDEX('Расчет Кплотн'!$J:$J,MATCH(D526,'Расчет Кплотн'!$A:$A,0))</f>
        <v>2</v>
      </c>
      <c r="I526" s="3" t="n">
        <f aca="false">F526*Моделирование!$F$3*M526*G526/1000</f>
        <v>736281.81984</v>
      </c>
      <c r="J526" s="3" t="n">
        <f aca="false">F526*Моделирование!$F$3*M526*H526/1000</f>
        <v>736281.81984</v>
      </c>
      <c r="K526" s="3" t="n">
        <f aca="false">J526-I526</f>
        <v>0</v>
      </c>
      <c r="L526" s="4" t="n">
        <f aca="false">IFERROR(K526/I526,0)</f>
        <v>0</v>
      </c>
      <c r="M526" s="15" t="n">
        <f aca="false">IF(INDEX('Расчет Кплотн'!$D:$D,MATCH(D526,'Расчет Кплотн'!$A:$A,0))="район",IFERROR(VLOOKUP(INDEX('Расчет Кплотн'!$B:$B,MATCH(D526,'Расчет Кплотн'!$A:$A,0)),'БКПН (приказ 170)'!$A$4:$C$10,3,FALSE()),Моделирование!$F$2),Моделирование!$F$2)</f>
        <v>2249.81</v>
      </c>
    </row>
    <row r="527" customFormat="false" ht="15" hidden="false" customHeight="false" outlineLevel="0" collapsed="false">
      <c r="A527" s="12" t="n">
        <v>522</v>
      </c>
      <c r="B527" s="12" t="str">
        <f aca="false">'РПН 01.08 по МО'!B525</f>
        <v>ПАВЛОДАРСКАЯ</v>
      </c>
      <c r="C527" s="12" t="str">
        <f aca="false">'РПН 01.08 по МО'!C525</f>
        <v>Коммунальное государственное предприятие на праве хозяйственного ведения "Городская больница г. Аксу" управления здравоохранения Павлодарской области, акимата Павлодарской области</v>
      </c>
      <c r="D527" s="12" t="str">
        <f aca="false">'РПН 01.08 по МО'!E525</f>
        <v>5516</v>
      </c>
      <c r="E527" s="12" t="str">
        <f aca="false">'РПН 01.08 по МО'!F525</f>
        <v>Аксу</v>
      </c>
      <c r="F527" s="13" t="n">
        <f aca="false">'РПН 01.08 по МО'!D525</f>
        <v>63882</v>
      </c>
      <c r="G527" s="14" t="n">
        <f aca="false">INDEX('Расчет Кплотн'!$K:$K,MATCH(D527,'Расчет Кплотн'!$A:$A,0))</f>
        <v>1.5</v>
      </c>
      <c r="H527" s="14" t="n">
        <f aca="false">INDEX('Расчет Кплотн'!$J:$J,MATCH(D527,'Расчет Кплотн'!$A:$A,0))</f>
        <v>1.5</v>
      </c>
      <c r="I527" s="3" t="n">
        <f aca="false">F527*Моделирование!$F$3*M527*G527/1000</f>
        <v>1938886.41492</v>
      </c>
      <c r="J527" s="3" t="n">
        <f aca="false">F527*Моделирование!$F$3*M527*H527/1000</f>
        <v>1938886.41492</v>
      </c>
      <c r="K527" s="3" t="n">
        <f aca="false">J527-I527</f>
        <v>0</v>
      </c>
      <c r="L527" s="4" t="n">
        <f aca="false">IFERROR(K527/I527,0)</f>
        <v>0</v>
      </c>
      <c r="M527" s="15" t="n">
        <f aca="false">IF(INDEX('Расчет Кплотн'!$D:$D,MATCH(D527,'Расчет Кплотн'!$A:$A,0))="район",IFERROR(VLOOKUP(INDEX('Расчет Кплотн'!$B:$B,MATCH(D527,'Расчет Кплотн'!$A:$A,0)),'БКПН (приказ 170)'!$A$4:$C$10,3,FALSE()),Моделирование!$F$2),Моделирование!$F$2)</f>
        <v>1686.17</v>
      </c>
    </row>
    <row r="528" customFormat="false" ht="15" hidden="false" customHeight="false" outlineLevel="0" collapsed="false">
      <c r="A528" s="12" t="n">
        <v>523</v>
      </c>
      <c r="B528" s="12" t="str">
        <f aca="false">'РПН 01.08 по МО'!B526</f>
        <v>ПАВЛОДАРСКАЯ</v>
      </c>
      <c r="C528" s="12" t="str">
        <f aca="false">'РПН 01.08 по МО'!C526</f>
        <v>КГП на ПХВ "Больница района Тереңкөл" управления здравоохранения Павлодарской области, акимата Павлодарской области</v>
      </c>
      <c r="D528" s="12" t="str">
        <f aca="false">'РПН 01.08 по МО'!E526</f>
        <v>5548</v>
      </c>
      <c r="E528" s="12" t="str">
        <f aca="false">'РПН 01.08 по МО'!F526</f>
        <v>район Тереңкөл</v>
      </c>
      <c r="F528" s="13" t="n">
        <f aca="false">'РПН 01.08 по МО'!D526</f>
        <v>16792</v>
      </c>
      <c r="G528" s="14" t="n">
        <f aca="false">INDEX('Расчет Кплотн'!$K:$K,MATCH(D528,'Расчет Кплотн'!$A:$A,0))</f>
        <v>1.703</v>
      </c>
      <c r="H528" s="14" t="n">
        <f aca="false">INDEX('Расчет Кплотн'!$J:$J,MATCH(D528,'Расчет Кплотн'!$A:$A,0))</f>
        <v>2</v>
      </c>
      <c r="I528" s="3" t="n">
        <f aca="false">F528*Моделирование!$F$3*M528*G528/1000</f>
        <v>772047.75135072</v>
      </c>
      <c r="J528" s="3" t="n">
        <f aca="false">F528*Моделирование!$F$3*M528*H528/1000</f>
        <v>906691.42848</v>
      </c>
      <c r="K528" s="3" t="n">
        <f aca="false">J528-I528</f>
        <v>134643.67712928</v>
      </c>
      <c r="L528" s="4" t="n">
        <f aca="false">IFERROR(K528/I528,0)</f>
        <v>0.174398120963006</v>
      </c>
      <c r="M528" s="15" t="n">
        <f aca="false">IF(INDEX('Расчет Кплотн'!$D:$D,MATCH(D528,'Расчет Кплотн'!$A:$A,0))="район",IFERROR(VLOOKUP(INDEX('Расчет Кплотн'!$B:$B,MATCH(D528,'Расчет Кплотн'!$A:$A,0)),'БКПН (приказ 170)'!$A$4:$C$10,3,FALSE()),Моделирование!$F$2),Моделирование!$F$2)</f>
        <v>2249.81</v>
      </c>
    </row>
    <row r="529" customFormat="false" ht="15" hidden="false" customHeight="false" outlineLevel="0" collapsed="false">
      <c r="A529" s="12" t="n">
        <v>524</v>
      </c>
      <c r="B529" s="12" t="str">
        <f aca="false">'РПН 01.08 по МО'!B527</f>
        <v>СЕВЕРО-КАЗАХСТАНСКАЯ</v>
      </c>
      <c r="C529" s="12" t="str">
        <f aca="false">'РПН 01.08 по МО'!C527</f>
        <v>ЧНУ "Денсаулык"</v>
      </c>
      <c r="D529" s="12" t="str">
        <f aca="false">'РПН 01.08 по МО'!E527</f>
        <v>5910</v>
      </c>
      <c r="E529" s="12" t="str">
        <f aca="false">'РПН 01.08 по МО'!F527</f>
        <v>Петропавловск</v>
      </c>
      <c r="F529" s="13" t="n">
        <f aca="false">'РПН 01.08 по МО'!D527</f>
        <v>29563</v>
      </c>
      <c r="G529" s="14" t="n">
        <f aca="false">INDEX('Расчет Кплотн'!$K:$K,MATCH(D529,'Расчет Кплотн'!$A:$A,0))</f>
        <v>1</v>
      </c>
      <c r="H529" s="14" t="n">
        <f aca="false">INDEX('Расчет Кплотн'!$J:$J,MATCH(D529,'Расчет Кплотн'!$A:$A,0))</f>
        <v>1</v>
      </c>
      <c r="I529" s="3" t="n">
        <f aca="false">F529*Моделирование!$F$3*M529*G529/1000</f>
        <v>598178.92452</v>
      </c>
      <c r="J529" s="3" t="n">
        <f aca="false">F529*Моделирование!$F$3*M529*H529/1000</f>
        <v>598178.92452</v>
      </c>
      <c r="K529" s="3" t="n">
        <f aca="false">J529-I529</f>
        <v>0</v>
      </c>
      <c r="L529" s="4" t="n">
        <f aca="false">IFERROR(K529/I529,0)</f>
        <v>0</v>
      </c>
      <c r="M529" s="15" t="n">
        <f aca="false">IF(INDEX('Расчет Кплотн'!$D:$D,MATCH(D529,'Расчет Кплотн'!$A:$A,0))="район",IFERROR(VLOOKUP(INDEX('Расчет Кплотн'!$B:$B,MATCH(D529,'Расчет Кплотн'!$A:$A,0)),'БКПН (приказ 170)'!$A$4:$C$10,3,FALSE()),Моделирование!$F$2),Моделирование!$F$2)</f>
        <v>1686.17</v>
      </c>
    </row>
    <row r="530" customFormat="false" ht="15" hidden="false" customHeight="false" outlineLevel="0" collapsed="false">
      <c r="A530" s="12" t="n">
        <v>525</v>
      </c>
      <c r="B530" s="12" t="str">
        <f aca="false">'РПН 01.08 по МО'!B528</f>
        <v>СЕВЕРО-КАЗАХСТАНСКАЯ</v>
      </c>
      <c r="C530" s="12" t="str">
        <f aca="false">'РПН 01.08 по МО'!C528</f>
        <v>ТОО "ПриИшимье и К"</v>
      </c>
      <c r="D530" s="12" t="str">
        <f aca="false">'РПН 01.08 по МО'!E528</f>
        <v>5910</v>
      </c>
      <c r="E530" s="12" t="str">
        <f aca="false">'РПН 01.08 по МО'!F528</f>
        <v>Петропавловск</v>
      </c>
      <c r="F530" s="13" t="n">
        <f aca="false">'РПН 01.08 по МО'!D528</f>
        <v>15489</v>
      </c>
      <c r="G530" s="14" t="n">
        <f aca="false">INDEX('Расчет Кплотн'!$K:$K,MATCH(D530,'Расчет Кплотн'!$A:$A,0))</f>
        <v>1</v>
      </c>
      <c r="H530" s="14" t="n">
        <f aca="false">INDEX('Расчет Кплотн'!$J:$J,MATCH(D530,'Расчет Кплотн'!$A:$A,0))</f>
        <v>1</v>
      </c>
      <c r="I530" s="3" t="n">
        <f aca="false">F530*Моделирование!$F$3*M530*G530/1000</f>
        <v>313405.04556</v>
      </c>
      <c r="J530" s="3" t="n">
        <f aca="false">F530*Моделирование!$F$3*M530*H530/1000</f>
        <v>313405.04556</v>
      </c>
      <c r="K530" s="3" t="n">
        <f aca="false">J530-I530</f>
        <v>0</v>
      </c>
      <c r="L530" s="4" t="n">
        <f aca="false">IFERROR(K530/I530,0)</f>
        <v>0</v>
      </c>
      <c r="M530" s="15" t="n">
        <f aca="false">IF(INDEX('Расчет Кплотн'!$D:$D,MATCH(D530,'Расчет Кплотн'!$A:$A,0))="район",IFERROR(VLOOKUP(INDEX('Расчет Кплотн'!$B:$B,MATCH(D530,'Расчет Кплотн'!$A:$A,0)),'БКПН (приказ 170)'!$A$4:$C$10,3,FALSE()),Моделирование!$F$2),Моделирование!$F$2)</f>
        <v>1686.17</v>
      </c>
    </row>
    <row r="531" customFormat="false" ht="15" hidden="false" customHeight="false" outlineLevel="0" collapsed="false">
      <c r="A531" s="12" t="n">
        <v>526</v>
      </c>
      <c r="B531" s="12" t="str">
        <f aca="false">'РПН 01.08 по МО'!B529</f>
        <v>СЕВЕРО-КАЗАХСТАНСКАЯ</v>
      </c>
      <c r="C531" s="12" t="str">
        <f aca="false">'РПН 01.08 по МО'!C529</f>
        <v>ТОО "MedicaLine"</v>
      </c>
      <c r="D531" s="12" t="str">
        <f aca="false">'РПН 01.08 по МО'!E529</f>
        <v>5910</v>
      </c>
      <c r="E531" s="12" t="str">
        <f aca="false">'РПН 01.08 по МО'!F529</f>
        <v>Петропавловск</v>
      </c>
      <c r="F531" s="13" t="n">
        <f aca="false">'РПН 01.08 по МО'!D529</f>
        <v>17383</v>
      </c>
      <c r="G531" s="14" t="n">
        <f aca="false">INDEX('Расчет Кплотн'!$K:$K,MATCH(D531,'Расчет Кплотн'!$A:$A,0))</f>
        <v>1</v>
      </c>
      <c r="H531" s="14" t="n">
        <f aca="false">INDEX('Расчет Кплотн'!$J:$J,MATCH(D531,'Расчет Кплотн'!$A:$A,0))</f>
        <v>1</v>
      </c>
      <c r="I531" s="3" t="n">
        <f aca="false">F531*Моделирование!$F$3*M531*G531/1000</f>
        <v>351728.31732</v>
      </c>
      <c r="J531" s="3" t="n">
        <f aca="false">F531*Моделирование!$F$3*M531*H531/1000</f>
        <v>351728.31732</v>
      </c>
      <c r="K531" s="3" t="n">
        <f aca="false">J531-I531</f>
        <v>0</v>
      </c>
      <c r="L531" s="4" t="n">
        <f aca="false">IFERROR(K531/I531,0)</f>
        <v>0</v>
      </c>
      <c r="M531" s="15" t="n">
        <f aca="false">IF(INDEX('Расчет Кплотн'!$D:$D,MATCH(D531,'Расчет Кплотн'!$A:$A,0))="район",IFERROR(VLOOKUP(INDEX('Расчет Кплотн'!$B:$B,MATCH(D531,'Расчет Кплотн'!$A:$A,0)),'БКПН (приказ 170)'!$A$4:$C$10,3,FALSE()),Моделирование!$F$2),Моделирование!$F$2)</f>
        <v>1686.17</v>
      </c>
    </row>
    <row r="532" customFormat="false" ht="15" hidden="false" customHeight="false" outlineLevel="0" collapsed="false">
      <c r="A532" s="12" t="n">
        <v>527</v>
      </c>
      <c r="B532" s="12" t="str">
        <f aca="false">'РПН 01.08 по МО'!B530</f>
        <v>СЕВЕРО-КАЗАХСТАНСКАЯ</v>
      </c>
      <c r="C532" s="12" t="str">
        <f aca="false">'РПН 01.08 по МО'!C530</f>
        <v>Коммунальное государственное предприятие на праве хозяйственного ведения «Районная больница района Магжана Жумабаева» коммунального государственного учреждения «Управление здравоохранения акимата Северо-Казахстанской области»</v>
      </c>
      <c r="D532" s="12" t="str">
        <f aca="false">'РПН 01.08 по МО'!E530</f>
        <v>5936</v>
      </c>
      <c r="E532" s="12" t="str">
        <f aca="false">'РПН 01.08 по МО'!F530</f>
        <v>Район Магжана Жумабаева</v>
      </c>
      <c r="F532" s="13" t="n">
        <f aca="false">'РПН 01.08 по МО'!D530</f>
        <v>23984</v>
      </c>
      <c r="G532" s="14" t="n">
        <f aca="false">INDEX('Расчет Кплотн'!$K:$K,MATCH(D532,'Расчет Кплотн'!$A:$A,0))</f>
        <v>1.5895</v>
      </c>
      <c r="H532" s="14" t="n">
        <f aca="false">INDEX('Расчет Кплотн'!$J:$J,MATCH(D532,'Расчет Кплотн'!$A:$A,0))</f>
        <v>2</v>
      </c>
      <c r="I532" s="3" t="n">
        <f aca="false">F532*Моделирование!$F$3*M532*G532/1000</f>
        <v>938812.45917888</v>
      </c>
      <c r="J532" s="3" t="n">
        <f aca="false">F532*Моделирование!$F$3*M532*H532/1000</f>
        <v>1181267.64288</v>
      </c>
      <c r="K532" s="3" t="n">
        <f aca="false">J532-I532</f>
        <v>242455.18370112</v>
      </c>
      <c r="L532" s="4" t="n">
        <f aca="false">IFERROR(K532/I532,0)</f>
        <v>0.258257313620636</v>
      </c>
      <c r="M532" s="15" t="n">
        <f aca="false">IF(INDEX('Расчет Кплотн'!$D:$D,MATCH(D532,'Расчет Кплотн'!$A:$A,0))="район",IFERROR(VLOOKUP(INDEX('Расчет Кплотн'!$B:$B,MATCH(D532,'Расчет Кплотн'!$A:$A,0)),'БКПН (приказ 170)'!$A$4:$C$10,3,FALSE()),Моделирование!$F$2),Моделирование!$F$2)</f>
        <v>2052.18</v>
      </c>
    </row>
    <row r="533" customFormat="false" ht="15" hidden="false" customHeight="false" outlineLevel="0" collapsed="false">
      <c r="A533" s="12" t="n">
        <v>528</v>
      </c>
      <c r="B533" s="12" t="str">
        <f aca="false">'РПН 01.08 по МО'!B531</f>
        <v>СЕВЕРО-КАЗАХСТАНСКАЯ</v>
      </c>
      <c r="C533" s="12" t="str">
        <f aca="false">'РПН 01.08 по МО'!C531</f>
        <v>Коммунальное государственное предприятие на праве хозяйственного ведения «Городская поликлиника №3» коммунального государственного учреждения «Управление здравоохранения акимата Северо- Казахстанской области»</v>
      </c>
      <c r="D533" s="12" t="str">
        <f aca="false">'РПН 01.08 по МО'!E531</f>
        <v>5910</v>
      </c>
      <c r="E533" s="12" t="str">
        <f aca="false">'РПН 01.08 по МО'!F531</f>
        <v>Петропавловск</v>
      </c>
      <c r="F533" s="13" t="n">
        <f aca="false">'РПН 01.08 по МО'!D531</f>
        <v>63135</v>
      </c>
      <c r="G533" s="14" t="n">
        <f aca="false">INDEX('Расчет Кплотн'!$K:$K,MATCH(D533,'Расчет Кплотн'!$A:$A,0))</f>
        <v>1</v>
      </c>
      <c r="H533" s="14" t="n">
        <f aca="false">INDEX('Расчет Кплотн'!$J:$J,MATCH(D533,'Расчет Кплотн'!$A:$A,0))</f>
        <v>1</v>
      </c>
      <c r="I533" s="3" t="n">
        <f aca="false">F533*Моделирование!$F$3*M533*G533/1000</f>
        <v>1277476.1154</v>
      </c>
      <c r="J533" s="3" t="n">
        <f aca="false">F533*Моделирование!$F$3*M533*H533/1000</f>
        <v>1277476.1154</v>
      </c>
      <c r="K533" s="3" t="n">
        <f aca="false">J533-I533</f>
        <v>0</v>
      </c>
      <c r="L533" s="4" t="n">
        <f aca="false">IFERROR(K533/I533,0)</f>
        <v>0</v>
      </c>
      <c r="M533" s="15" t="n">
        <f aca="false">IF(INDEX('Расчет Кплотн'!$D:$D,MATCH(D533,'Расчет Кплотн'!$A:$A,0))="район",IFERROR(VLOOKUP(INDEX('Расчет Кплотн'!$B:$B,MATCH(D533,'Расчет Кплотн'!$A:$A,0)),'БКПН (приказ 170)'!$A$4:$C$10,3,FALSE()),Моделирование!$F$2),Моделирование!$F$2)</f>
        <v>1686.17</v>
      </c>
    </row>
    <row r="534" customFormat="false" ht="15" hidden="false" customHeight="false" outlineLevel="0" collapsed="false">
      <c r="A534" s="12" t="n">
        <v>529</v>
      </c>
      <c r="B534" s="12" t="str">
        <f aca="false">'РПН 01.08 по МО'!B532</f>
        <v>СЕВЕРО-КАЗАХСТАНСКАЯ</v>
      </c>
      <c r="C534" s="12" t="str">
        <f aca="false">'РПН 01.08 по МО'!C532</f>
        <v>Коммунальное государственное предприятие на праве хозяйственного ведения "Явленская районная больница" коммунального государственного учреждения "Управление здравоохранения акимата Северо-Казахстанской области"</v>
      </c>
      <c r="D534" s="12" t="str">
        <f aca="false">'РПН 01.08 по МО'!E532</f>
        <v>5942</v>
      </c>
      <c r="E534" s="12" t="str">
        <f aca="false">'РПН 01.08 по МО'!F532</f>
        <v>Есильский район</v>
      </c>
      <c r="F534" s="13" t="n">
        <f aca="false">'РПН 01.08 по МО'!D532</f>
        <v>19357</v>
      </c>
      <c r="G534" s="14" t="n">
        <f aca="false">INDEX('Расчет Кплотн'!$K:$K,MATCH(D534,'Расчет Кплотн'!$A:$A,0))</f>
        <v>1.4991</v>
      </c>
      <c r="H534" s="14" t="n">
        <f aca="false">INDEX('Расчет Кплотн'!$J:$J,MATCH(D534,'Расчет Кплотн'!$A:$A,0))</f>
        <v>2</v>
      </c>
      <c r="I534" s="3" t="n">
        <f aca="false">F534*Моделирование!$F$3*M534*G534/1000</f>
        <v>714603.848958792</v>
      </c>
      <c r="J534" s="3" t="n">
        <f aca="false">F534*Моделирование!$F$3*M534*H534/1000</f>
        <v>953377.15824</v>
      </c>
      <c r="K534" s="3" t="n">
        <f aca="false">J534-I534</f>
        <v>238773.309281208</v>
      </c>
      <c r="L534" s="4" t="n">
        <f aca="false">IFERROR(K534/I534,0)</f>
        <v>0.334133813621506</v>
      </c>
      <c r="M534" s="15" t="n">
        <f aca="false">IF(INDEX('Расчет Кплотн'!$D:$D,MATCH(D534,'Расчет Кплотн'!$A:$A,0))="район",IFERROR(VLOOKUP(INDEX('Расчет Кплотн'!$B:$B,MATCH(D534,'Расчет Кплотн'!$A:$A,0)),'БКПН (приказ 170)'!$A$4:$C$10,3,FALSE()),Моделирование!$F$2),Моделирование!$F$2)</f>
        <v>2052.18</v>
      </c>
    </row>
    <row r="535" customFormat="false" ht="15" hidden="false" customHeight="false" outlineLevel="0" collapsed="false">
      <c r="A535" s="12" t="n">
        <v>530</v>
      </c>
      <c r="B535" s="12" t="str">
        <f aca="false">'РПН 01.08 по МО'!B533</f>
        <v>СЕВЕРО-КАЗАХСТАНСКАЯ</v>
      </c>
      <c r="C535" s="12" t="str">
        <f aca="false">'РПН 01.08 по МО'!C533</f>
        <v>Коммунальное государственное предприятие на праве хозяйственного ведения "Районная больница района Шал акына" коммунального государственного учреждения "Управление здравоохранения акимата Северо-Казахстанской области"</v>
      </c>
      <c r="D535" s="12" t="str">
        <f aca="false">'РПН 01.08 по МО'!E533</f>
        <v>5956</v>
      </c>
      <c r="E535" s="12" t="str">
        <f aca="false">'РПН 01.08 по МО'!F533</f>
        <v>Район Шал акына</v>
      </c>
      <c r="F535" s="13" t="n">
        <f aca="false">'РПН 01.08 по МО'!D533</f>
        <v>16061</v>
      </c>
      <c r="G535" s="14" t="n">
        <f aca="false">INDEX('Расчет Кплотн'!$K:$K,MATCH(D535,'Расчет Кплотн'!$A:$A,0))</f>
        <v>1.5577</v>
      </c>
      <c r="H535" s="14" t="n">
        <f aca="false">INDEX('Расчет Кплотн'!$J:$J,MATCH(D535,'Расчет Кплотн'!$A:$A,0))</f>
        <v>2</v>
      </c>
      <c r="I535" s="3" t="n">
        <f aca="false">F535*Моделирование!$F$3*M535*G535/1000</f>
        <v>616102.681247352</v>
      </c>
      <c r="J535" s="3" t="n">
        <f aca="false">F535*Моделирование!$F$3*M535*H535/1000</f>
        <v>791041.51152</v>
      </c>
      <c r="K535" s="3" t="n">
        <f aca="false">J535-I535</f>
        <v>174938.830272648</v>
      </c>
      <c r="L535" s="4" t="n">
        <f aca="false">IFERROR(K535/I535,0)</f>
        <v>0.283944276818386</v>
      </c>
      <c r="M535" s="15" t="n">
        <f aca="false">IF(INDEX('Расчет Кплотн'!$D:$D,MATCH(D535,'Расчет Кплотн'!$A:$A,0))="район",IFERROR(VLOOKUP(INDEX('Расчет Кплотн'!$B:$B,MATCH(D535,'Расчет Кплотн'!$A:$A,0)),'БКПН (приказ 170)'!$A$4:$C$10,3,FALSE()),Моделирование!$F$2),Моделирование!$F$2)</f>
        <v>2052.18</v>
      </c>
    </row>
    <row r="536" customFormat="false" ht="15" hidden="false" customHeight="false" outlineLevel="0" collapsed="false">
      <c r="A536" s="12" t="n">
        <v>531</v>
      </c>
      <c r="B536" s="12" t="str">
        <f aca="false">'РПН 01.08 по МО'!B534</f>
        <v>СЕВЕРО-КАЗАХСТАНСКАЯ</v>
      </c>
      <c r="C536" s="12" t="str">
        <f aca="false">'РПН 01.08 по МО'!C534</f>
        <v>Коммунальное государственное предприятие на праве хозяйственного ведения "Мамлютская районная больница" коммунального государственного учреждения "Управление здравоохранения акимата Северо-Казахстанской области"</v>
      </c>
      <c r="D536" s="12" t="str">
        <f aca="false">'РПН 01.08 по МО'!E534</f>
        <v>5952</v>
      </c>
      <c r="E536" s="12" t="str">
        <f aca="false">'РПН 01.08 по МО'!F534</f>
        <v>Мамлютский район</v>
      </c>
      <c r="F536" s="13" t="n">
        <f aca="false">'РПН 01.08 по МО'!D534</f>
        <v>15862</v>
      </c>
      <c r="G536" s="14" t="n">
        <f aca="false">INDEX('Расчет Кплотн'!$K:$K,MATCH(D536,'Расчет Кплотн'!$A:$A,0))</f>
        <v>1.4825</v>
      </c>
      <c r="H536" s="14" t="n">
        <f aca="false">INDEX('Расчет Кплотн'!$J:$J,MATCH(D536,'Расчет Кплотн'!$A:$A,0))</f>
        <v>2</v>
      </c>
      <c r="I536" s="3" t="n">
        <f aca="false">F536*Моделирование!$F$3*M536*G536/1000</f>
        <v>579094.3722564</v>
      </c>
      <c r="J536" s="3" t="n">
        <f aca="false">F536*Моделирование!$F$3*M536*H536/1000</f>
        <v>781240.29984</v>
      </c>
      <c r="K536" s="3" t="n">
        <f aca="false">J536-I536</f>
        <v>202145.9275836</v>
      </c>
      <c r="L536" s="4" t="n">
        <f aca="false">IFERROR(K536/I536,0)</f>
        <v>0.349072512647555</v>
      </c>
      <c r="M536" s="15" t="n">
        <f aca="false">IF(INDEX('Расчет Кплотн'!$D:$D,MATCH(D536,'Расчет Кплотн'!$A:$A,0))="район",IFERROR(VLOOKUP(INDEX('Расчет Кплотн'!$B:$B,MATCH(D536,'Расчет Кплотн'!$A:$A,0)),'БКПН (приказ 170)'!$A$4:$C$10,3,FALSE()),Моделирование!$F$2),Моделирование!$F$2)</f>
        <v>2052.18</v>
      </c>
    </row>
    <row r="537" customFormat="false" ht="15" hidden="false" customHeight="false" outlineLevel="0" collapsed="false">
      <c r="A537" s="12" t="n">
        <v>532</v>
      </c>
      <c r="B537" s="12" t="str">
        <f aca="false">'РПН 01.08 по МО'!B535</f>
        <v>СЕВЕРО-КАЗАХСТАНСКАЯ</v>
      </c>
      <c r="C537" s="12" t="str">
        <f aca="false">'РПН 01.08 по МО'!C535</f>
        <v>Коммунальное государственное предприятие на праве хозяйственного ведения "Городская поликлиника №1" коммунального государственного учреждения "Управление здравоохранения акимата Северо-Казахстанской области"</v>
      </c>
      <c r="D537" s="12" t="str">
        <f aca="false">'РПН 01.08 по МО'!E535</f>
        <v>5910</v>
      </c>
      <c r="E537" s="12" t="str">
        <f aca="false">'РПН 01.08 по МО'!F535</f>
        <v>Петропавловск</v>
      </c>
      <c r="F537" s="13" t="n">
        <f aca="false">'РПН 01.08 по МО'!D535</f>
        <v>50617</v>
      </c>
      <c r="G537" s="14" t="n">
        <f aca="false">INDEX('Расчет Кплотн'!$K:$K,MATCH(D537,'Расчет Кплотн'!$A:$A,0))</f>
        <v>1</v>
      </c>
      <c r="H537" s="14" t="n">
        <f aca="false">INDEX('Расчет Кплотн'!$J:$J,MATCH(D537,'Расчет Кплотн'!$A:$A,0))</f>
        <v>1</v>
      </c>
      <c r="I537" s="3" t="n">
        <f aca="false">F537*Моделирование!$F$3*M537*G537/1000</f>
        <v>1024186.40268</v>
      </c>
      <c r="J537" s="3" t="n">
        <f aca="false">F537*Моделирование!$F$3*M537*H537/1000</f>
        <v>1024186.40268</v>
      </c>
      <c r="K537" s="3" t="n">
        <f aca="false">J537-I537</f>
        <v>0</v>
      </c>
      <c r="L537" s="4" t="n">
        <f aca="false">IFERROR(K537/I537,0)</f>
        <v>0</v>
      </c>
      <c r="M537" s="15" t="n">
        <f aca="false">IF(INDEX('Расчет Кплотн'!$D:$D,MATCH(D537,'Расчет Кплотн'!$A:$A,0))="район",IFERROR(VLOOKUP(INDEX('Расчет Кплотн'!$B:$B,MATCH(D537,'Расчет Кплотн'!$A:$A,0)),'БКПН (приказ 170)'!$A$4:$C$10,3,FALSE()),Моделирование!$F$2),Моделирование!$F$2)</f>
        <v>1686.17</v>
      </c>
    </row>
    <row r="538" customFormat="false" ht="15" hidden="false" customHeight="false" outlineLevel="0" collapsed="false">
      <c r="A538" s="12" t="n">
        <v>533</v>
      </c>
      <c r="B538" s="12" t="str">
        <f aca="false">'РПН 01.08 по МО'!B536</f>
        <v>СЕВЕРО-КАЗАХСТАНСКАЯ</v>
      </c>
      <c r="C538" s="12" t="str">
        <f aca="false">'РПН 01.08 по МО'!C536</f>
        <v>Коммунальное государственное предприятие на праве хозяйственного ведения "Кызылжарская районная больница" коммунального государственного учреждения "Управление здравоохранения акимата Северо-Казахстанской области"</v>
      </c>
      <c r="D538" s="12" t="str">
        <f aca="false">'РПН 01.08 по МО'!E536</f>
        <v>5950</v>
      </c>
      <c r="E538" s="12" t="str">
        <f aca="false">'РПН 01.08 по МО'!F536</f>
        <v>Кызылжарский район</v>
      </c>
      <c r="F538" s="13" t="n">
        <f aca="false">'РПН 01.08 по МО'!D536</f>
        <v>40172</v>
      </c>
      <c r="G538" s="14" t="n">
        <f aca="false">INDEX('Расчет Кплотн'!$K:$K,MATCH(D538,'Расчет Кплотн'!$A:$A,0))</f>
        <v>1.272</v>
      </c>
      <c r="H538" s="14" t="n">
        <f aca="false">INDEX('Расчет Кплотн'!$J:$J,MATCH(D538,'Расчет Кплотн'!$A:$A,0))</f>
        <v>1.7767</v>
      </c>
      <c r="I538" s="3" t="n">
        <f aca="false">F538*Моделирование!$F$3*M538*G538/1000</f>
        <v>1258366.83058944</v>
      </c>
      <c r="J538" s="3" t="n">
        <f aca="false">F538*Моделирование!$F$3*M538*H538/1000</f>
        <v>1757657.50621718</v>
      </c>
      <c r="K538" s="3" t="n">
        <f aca="false">J538-I538</f>
        <v>499290.675627744</v>
      </c>
      <c r="L538" s="4" t="n">
        <f aca="false">IFERROR(K538/I538,0)</f>
        <v>0.396776729559748</v>
      </c>
      <c r="M538" s="15" t="n">
        <f aca="false">IF(INDEX('Расчет Кплотн'!$D:$D,MATCH(D538,'Расчет Кплотн'!$A:$A,0))="район",IFERROR(VLOOKUP(INDEX('Расчет Кплотн'!$B:$B,MATCH(D538,'Расчет Кплотн'!$A:$A,0)),'БКПН (приказ 170)'!$A$4:$C$10,3,FALSE()),Моделирование!$F$2),Моделирование!$F$2)</f>
        <v>2052.18</v>
      </c>
    </row>
    <row r="539" customFormat="false" ht="15" hidden="false" customHeight="false" outlineLevel="0" collapsed="false">
      <c r="A539" s="12" t="n">
        <v>534</v>
      </c>
      <c r="B539" s="12" t="str">
        <f aca="false">'РПН 01.08 по МО'!B537</f>
        <v>СЕВЕРО-КАЗАХСТАНСКАЯ</v>
      </c>
      <c r="C539" s="12" t="str">
        <f aca="false">'РПН 01.08 по МО'!C537</f>
        <v>Коммунальное государственное предприятие на праве хозяйственного ведения "Айыртауская районная больница" коммунального государственного учреждения "Управление здравоохранения акимата Северо-Казахстанской области"</v>
      </c>
      <c r="D539" s="12" t="str">
        <f aca="false">'РПН 01.08 по МО'!E537</f>
        <v>5932</v>
      </c>
      <c r="E539" s="12" t="str">
        <f aca="false">'РПН 01.08 по МО'!F537</f>
        <v>Айыртауский район</v>
      </c>
      <c r="F539" s="13" t="n">
        <f aca="false">'РПН 01.08 по МО'!D537</f>
        <v>29469</v>
      </c>
      <c r="G539" s="14" t="n">
        <f aca="false">INDEX('Расчет Кплотн'!$K:$K,MATCH(D539,'Расчет Кплотн'!$A:$A,0))</f>
        <v>1.608</v>
      </c>
      <c r="H539" s="14" t="n">
        <f aca="false">INDEX('Расчет Кплотн'!$J:$J,MATCH(D539,'Расчет Кплотн'!$A:$A,0))</f>
        <v>2</v>
      </c>
      <c r="I539" s="3" t="n">
        <f aca="false">F539*Моделирование!$F$3*M539*G539/1000</f>
        <v>1166938.96093632</v>
      </c>
      <c r="J539" s="3" t="n">
        <f aca="false">F539*Моделирование!$F$3*M539*H539/1000</f>
        <v>1451416.61808</v>
      </c>
      <c r="K539" s="3" t="n">
        <f aca="false">J539-I539</f>
        <v>284477.65714368</v>
      </c>
      <c r="L539" s="4" t="n">
        <f aca="false">IFERROR(K539/I539,0)</f>
        <v>0.243781094527363</v>
      </c>
      <c r="M539" s="15" t="n">
        <f aca="false">IF(INDEX('Расчет Кплотн'!$D:$D,MATCH(D539,'Расчет Кплотн'!$A:$A,0))="район",IFERROR(VLOOKUP(INDEX('Расчет Кплотн'!$B:$B,MATCH(D539,'Расчет Кплотн'!$A:$A,0)),'БКПН (приказ 170)'!$A$4:$C$10,3,FALSE()),Моделирование!$F$2),Моделирование!$F$2)</f>
        <v>2052.18</v>
      </c>
    </row>
    <row r="540" customFormat="false" ht="15" hidden="false" customHeight="false" outlineLevel="0" collapsed="false">
      <c r="A540" s="12" t="n">
        <v>535</v>
      </c>
      <c r="B540" s="12" t="str">
        <f aca="false">'РПН 01.08 по МО'!B538</f>
        <v>СЕВЕРО-КАЗАХСТАНСКАЯ</v>
      </c>
      <c r="C540" s="12" t="str">
        <f aca="false">'РПН 01.08 по МО'!C538</f>
        <v>КГП на ПХВ «Тимирязевская районная больница» КГУ "Управление здравоохранения акимата Северо-Казахстанской области»</v>
      </c>
      <c r="D540" s="12" t="str">
        <f aca="false">'РПН 01.08 по МО'!E538</f>
        <v>5962</v>
      </c>
      <c r="E540" s="12" t="str">
        <f aca="false">'РПН 01.08 по МО'!F538</f>
        <v>Тимирязевский район</v>
      </c>
      <c r="F540" s="13" t="n">
        <f aca="false">'РПН 01.08 по МО'!D538</f>
        <v>8484</v>
      </c>
      <c r="G540" s="14" t="n">
        <f aca="false">INDEX('Расчет Кплотн'!$K:$K,MATCH(D540,'Расчет Кплотн'!$A:$A,0))</f>
        <v>1.9426</v>
      </c>
      <c r="H540" s="14" t="n">
        <f aca="false">INDEX('Расчет Кплотн'!$J:$J,MATCH(D540,'Расчет Кплотн'!$A:$A,0))</f>
        <v>2</v>
      </c>
      <c r="I540" s="3" t="n">
        <f aca="false">F540*Моделирование!$F$3*M540*G540/1000</f>
        <v>405864.196081344</v>
      </c>
      <c r="J540" s="3" t="n">
        <f aca="false">F540*Моделирование!$F$3*M540*H540/1000</f>
        <v>417856.68288</v>
      </c>
      <c r="K540" s="3" t="n">
        <f aca="false">J540-I540</f>
        <v>11992.486798656</v>
      </c>
      <c r="L540" s="4" t="n">
        <f aca="false">IFERROR(K540/I540,0)</f>
        <v>0.0295480284155256</v>
      </c>
      <c r="M540" s="15" t="n">
        <f aca="false">IF(INDEX('Расчет Кплотн'!$D:$D,MATCH(D540,'Расчет Кплотн'!$A:$A,0))="район",IFERROR(VLOOKUP(INDEX('Расчет Кплотн'!$B:$B,MATCH(D540,'Расчет Кплотн'!$A:$A,0)),'БКПН (приказ 170)'!$A$4:$C$10,3,FALSE()),Моделирование!$F$2),Моделирование!$F$2)</f>
        <v>2052.18</v>
      </c>
    </row>
    <row r="541" customFormat="false" ht="15" hidden="false" customHeight="false" outlineLevel="0" collapsed="false">
      <c r="A541" s="12" t="n">
        <v>536</v>
      </c>
      <c r="B541" s="12" t="str">
        <f aca="false">'РПН 01.08 по МО'!B539</f>
        <v>СЕВЕРО-КАЗАХСТАНСКАЯ</v>
      </c>
      <c r="C541" s="12" t="str">
        <f aca="false">'РПН 01.08 по МО'!C539</f>
        <v>КГП на ПХВ «Жамбылская районная больница» КГУ «Управление здравоохранения акимата Северо-Казахстанской области»</v>
      </c>
      <c r="D541" s="12" t="str">
        <f aca="false">'РПН 01.08 по МО'!E539</f>
        <v>5946</v>
      </c>
      <c r="E541" s="12" t="str">
        <f aca="false">'РПН 01.08 по МО'!F539</f>
        <v>Жамбылский район</v>
      </c>
      <c r="F541" s="13" t="n">
        <f aca="false">'РПН 01.08 по МО'!D539</f>
        <v>15763</v>
      </c>
      <c r="G541" s="14" t="n">
        <f aca="false">INDEX('Расчет Кплотн'!$K:$K,MATCH(D541,'Расчет Кплотн'!$A:$A,0))</f>
        <v>1.8525</v>
      </c>
      <c r="H541" s="14" t="n">
        <f aca="false">INDEX('Расчет Кплотн'!$J:$J,MATCH(D541,'Расчет Кплотн'!$A:$A,0))</f>
        <v>2</v>
      </c>
      <c r="I541" s="3" t="n">
        <f aca="false">F541*Моделирование!$F$3*M541*G541/1000</f>
        <v>719107.4515482</v>
      </c>
      <c r="J541" s="3" t="n">
        <f aca="false">F541*Моделирование!$F$3*M541*H541/1000</f>
        <v>776364.32016</v>
      </c>
      <c r="K541" s="3" t="n">
        <f aca="false">J541-I541</f>
        <v>57256.8686118</v>
      </c>
      <c r="L541" s="4" t="n">
        <f aca="false">IFERROR(K541/I541,0)</f>
        <v>0.0796221322537112</v>
      </c>
      <c r="M541" s="15" t="n">
        <f aca="false">IF(INDEX('Расчет Кплотн'!$D:$D,MATCH(D541,'Расчет Кплотн'!$A:$A,0))="район",IFERROR(VLOOKUP(INDEX('Расчет Кплотн'!$B:$B,MATCH(D541,'Расчет Кплотн'!$A:$A,0)),'БКПН (приказ 170)'!$A$4:$C$10,3,FALSE()),Моделирование!$F$2),Моделирование!$F$2)</f>
        <v>2052.18</v>
      </c>
    </row>
    <row r="542" customFormat="false" ht="15" hidden="false" customHeight="false" outlineLevel="0" collapsed="false">
      <c r="A542" s="12" t="n">
        <v>537</v>
      </c>
      <c r="B542" s="12" t="str">
        <f aca="false">'РПН 01.08 по МО'!B540</f>
        <v>СЕВЕРО-КАЗАХСТАНСКАЯ</v>
      </c>
      <c r="C542" s="12" t="str">
        <f aca="false">'РПН 01.08 по МО'!C540</f>
        <v>КГП на ПХВ «Аккайынская районная больница» коммунального государственного учреждения «Управление здравоохранения акимата Северо-Казахстанской области»</v>
      </c>
      <c r="D542" s="12" t="str">
        <f aca="false">'РПН 01.08 по МО'!E540</f>
        <v>5958</v>
      </c>
      <c r="E542" s="12" t="str">
        <f aca="false">'РПН 01.08 по МО'!F540</f>
        <v>Аккайынский район</v>
      </c>
      <c r="F542" s="13" t="n">
        <f aca="false">'РПН 01.08 по МО'!D540</f>
        <v>16606</v>
      </c>
      <c r="G542" s="14" t="n">
        <f aca="false">INDEX('Расчет Кплотн'!$K:$K,MATCH(D542,'Расчет Кплотн'!$A:$A,0))</f>
        <v>1.5355</v>
      </c>
      <c r="H542" s="14" t="n">
        <f aca="false">INDEX('Расчет Кплотн'!$J:$J,MATCH(D542,'Расчет Кплотн'!$A:$A,0))</f>
        <v>2</v>
      </c>
      <c r="I542" s="3" t="n">
        <f aca="false">F542*Моделирование!$F$3*M542*G542/1000</f>
        <v>627930.46090008</v>
      </c>
      <c r="J542" s="3" t="n">
        <f aca="false">F542*Моделирование!$F$3*M542*H542/1000</f>
        <v>817884.02592</v>
      </c>
      <c r="K542" s="3" t="n">
        <f aca="false">J542-I542</f>
        <v>189953.56501992</v>
      </c>
      <c r="L542" s="4" t="n">
        <f aca="false">IFERROR(K542/I542,0)</f>
        <v>0.302507326603712</v>
      </c>
      <c r="M542" s="15" t="n">
        <f aca="false">IF(INDEX('Расчет Кплотн'!$D:$D,MATCH(D542,'Расчет Кплотн'!$A:$A,0))="район",IFERROR(VLOOKUP(INDEX('Расчет Кплотн'!$B:$B,MATCH(D542,'Расчет Кплотн'!$A:$A,0)),'БКПН (приказ 170)'!$A$4:$C$10,3,FALSE()),Моделирование!$F$2),Моделирование!$F$2)</f>
        <v>2052.18</v>
      </c>
    </row>
    <row r="543" customFormat="false" ht="15" hidden="false" customHeight="false" outlineLevel="0" collapsed="false">
      <c r="A543" s="12" t="n">
        <v>538</v>
      </c>
      <c r="B543" s="12" t="str">
        <f aca="false">'РПН 01.08 по МО'!B541</f>
        <v>СЕВЕРО-КАЗАХСТАНСКАЯ</v>
      </c>
      <c r="C543" s="12" t="str">
        <f aca="false">'РПН 01.08 по МО'!C541</f>
        <v>КГП на ПХВ "Уалихановская районная больница" коммунального государственного учреждения "Управление здравоохранения акимата Северо-Казахстанской области"</v>
      </c>
      <c r="D543" s="12" t="str">
        <f aca="false">'РПН 01.08 по МО'!E541</f>
        <v>5964</v>
      </c>
      <c r="E543" s="12" t="str">
        <f aca="false">'РПН 01.08 по МО'!F541</f>
        <v>Уалихановский район</v>
      </c>
      <c r="F543" s="13" t="n">
        <f aca="false">'РПН 01.08 по МО'!D541</f>
        <v>10813</v>
      </c>
      <c r="G543" s="14" t="n">
        <f aca="false">INDEX('Расчет Кплотн'!$K:$K,MATCH(D543,'Расчет Кплотн'!$A:$A,0))</f>
        <v>2</v>
      </c>
      <c r="H543" s="14" t="n">
        <f aca="false">INDEX('Расчет Кплотн'!$J:$J,MATCH(D543,'Расчет Кплотн'!$A:$A,0))</f>
        <v>2</v>
      </c>
      <c r="I543" s="3" t="n">
        <f aca="false">F543*Моделирование!$F$3*M543*G543/1000</f>
        <v>532565.33616</v>
      </c>
      <c r="J543" s="3" t="n">
        <f aca="false">F543*Моделирование!$F$3*M543*H543/1000</f>
        <v>532565.33616</v>
      </c>
      <c r="K543" s="3" t="n">
        <f aca="false">J543-I543</f>
        <v>0</v>
      </c>
      <c r="L543" s="4" t="n">
        <f aca="false">IFERROR(K543/I543,0)</f>
        <v>0</v>
      </c>
      <c r="M543" s="15" t="n">
        <f aca="false">IF(INDEX('Расчет Кплотн'!$D:$D,MATCH(D543,'Расчет Кплотн'!$A:$A,0))="район",IFERROR(VLOOKUP(INDEX('Расчет Кплотн'!$B:$B,MATCH(D543,'Расчет Кплотн'!$A:$A,0)),'БКПН (приказ 170)'!$A$4:$C$10,3,FALSE()),Моделирование!$F$2),Моделирование!$F$2)</f>
        <v>2052.18</v>
      </c>
    </row>
    <row r="544" customFormat="false" ht="15" hidden="false" customHeight="false" outlineLevel="0" collapsed="false">
      <c r="A544" s="12" t="n">
        <v>539</v>
      </c>
      <c r="B544" s="12" t="str">
        <f aca="false">'РПН 01.08 по МО'!B542</f>
        <v>СЕВЕРО-КАЗАХСТАНСКАЯ</v>
      </c>
      <c r="C544" s="12" t="str">
        <f aca="false">'РПН 01.08 по МО'!C542</f>
        <v>КГП на ПХВ "Тайыншинская многопрофильная межрайонная больница" коммунального государственного учреждения "Управление здравоохранения акимата Северо-Казахстанской области"</v>
      </c>
      <c r="D544" s="12" t="str">
        <f aca="false">'РПН 01.08 по МО'!E542</f>
        <v>5960</v>
      </c>
      <c r="E544" s="12" t="str">
        <f aca="false">'РПН 01.08 по МО'!F542</f>
        <v>Тайыншинский район</v>
      </c>
      <c r="F544" s="13" t="n">
        <f aca="false">'РПН 01.08 по МО'!D542</f>
        <v>36372</v>
      </c>
      <c r="G544" s="14" t="n">
        <f aca="false">INDEX('Расчет Кплотн'!$K:$K,MATCH(D544,'Расчет Кплотн'!$A:$A,0))</f>
        <v>1.5861</v>
      </c>
      <c r="H544" s="14" t="n">
        <f aca="false">INDEX('Расчет Кплотн'!$J:$J,MATCH(D544,'Расчет Кплотн'!$A:$A,0))</f>
        <v>2</v>
      </c>
      <c r="I544" s="3" t="n">
        <f aca="false">F544*Моделирование!$F$3*M544*G544/1000</f>
        <v>1420674.03901987</v>
      </c>
      <c r="J544" s="3" t="n">
        <f aca="false">F544*Моделирование!$F$3*M544*H544/1000</f>
        <v>1791405.38304</v>
      </c>
      <c r="K544" s="3" t="n">
        <f aca="false">J544-I544</f>
        <v>370731.344020128</v>
      </c>
      <c r="L544" s="4" t="n">
        <f aca="false">IFERROR(K544/I544,0)</f>
        <v>0.26095454258874</v>
      </c>
      <c r="M544" s="15" t="n">
        <f aca="false">IF(INDEX('Расчет Кплотн'!$D:$D,MATCH(D544,'Расчет Кплотн'!$A:$A,0))="район",IFERROR(VLOOKUP(INDEX('Расчет Кплотн'!$B:$B,MATCH(D544,'Расчет Кплотн'!$A:$A,0)),'БКПН (приказ 170)'!$A$4:$C$10,3,FALSE()),Моделирование!$F$2),Моделирование!$F$2)</f>
        <v>2052.18</v>
      </c>
    </row>
    <row r="545" customFormat="false" ht="15" hidden="false" customHeight="false" outlineLevel="0" collapsed="false">
      <c r="A545" s="12" t="n">
        <v>540</v>
      </c>
      <c r="B545" s="12" t="str">
        <f aca="false">'РПН 01.08 по МО'!B543</f>
        <v>СЕВЕРО-КАЗАХСТАНСКАЯ</v>
      </c>
      <c r="C545" s="12" t="str">
        <f aca="false">'РПН 01.08 по МО'!C543</f>
        <v>КГП на ПХВ "Районная больница района имени Габита Мусрепова" коммунального государственного учреждения "Управление здравоохранения акимата Северо-Казахстанской области"</v>
      </c>
      <c r="D545" s="12" t="str">
        <f aca="false">'РПН 01.08 по МО'!E543</f>
        <v>5966</v>
      </c>
      <c r="E545" s="12" t="str">
        <f aca="false">'РПН 01.08 по МО'!F543</f>
        <v>Район им.Габита Мусрепова</v>
      </c>
      <c r="F545" s="13" t="n">
        <f aca="false">'РПН 01.08 по МО'!D543</f>
        <v>33093</v>
      </c>
      <c r="G545" s="14" t="n">
        <f aca="false">INDEX('Расчет Кплотн'!$K:$K,MATCH(D545,'Расчет Кплотн'!$A:$A,0))</f>
        <v>1.6405</v>
      </c>
      <c r="H545" s="14" t="n">
        <f aca="false">INDEX('Расчет Кплотн'!$J:$J,MATCH(D545,'Расчет Кплотн'!$A:$A,0))</f>
        <v>2</v>
      </c>
      <c r="I545" s="3" t="n">
        <f aca="false">F545*Моделирование!$F$3*M545*G545/1000</f>
        <v>1336931.23787964</v>
      </c>
      <c r="J545" s="3" t="n">
        <f aca="false">F545*Моделирование!$F$3*M545*H545/1000</f>
        <v>1629907.02576</v>
      </c>
      <c r="K545" s="3" t="n">
        <f aca="false">J545-I545</f>
        <v>292975.78788036</v>
      </c>
      <c r="L545" s="4" t="n">
        <f aca="false">IFERROR(K545/I545,0)</f>
        <v>0.21914050594331</v>
      </c>
      <c r="M545" s="15" t="n">
        <f aca="false">IF(INDEX('Расчет Кплотн'!$D:$D,MATCH(D545,'Расчет Кплотн'!$A:$A,0))="район",IFERROR(VLOOKUP(INDEX('Расчет Кплотн'!$B:$B,MATCH(D545,'Расчет Кплотн'!$A:$A,0)),'БКПН (приказ 170)'!$A$4:$C$10,3,FALSE()),Моделирование!$F$2),Моделирование!$F$2)</f>
        <v>2052.18</v>
      </c>
    </row>
    <row r="546" customFormat="false" ht="15" hidden="false" customHeight="false" outlineLevel="0" collapsed="false">
      <c r="A546" s="12" t="n">
        <v>541</v>
      </c>
      <c r="B546" s="12" t="str">
        <f aca="false">'РПН 01.08 по МО'!B544</f>
        <v>СЕВЕРО-КАЗАХСТАНСКАЯ</v>
      </c>
      <c r="C546" s="12" t="str">
        <f aca="false">'РПН 01.08 по МО'!C544</f>
        <v>КГП на ПХВ "Акжарская районная больница" КГУ "Управление здравоохранения акимата СКО"</v>
      </c>
      <c r="D546" s="12" t="str">
        <f aca="false">'РПН 01.08 по МО'!E544</f>
        <v>5934</v>
      </c>
      <c r="E546" s="12" t="str">
        <f aca="false">'РПН 01.08 по МО'!F544</f>
        <v>Акжарский район</v>
      </c>
      <c r="F546" s="13" t="n">
        <f aca="false">'РПН 01.08 по МО'!D544</f>
        <v>11070</v>
      </c>
      <c r="G546" s="14" t="n">
        <f aca="false">INDEX('Расчет Кплотн'!$K:$K,MATCH(D546,'Расчет Кплотн'!$A:$A,0))</f>
        <v>2</v>
      </c>
      <c r="H546" s="14" t="n">
        <f aca="false">INDEX('Расчет Кплотн'!$J:$J,MATCH(D546,'Расчет Кплотн'!$A:$A,0))</f>
        <v>2</v>
      </c>
      <c r="I546" s="3" t="n">
        <f aca="false">F546*Моделирование!$F$3*M546*G546/1000</f>
        <v>545223.1824</v>
      </c>
      <c r="J546" s="3" t="n">
        <f aca="false">F546*Моделирование!$F$3*M546*H546/1000</f>
        <v>545223.1824</v>
      </c>
      <c r="K546" s="3" t="n">
        <f aca="false">J546-I546</f>
        <v>0</v>
      </c>
      <c r="L546" s="4" t="n">
        <f aca="false">IFERROR(K546/I546,0)</f>
        <v>0</v>
      </c>
      <c r="M546" s="15" t="n">
        <f aca="false">IF(INDEX('Расчет Кплотн'!$D:$D,MATCH(D546,'Расчет Кплотн'!$A:$A,0))="район",IFERROR(VLOOKUP(INDEX('Расчет Кплотн'!$B:$B,MATCH(D546,'Расчет Кплотн'!$A:$A,0)),'БКПН (приказ 170)'!$A$4:$C$10,3,FALSE()),Моделирование!$F$2),Моделирование!$F$2)</f>
        <v>2052.18</v>
      </c>
    </row>
    <row r="547" customFormat="false" ht="15" hidden="false" customHeight="false" outlineLevel="0" collapsed="false">
      <c r="A547" s="12" t="n">
        <v>542</v>
      </c>
      <c r="B547" s="12" t="str">
        <f aca="false">'РПН 01.08 по МО'!B545</f>
        <v>СЕВЕРО-КАЗАХСТАНСКАЯ</v>
      </c>
      <c r="C547" s="12" t="str">
        <f aca="false">'РПН 01.08 по МО'!C545</f>
        <v>Коммунальное государственное предприятие на праве хозяйственного ведения "Городская поликлиника № 2" коммунального государственного учреждения "Управление здравоохранения акимата Северо-Казахстанской области"</v>
      </c>
      <c r="D547" s="12" t="str">
        <f aca="false">'РПН 01.08 по МО'!E545</f>
        <v>5910</v>
      </c>
      <c r="E547" s="12" t="str">
        <f aca="false">'РПН 01.08 по МО'!F545</f>
        <v>Петропавловск</v>
      </c>
      <c r="F547" s="13" t="n">
        <f aca="false">'РПН 01.08 по МО'!D545</f>
        <v>62450</v>
      </c>
      <c r="G547" s="14" t="n">
        <f aca="false">INDEX('Расчет Кплотн'!$K:$K,MATCH(D547,'Расчет Кплотн'!$A:$A,0))</f>
        <v>1</v>
      </c>
      <c r="H547" s="14" t="n">
        <f aca="false">INDEX('Расчет Кплотн'!$J:$J,MATCH(D547,'Расчет Кплотн'!$A:$A,0))</f>
        <v>1</v>
      </c>
      <c r="I547" s="3" t="n">
        <f aca="false">F547*Моделирование!$F$3*M547*G547/1000</f>
        <v>1263615.798</v>
      </c>
      <c r="J547" s="3" t="n">
        <f aca="false">F547*Моделирование!$F$3*M547*H547/1000</f>
        <v>1263615.798</v>
      </c>
      <c r="K547" s="3" t="n">
        <f aca="false">J547-I547</f>
        <v>0</v>
      </c>
      <c r="L547" s="4" t="n">
        <f aca="false">IFERROR(K547/I547,0)</f>
        <v>0</v>
      </c>
      <c r="M547" s="15" t="n">
        <f aca="false">IF(INDEX('Расчет Кплотн'!$D:$D,MATCH(D547,'Расчет Кплотн'!$A:$A,0))="район",IFERROR(VLOOKUP(INDEX('Расчет Кплотн'!$B:$B,MATCH(D547,'Расчет Кплотн'!$A:$A,0)),'БКПН (приказ 170)'!$A$4:$C$10,3,FALSE()),Моделирование!$F$2),Моделирование!$F$2)</f>
        <v>1686.17</v>
      </c>
    </row>
    <row r="548" customFormat="false" ht="15" hidden="false" customHeight="false" outlineLevel="0" collapsed="false">
      <c r="A548" s="12" t="n">
        <v>543</v>
      </c>
      <c r="B548" s="12" t="str">
        <f aca="false">'РПН 01.08 по МО'!B546</f>
        <v>ТУРКЕСТАНСКАЯ</v>
      </c>
      <c r="C548" s="12" t="str">
        <f aca="false">'РПН 01.08 по МО'!C546</f>
        <v>ТОО "Лечебно - оздоровительный центр "Аян"</v>
      </c>
      <c r="D548" s="12" t="str">
        <f aca="false">'РПН 01.08 по МО'!E546</f>
        <v>6154</v>
      </c>
      <c r="E548" s="12" t="str">
        <f aca="false">'РПН 01.08 по МО'!F546</f>
        <v>Сарыагашский район</v>
      </c>
      <c r="F548" s="13" t="n">
        <f aca="false">'РПН 01.08 по МО'!D546</f>
        <v>10184</v>
      </c>
      <c r="G548" s="14" t="n">
        <f aca="false">INDEX('Расчет Кплотн'!$K:$K,MATCH(D548,'Расчет Кплотн'!$A:$A,0))</f>
        <v>1.0393</v>
      </c>
      <c r="H548" s="14" t="n">
        <f aca="false">INDEX('Расчет Кплотн'!$J:$J,MATCH(D548,'Расчет Кплотн'!$A:$A,0))</f>
        <v>1.0872</v>
      </c>
      <c r="I548" s="3" t="n">
        <f aca="false">F548*Моделирование!$F$3*M548*G548/1000</f>
        <v>214161.757470048</v>
      </c>
      <c r="J548" s="3" t="n">
        <f aca="false">F548*Моделирование!$F$3*M548*H548/1000</f>
        <v>224032.197364992</v>
      </c>
      <c r="K548" s="3" t="n">
        <f aca="false">J548-I548</f>
        <v>9870.43989494402</v>
      </c>
      <c r="L548" s="4" t="n">
        <f aca="false">IFERROR(K548/I548,0)</f>
        <v>0.0460887135572021</v>
      </c>
      <c r="M548" s="15" t="n">
        <f aca="false">IF(INDEX('Расчет Кплотн'!$D:$D,MATCH(D548,'Расчет Кплотн'!$A:$A,0))="район",IFERROR(VLOOKUP(INDEX('Расчет Кплотн'!$B:$B,MATCH(D548,'Расчет Кплотн'!$A:$A,0)),'БКПН (приказ 170)'!$A$4:$C$10,3,FALSE()),Моделирование!$F$2),Моделирование!$F$2)</f>
        <v>1686.17</v>
      </c>
    </row>
    <row r="549" customFormat="false" ht="15" hidden="false" customHeight="false" outlineLevel="0" collapsed="false">
      <c r="A549" s="12" t="n">
        <v>544</v>
      </c>
      <c r="B549" s="12" t="str">
        <f aca="false">'РПН 01.08 по МО'!B547</f>
        <v>ТУРКЕСТАНСКАЯ</v>
      </c>
      <c r="C549" s="12" t="str">
        <f aca="false">'РПН 01.08 по МО'!C547</f>
        <v>ТОО "Күлпаршын"</v>
      </c>
      <c r="D549" s="12" t="str">
        <f aca="false">'РПН 01.08 по МО'!E547</f>
        <v>6138</v>
      </c>
      <c r="E549" s="12" t="str">
        <f aca="false">'РПН 01.08 по МО'!F547</f>
        <v>Жетысайский район</v>
      </c>
      <c r="F549" s="13" t="n">
        <f aca="false">'РПН 01.08 по МО'!D547</f>
        <v>4632</v>
      </c>
      <c r="G549" s="14" t="n">
        <f aca="false">INDEX('Расчет Кплотн'!$K:$K,MATCH(D549,'Расчет Кплотн'!$A:$A,0))</f>
        <v>1.011</v>
      </c>
      <c r="H549" s="14" t="n">
        <f aca="false">INDEX('Расчет Кплотн'!$J:$J,MATCH(D549,'Расчет Кплотн'!$A:$A,0))</f>
        <v>1.0313</v>
      </c>
      <c r="I549" s="3" t="n">
        <f aca="false">F549*Моделирование!$F$3*M549*G549/1000</f>
        <v>94755.03808608</v>
      </c>
      <c r="J549" s="3" t="n">
        <f aca="false">F549*Моделирование!$F$3*M549*H549/1000</f>
        <v>96657.636773664</v>
      </c>
      <c r="K549" s="3" t="n">
        <f aca="false">J549-I549</f>
        <v>1902.59868758403</v>
      </c>
      <c r="L549" s="4" t="n">
        <f aca="false">IFERROR(K549/I549,0)</f>
        <v>0.0200791295746789</v>
      </c>
      <c r="M549" s="15" t="n">
        <f aca="false">IF(INDEX('Расчет Кплотн'!$D:$D,MATCH(D549,'Расчет Кплотн'!$A:$A,0))="район",IFERROR(VLOOKUP(INDEX('Расчет Кплотн'!$B:$B,MATCH(D549,'Расчет Кплотн'!$A:$A,0)),'БКПН (приказ 170)'!$A$4:$C$10,3,FALSE()),Моделирование!$F$2),Моделирование!$F$2)</f>
        <v>1686.17</v>
      </c>
    </row>
    <row r="550" customFormat="false" ht="15" hidden="false" customHeight="false" outlineLevel="0" collapsed="false">
      <c r="A550" s="12" t="n">
        <v>545</v>
      </c>
      <c r="B550" s="12" t="str">
        <f aca="false">'РПН 01.08 по МО'!B548</f>
        <v>ТУРКЕСТАНСКАЯ</v>
      </c>
      <c r="C550" s="12" t="str">
        <f aca="false">'РПН 01.08 по МО'!C548</f>
        <v>ТОО "Клиника Талгата"</v>
      </c>
      <c r="D550" s="12" t="str">
        <f aca="false">'РПН 01.08 по МО'!E548</f>
        <v>6110</v>
      </c>
      <c r="E550" s="12" t="str">
        <f aca="false">'РПН 01.08 по МО'!F548</f>
        <v>Туркестан</v>
      </c>
      <c r="F550" s="13" t="n">
        <f aca="false">'РПН 01.08 по МО'!D548</f>
        <v>40228</v>
      </c>
      <c r="G550" s="14" t="n">
        <f aca="false">INDEX('Расчет Кплотн'!$K:$K,MATCH(D550,'Расчет Кплотн'!$A:$A,0))</f>
        <v>1</v>
      </c>
      <c r="H550" s="14" t="n">
        <f aca="false">INDEX('Расчет Кплотн'!$J:$J,MATCH(D550,'Расчет Кплотн'!$A:$A,0))</f>
        <v>1</v>
      </c>
      <c r="I550" s="3" t="n">
        <f aca="false">F550*Моделирование!$F$3*M550*G550/1000</f>
        <v>813974.96112</v>
      </c>
      <c r="J550" s="3" t="n">
        <f aca="false">F550*Моделирование!$F$3*M550*H550/1000</f>
        <v>813974.96112</v>
      </c>
      <c r="K550" s="3" t="n">
        <f aca="false">J550-I550</f>
        <v>0</v>
      </c>
      <c r="L550" s="4" t="n">
        <f aca="false">IFERROR(K550/I550,0)</f>
        <v>0</v>
      </c>
      <c r="M550" s="15" t="n">
        <f aca="false">IF(INDEX('Расчет Кплотн'!$D:$D,MATCH(D550,'Расчет Кплотн'!$A:$A,0))="район",IFERROR(VLOOKUP(INDEX('Расчет Кплотн'!$B:$B,MATCH(D550,'Расчет Кплотн'!$A:$A,0)),'БКПН (приказ 170)'!$A$4:$C$10,3,FALSE()),Моделирование!$F$2),Моделирование!$F$2)</f>
        <v>1686.17</v>
      </c>
    </row>
    <row r="551" customFormat="false" ht="15" hidden="false" customHeight="false" outlineLevel="0" collapsed="false">
      <c r="A551" s="12" t="n">
        <v>546</v>
      </c>
      <c r="B551" s="12" t="str">
        <f aca="false">'РПН 01.08 по МО'!B549</f>
        <v>ТУРКЕСТАНСКАЯ</v>
      </c>
      <c r="C551" s="12" t="str">
        <f aca="false">'РПН 01.08 по МО'!C549</f>
        <v>ТОО "Клиника доктора Ирсалиева Н.Р."</v>
      </c>
      <c r="D551" s="12" t="str">
        <f aca="false">'РПН 01.08 по МО'!E549</f>
        <v>6152</v>
      </c>
      <c r="E551" s="12" t="str">
        <f aca="false">'РПН 01.08 по МО'!F549</f>
        <v>Сайрамский район</v>
      </c>
      <c r="F551" s="13" t="n">
        <f aca="false">'РПН 01.08 по МО'!D549</f>
        <v>5034</v>
      </c>
      <c r="G551" s="14" t="n">
        <f aca="false">INDEX('Расчет Кплотн'!$K:$K,MATCH(D551,'Расчет Кплотн'!$A:$A,0))</f>
        <v>1.0097</v>
      </c>
      <c r="H551" s="14" t="n">
        <f aca="false">INDEX('Расчет Кплотн'!$J:$J,MATCH(D551,'Расчет Кплотн'!$A:$A,0))</f>
        <v>1.0211</v>
      </c>
      <c r="I551" s="3" t="n">
        <f aca="false">F551*Моделирование!$F$3*M551*G551/1000</f>
        <v>102846.181486392</v>
      </c>
      <c r="J551" s="3" t="n">
        <f aca="false">F551*Моделирование!$F$3*M551*H551/1000</f>
        <v>104007.364480296</v>
      </c>
      <c r="K551" s="3" t="n">
        <f aca="false">J551-I551</f>
        <v>1161.18299390399</v>
      </c>
      <c r="L551" s="4" t="n">
        <f aca="false">IFERROR(K551/I551,0)</f>
        <v>0.0112904823214815</v>
      </c>
      <c r="M551" s="15" t="n">
        <f aca="false">IF(INDEX('Расчет Кплотн'!$D:$D,MATCH(D551,'Расчет Кплотн'!$A:$A,0))="район",IFERROR(VLOOKUP(INDEX('Расчет Кплотн'!$B:$B,MATCH(D551,'Расчет Кплотн'!$A:$A,0)),'БКПН (приказ 170)'!$A$4:$C$10,3,FALSE()),Моделирование!$F$2),Моделирование!$F$2)</f>
        <v>1686.17</v>
      </c>
    </row>
    <row r="552" customFormat="false" ht="15" hidden="false" customHeight="false" outlineLevel="0" collapsed="false">
      <c r="A552" s="12" t="n">
        <v>547</v>
      </c>
      <c r="B552" s="12" t="str">
        <f aca="false">'РПН 01.08 по МО'!B550</f>
        <v>ТУРКЕСТАНСКАЯ</v>
      </c>
      <c r="C552" s="12" t="str">
        <f aca="false">'РПН 01.08 по МО'!C550</f>
        <v>ТОО "Ем Коныр"</v>
      </c>
      <c r="D552" s="12" t="str">
        <f aca="false">'РПН 01.08 по МО'!E550</f>
        <v>6152</v>
      </c>
      <c r="E552" s="12" t="str">
        <f aca="false">'РПН 01.08 по МО'!F550</f>
        <v>Сайрамский район</v>
      </c>
      <c r="F552" s="13" t="n">
        <f aca="false">'РПН 01.08 по МО'!D550</f>
        <v>5382</v>
      </c>
      <c r="G552" s="14" t="n">
        <f aca="false">INDEX('Расчет Кплотн'!$K:$K,MATCH(D552,'Расчет Кплотн'!$A:$A,0))</f>
        <v>1.0097</v>
      </c>
      <c r="H552" s="14" t="n">
        <f aca="false">INDEX('Расчет Кплотн'!$J:$J,MATCH(D552,'Расчет Кплотн'!$A:$A,0))</f>
        <v>1.0211</v>
      </c>
      <c r="I552" s="3" t="n">
        <f aca="false">F552*Моделирование!$F$3*M552*G552/1000</f>
        <v>109955.929431816</v>
      </c>
      <c r="J552" s="3" t="n">
        <f aca="false">F552*Моделирование!$F$3*M552*H552/1000</f>
        <v>111197.384909208</v>
      </c>
      <c r="K552" s="3" t="n">
        <f aca="false">J552-I552</f>
        <v>1241.45547739198</v>
      </c>
      <c r="L552" s="4" t="n">
        <f aca="false">IFERROR(K552/I552,0)</f>
        <v>0.0112904823214815</v>
      </c>
      <c r="M552" s="15" t="n">
        <f aca="false">IF(INDEX('Расчет Кплотн'!$D:$D,MATCH(D552,'Расчет Кплотн'!$A:$A,0))="район",IFERROR(VLOOKUP(INDEX('Расчет Кплотн'!$B:$B,MATCH(D552,'Расчет Кплотн'!$A:$A,0)),'БКПН (приказ 170)'!$A$4:$C$10,3,FALSE()),Моделирование!$F$2),Моделирование!$F$2)</f>
        <v>1686.17</v>
      </c>
    </row>
    <row r="553" customFormat="false" ht="15" hidden="false" customHeight="false" outlineLevel="0" collapsed="false">
      <c r="A553" s="12" t="n">
        <v>548</v>
      </c>
      <c r="B553" s="12" t="str">
        <f aca="false">'РПН 01.08 по МО'!B551</f>
        <v>ТУРКЕСТАНСКАЯ</v>
      </c>
      <c r="C553" s="12" t="str">
        <f aca="false">'РПН 01.08 по МО'!C551</f>
        <v>ТОО "ДанияМед"</v>
      </c>
      <c r="D553" s="12" t="str">
        <f aca="false">'РПН 01.08 по МО'!E551</f>
        <v>6110</v>
      </c>
      <c r="E553" s="12" t="str">
        <f aca="false">'РПН 01.08 по МО'!F551</f>
        <v>Туркестан</v>
      </c>
      <c r="F553" s="13" t="n">
        <f aca="false">'РПН 01.08 по МО'!D551</f>
        <v>7498</v>
      </c>
      <c r="G553" s="14" t="n">
        <f aca="false">INDEX('Расчет Кплотн'!$K:$K,MATCH(D553,'Расчет Кплотн'!$A:$A,0))</f>
        <v>1</v>
      </c>
      <c r="H553" s="14" t="n">
        <f aca="false">INDEX('Расчет Кплотн'!$J:$J,MATCH(D553,'Расчет Кплотн'!$A:$A,0))</f>
        <v>1</v>
      </c>
      <c r="I553" s="3" t="n">
        <f aca="false">F553*Моделирование!$F$3*M553*G553/1000</f>
        <v>151714.83192</v>
      </c>
      <c r="J553" s="3" t="n">
        <f aca="false">F553*Моделирование!$F$3*M553*H553/1000</f>
        <v>151714.83192</v>
      </c>
      <c r="K553" s="3" t="n">
        <f aca="false">J553-I553</f>
        <v>0</v>
      </c>
      <c r="L553" s="4" t="n">
        <f aca="false">IFERROR(K553/I553,0)</f>
        <v>0</v>
      </c>
      <c r="M553" s="15" t="n">
        <f aca="false">IF(INDEX('Расчет Кплотн'!$D:$D,MATCH(D553,'Расчет Кплотн'!$A:$A,0))="район",IFERROR(VLOOKUP(INDEX('Расчет Кплотн'!$B:$B,MATCH(D553,'Расчет Кплотн'!$A:$A,0)),'БКПН (приказ 170)'!$A$4:$C$10,3,FALSE()),Моделирование!$F$2),Моделирование!$F$2)</f>
        <v>1686.17</v>
      </c>
    </row>
    <row r="554" customFormat="false" ht="15" hidden="false" customHeight="false" outlineLevel="0" collapsed="false">
      <c r="A554" s="12" t="n">
        <v>549</v>
      </c>
      <c r="B554" s="12" t="str">
        <f aca="false">'РПН 01.08 по МО'!B552</f>
        <v>ТУРКЕСТАНСКАЯ</v>
      </c>
      <c r="C554" s="12" t="str">
        <f aca="false">'РПН 01.08 по МО'!C552</f>
        <v>ТОО "ГАПЛ"</v>
      </c>
      <c r="D554" s="12" t="str">
        <f aca="false">'РПН 01.08 по МО'!E552</f>
        <v>6138</v>
      </c>
      <c r="E554" s="12" t="str">
        <f aca="false">'РПН 01.08 по МО'!F552</f>
        <v>Жетысайский район</v>
      </c>
      <c r="F554" s="13" t="n">
        <f aca="false">'РПН 01.08 по МО'!D552</f>
        <v>4226</v>
      </c>
      <c r="G554" s="14" t="n">
        <f aca="false">INDEX('Расчет Кплотн'!$K:$K,MATCH(D554,'Расчет Кплотн'!$A:$A,0))</f>
        <v>1.011</v>
      </c>
      <c r="H554" s="14" t="n">
        <f aca="false">INDEX('Расчет Кплотн'!$J:$J,MATCH(D554,'Расчет Кплотн'!$A:$A,0))</f>
        <v>1.0313</v>
      </c>
      <c r="I554" s="3" t="n">
        <f aca="false">F554*Моделирование!$F$3*M554*G554/1000</f>
        <v>86449.65262344</v>
      </c>
      <c r="J554" s="3" t="n">
        <f aca="false">F554*Моделирование!$F$3*M554*H554/1000</f>
        <v>88185.486400152</v>
      </c>
      <c r="K554" s="3" t="n">
        <f aca="false">J554-I554</f>
        <v>1735.83377671202</v>
      </c>
      <c r="L554" s="4" t="n">
        <f aca="false">IFERROR(K554/I554,0)</f>
        <v>0.0200791295746788</v>
      </c>
      <c r="M554" s="15" t="n">
        <f aca="false">IF(INDEX('Расчет Кплотн'!$D:$D,MATCH(D554,'Расчет Кплотн'!$A:$A,0))="район",IFERROR(VLOOKUP(INDEX('Расчет Кплотн'!$B:$B,MATCH(D554,'Расчет Кплотн'!$A:$A,0)),'БКПН (приказ 170)'!$A$4:$C$10,3,FALSE()),Моделирование!$F$2),Моделирование!$F$2)</f>
        <v>1686.17</v>
      </c>
    </row>
    <row r="555" customFormat="false" ht="15" hidden="false" customHeight="false" outlineLevel="0" collapsed="false">
      <c r="A555" s="12" t="n">
        <v>550</v>
      </c>
      <c r="B555" s="12" t="str">
        <f aca="false">'РПН 01.08 по МО'!B553</f>
        <v>ТУРКЕСТАНСКАЯ</v>
      </c>
      <c r="C555" s="12" t="str">
        <f aca="false">'РПН 01.08 по МО'!C553</f>
        <v>ТОО "Ақниет PLUS"</v>
      </c>
      <c r="D555" s="12" t="str">
        <f aca="false">'РПН 01.08 по МО'!E553</f>
        <v>6152</v>
      </c>
      <c r="E555" s="12" t="str">
        <f aca="false">'РПН 01.08 по МО'!F553</f>
        <v>Сайрамский район</v>
      </c>
      <c r="F555" s="13" t="n">
        <f aca="false">'РПН 01.08 по МО'!D553</f>
        <v>11307</v>
      </c>
      <c r="G555" s="14" t="n">
        <f aca="false">INDEX('Расчет Кплотн'!$K:$K,MATCH(D555,'Расчет Кплотн'!$A:$A,0))</f>
        <v>1.0097</v>
      </c>
      <c r="H555" s="14" t="n">
        <f aca="false">INDEX('Расчет Кплотн'!$J:$J,MATCH(D555,'Расчет Кплотн'!$A:$A,0))</f>
        <v>1.0211</v>
      </c>
      <c r="I555" s="3" t="n">
        <f aca="false">F555*Моделирование!$F$3*M555*G555/1000</f>
        <v>231005.517295716</v>
      </c>
      <c r="J555" s="3" t="n">
        <f aca="false">F555*Моделирование!$F$3*M555*H555/1000</f>
        <v>233613.681004908</v>
      </c>
      <c r="K555" s="3" t="n">
        <f aca="false">J555-I555</f>
        <v>2608.16370919195</v>
      </c>
      <c r="L555" s="4" t="n">
        <f aca="false">IFERROR(K555/I555,0)</f>
        <v>0.0112904823214814</v>
      </c>
      <c r="M555" s="15" t="n">
        <f aca="false">IF(INDEX('Расчет Кплотн'!$D:$D,MATCH(D555,'Расчет Кплотн'!$A:$A,0))="район",IFERROR(VLOOKUP(INDEX('Расчет Кплотн'!$B:$B,MATCH(D555,'Расчет Кплотн'!$A:$A,0)),'БКПН (приказ 170)'!$A$4:$C$10,3,FALSE()),Моделирование!$F$2),Моделирование!$F$2)</f>
        <v>1686.17</v>
      </c>
    </row>
    <row r="556" customFormat="false" ht="15" hidden="false" customHeight="false" outlineLevel="0" collapsed="false">
      <c r="A556" s="12" t="n">
        <v>551</v>
      </c>
      <c r="B556" s="12" t="str">
        <f aca="false">'РПН 01.08 по МО'!B554</f>
        <v>ТУРКЕСТАНСКАЯ</v>
      </c>
      <c r="C556" s="12" t="str">
        <f aca="false">'РПН 01.08 по МО'!C554</f>
        <v>ТОО "БакАру Групп"</v>
      </c>
      <c r="D556" s="12" t="str">
        <f aca="false">'РПН 01.08 по МО'!E554</f>
        <v>6120</v>
      </c>
      <c r="E556" s="12" t="str">
        <f aca="false">'РПН 01.08 по МО'!F554</f>
        <v>Кентау</v>
      </c>
      <c r="F556" s="13" t="n">
        <f aca="false">'РПН 01.08 по МО'!D554</f>
        <v>6024</v>
      </c>
      <c r="G556" s="14" t="n">
        <f aca="false">INDEX('Расчет Кплотн'!$K:$K,MATCH(D556,'Расчет Кплотн'!$A:$A,0))</f>
        <v>1.5</v>
      </c>
      <c r="H556" s="14" t="n">
        <f aca="false">INDEX('Расчет Кплотн'!$J:$J,MATCH(D556,'Расчет Кплотн'!$A:$A,0))</f>
        <v>1.5</v>
      </c>
      <c r="I556" s="3" t="n">
        <f aca="false">F556*Моделирование!$F$3*M556*G556/1000</f>
        <v>182834.78544</v>
      </c>
      <c r="J556" s="3" t="n">
        <f aca="false">F556*Моделирование!$F$3*M556*H556/1000</f>
        <v>182834.78544</v>
      </c>
      <c r="K556" s="3" t="n">
        <f aca="false">J556-I556</f>
        <v>0</v>
      </c>
      <c r="L556" s="4" t="n">
        <f aca="false">IFERROR(K556/I556,0)</f>
        <v>0</v>
      </c>
      <c r="M556" s="15" t="n">
        <f aca="false">IF(INDEX('Расчет Кплотн'!$D:$D,MATCH(D556,'Расчет Кплотн'!$A:$A,0))="район",IFERROR(VLOOKUP(INDEX('Расчет Кплотн'!$B:$B,MATCH(D556,'Расчет Кплотн'!$A:$A,0)),'БКПН (приказ 170)'!$A$4:$C$10,3,FALSE()),Моделирование!$F$2),Моделирование!$F$2)</f>
        <v>1686.17</v>
      </c>
    </row>
    <row r="557" customFormat="false" ht="15" hidden="false" customHeight="false" outlineLevel="0" collapsed="false">
      <c r="A557" s="12" t="n">
        <v>552</v>
      </c>
      <c r="B557" s="12" t="str">
        <f aca="false">'РПН 01.08 по МО'!B555</f>
        <v>ТУРКЕСТАНСКАЯ</v>
      </c>
      <c r="C557" s="12" t="str">
        <f aca="false">'РПН 01.08 по МО'!C555</f>
        <v>ТОО "Амина медицина орталығы"</v>
      </c>
      <c r="D557" s="12" t="str">
        <f aca="false">'РПН 01.08 по МО'!E555</f>
        <v>6110</v>
      </c>
      <c r="E557" s="12" t="str">
        <f aca="false">'РПН 01.08 по МО'!F555</f>
        <v>Туркестан</v>
      </c>
      <c r="F557" s="13" t="n">
        <f aca="false">'РПН 01.08 по МО'!D555</f>
        <v>25175</v>
      </c>
      <c r="G557" s="14" t="n">
        <f aca="false">INDEX('Расчет Кплотн'!$K:$K,MATCH(D557,'Расчет Кплотн'!$A:$A,0))</f>
        <v>1</v>
      </c>
      <c r="H557" s="14" t="n">
        <f aca="false">INDEX('Расчет Кплотн'!$J:$J,MATCH(D557,'Расчет Кплотн'!$A:$A,0))</f>
        <v>1</v>
      </c>
      <c r="I557" s="3" t="n">
        <f aca="false">F557*Моделирование!$F$3*M557*G557/1000</f>
        <v>509391.957</v>
      </c>
      <c r="J557" s="3" t="n">
        <f aca="false">F557*Моделирование!$F$3*M557*H557/1000</f>
        <v>509391.957</v>
      </c>
      <c r="K557" s="3" t="n">
        <f aca="false">J557-I557</f>
        <v>0</v>
      </c>
      <c r="L557" s="4" t="n">
        <f aca="false">IFERROR(K557/I557,0)</f>
        <v>0</v>
      </c>
      <c r="M557" s="15" t="n">
        <f aca="false">IF(INDEX('Расчет Кплотн'!$D:$D,MATCH(D557,'Расчет Кплотн'!$A:$A,0))="район",IFERROR(VLOOKUP(INDEX('Расчет Кплотн'!$B:$B,MATCH(D557,'Расчет Кплотн'!$A:$A,0)),'БКПН (приказ 170)'!$A$4:$C$10,3,FALSE()),Моделирование!$F$2),Моделирование!$F$2)</f>
        <v>1686.17</v>
      </c>
    </row>
    <row r="558" customFormat="false" ht="15" hidden="false" customHeight="false" outlineLevel="0" collapsed="false">
      <c r="A558" s="12" t="n">
        <v>553</v>
      </c>
      <c r="B558" s="12" t="str">
        <f aca="false">'РПН 01.08 по МО'!B556</f>
        <v>ТУРКЕСТАНСКАЯ</v>
      </c>
      <c r="C558" s="12" t="str">
        <f aca="false">'РПН 01.08 по МО'!C556</f>
        <v>ТОО "Ақзере-ТМ"</v>
      </c>
      <c r="D558" s="12" t="str">
        <f aca="false">'РПН 01.08 по МО'!E556</f>
        <v>6110</v>
      </c>
      <c r="E558" s="12" t="str">
        <f aca="false">'РПН 01.08 по МО'!F556</f>
        <v>Туркестан</v>
      </c>
      <c r="F558" s="13" t="n">
        <f aca="false">'РПН 01.08 по МО'!D556</f>
        <v>14315</v>
      </c>
      <c r="G558" s="14" t="n">
        <f aca="false">INDEX('Расчет Кплотн'!$K:$K,MATCH(D558,'Расчет Кплотн'!$A:$A,0))</f>
        <v>1</v>
      </c>
      <c r="H558" s="14" t="n">
        <f aca="false">INDEX('Расчет Кплотн'!$J:$J,MATCH(D558,'Расчет Кплотн'!$A:$A,0))</f>
        <v>1</v>
      </c>
      <c r="I558" s="3" t="n">
        <f aca="false">F558*Моделирование!$F$3*M558*G558/1000</f>
        <v>289650.2826</v>
      </c>
      <c r="J558" s="3" t="n">
        <f aca="false">F558*Моделирование!$F$3*M558*H558/1000</f>
        <v>289650.2826</v>
      </c>
      <c r="K558" s="3" t="n">
        <f aca="false">J558-I558</f>
        <v>0</v>
      </c>
      <c r="L558" s="4" t="n">
        <f aca="false">IFERROR(K558/I558,0)</f>
        <v>0</v>
      </c>
      <c r="M558" s="15" t="n">
        <f aca="false">IF(INDEX('Расчет Кплотн'!$D:$D,MATCH(D558,'Расчет Кплотн'!$A:$A,0))="район",IFERROR(VLOOKUP(INDEX('Расчет Кплотн'!$B:$B,MATCH(D558,'Расчет Кплотн'!$A:$A,0)),'БКПН (приказ 170)'!$A$4:$C$10,3,FALSE()),Моделирование!$F$2),Моделирование!$F$2)</f>
        <v>1686.17</v>
      </c>
    </row>
    <row r="559" customFormat="false" ht="15" hidden="false" customHeight="false" outlineLevel="0" collapsed="false">
      <c r="A559" s="12" t="n">
        <v>554</v>
      </c>
      <c r="B559" s="12" t="str">
        <f aca="false">'РПН 01.08 по МО'!B557</f>
        <v>ТУРКЕСТАНСКАЯ</v>
      </c>
      <c r="C559" s="12" t="str">
        <f aca="false">'РПН 01.08 по МО'!C557</f>
        <v>ТОО "Азия-Фаворит"</v>
      </c>
      <c r="D559" s="12" t="str">
        <f aca="false">'РПН 01.08 по МО'!E557</f>
        <v>6152</v>
      </c>
      <c r="E559" s="12" t="str">
        <f aca="false">'РПН 01.08 по МО'!F557</f>
        <v>Сайрамский район</v>
      </c>
      <c r="F559" s="13" t="n">
        <f aca="false">'РПН 01.08 по МО'!D557</f>
        <v>15607</v>
      </c>
      <c r="G559" s="14" t="n">
        <f aca="false">INDEX('Расчет Кплотн'!$K:$K,MATCH(D559,'Расчет Кплотн'!$A:$A,0))</f>
        <v>1.0097</v>
      </c>
      <c r="H559" s="14" t="n">
        <f aca="false">INDEX('Расчет Кплотн'!$J:$J,MATCH(D559,'Расчет Кплотн'!$A:$A,0))</f>
        <v>1.0211</v>
      </c>
      <c r="I559" s="3" t="n">
        <f aca="false">F559*Моделирование!$F$3*M559*G559/1000</f>
        <v>318855.851104116</v>
      </c>
      <c r="J559" s="3" t="n">
        <f aca="false">F559*Моделирование!$F$3*M559*H559/1000</f>
        <v>322455.887454108</v>
      </c>
      <c r="K559" s="3" t="n">
        <f aca="false">J559-I559</f>
        <v>3600.03634999198</v>
      </c>
      <c r="L559" s="4" t="n">
        <f aca="false">IFERROR(K559/I559,0)</f>
        <v>0.0112904823214816</v>
      </c>
      <c r="M559" s="15" t="n">
        <f aca="false">IF(INDEX('Расчет Кплотн'!$D:$D,MATCH(D559,'Расчет Кплотн'!$A:$A,0))="район",IFERROR(VLOOKUP(INDEX('Расчет Кплотн'!$B:$B,MATCH(D559,'Расчет Кплотн'!$A:$A,0)),'БКПН (приказ 170)'!$A$4:$C$10,3,FALSE()),Моделирование!$F$2),Моделирование!$F$2)</f>
        <v>1686.17</v>
      </c>
    </row>
    <row r="560" customFormat="false" ht="15" hidden="false" customHeight="false" outlineLevel="0" collapsed="false">
      <c r="A560" s="12" t="n">
        <v>555</v>
      </c>
      <c r="B560" s="12" t="str">
        <f aca="false">'РПН 01.08 по МО'!B558</f>
        <v>ТУРКЕСТАНСКАЯ</v>
      </c>
      <c r="C560" s="12" t="str">
        <f aca="false">'РПН 01.08 по МО'!C558</f>
        <v>ТОО "Азия мед-МО"</v>
      </c>
      <c r="D560" s="12" t="str">
        <f aca="false">'РПН 01.08 по МО'!E558</f>
        <v>6154</v>
      </c>
      <c r="E560" s="12" t="str">
        <f aca="false">'РПН 01.08 по МО'!F558</f>
        <v>Сарыагашский район</v>
      </c>
      <c r="F560" s="13" t="n">
        <f aca="false">'РПН 01.08 по МО'!D558</f>
        <v>15172</v>
      </c>
      <c r="G560" s="14" t="n">
        <f aca="false">INDEX('Расчет Кплотн'!$K:$K,MATCH(D560,'Расчет Кплотн'!$A:$A,0))</f>
        <v>1.0393</v>
      </c>
      <c r="H560" s="14" t="n">
        <f aca="false">INDEX('Расчет Кплотн'!$J:$J,MATCH(D560,'Расчет Кплотн'!$A:$A,0))</f>
        <v>1.0872</v>
      </c>
      <c r="I560" s="3" t="n">
        <f aca="false">F560*Моделирование!$F$3*M560*G560/1000</f>
        <v>319055.595476784</v>
      </c>
      <c r="J560" s="3" t="n">
        <f aca="false">F560*Моделирование!$F$3*M560*H560/1000</f>
        <v>333760.457425536</v>
      </c>
      <c r="K560" s="3" t="n">
        <f aca="false">J560-I560</f>
        <v>14704.861948752</v>
      </c>
      <c r="L560" s="4" t="n">
        <f aca="false">IFERROR(K560/I560,0)</f>
        <v>0.046088713557202</v>
      </c>
      <c r="M560" s="15" t="n">
        <f aca="false">IF(INDEX('Расчет Кплотн'!$D:$D,MATCH(D560,'Расчет Кплотн'!$A:$A,0))="район",IFERROR(VLOOKUP(INDEX('Расчет Кплотн'!$B:$B,MATCH(D560,'Расчет Кплотн'!$A:$A,0)),'БКПН (приказ 170)'!$A$4:$C$10,3,FALSE()),Моделирование!$F$2),Моделирование!$F$2)</f>
        <v>1686.17</v>
      </c>
    </row>
    <row r="561" customFormat="false" ht="15" hidden="false" customHeight="false" outlineLevel="0" collapsed="false">
      <c r="A561" s="12" t="n">
        <v>556</v>
      </c>
      <c r="B561" s="12" t="str">
        <f aca="false">'РПН 01.08 по МО'!B559</f>
        <v>ТУРКЕСТАНСКАЯ</v>
      </c>
      <c r="C561" s="12" t="str">
        <f aca="false">'РПН 01.08 по МО'!C559</f>
        <v>ТОО "Авиценна-А"</v>
      </c>
      <c r="D561" s="12" t="str">
        <f aca="false">'РПН 01.08 по МО'!E559</f>
        <v>6120</v>
      </c>
      <c r="E561" s="12" t="str">
        <f aca="false">'РПН 01.08 по МО'!F559</f>
        <v>Кентау</v>
      </c>
      <c r="F561" s="13" t="n">
        <f aca="false">'РПН 01.08 по МО'!D559</f>
        <v>9780</v>
      </c>
      <c r="G561" s="14" t="n">
        <f aca="false">INDEX('Расчет Кплотн'!$K:$K,MATCH(D561,'Расчет Кплотн'!$A:$A,0))</f>
        <v>1.5</v>
      </c>
      <c r="H561" s="14" t="n">
        <f aca="false">INDEX('Расчет Кплотн'!$J:$J,MATCH(D561,'Расчет Кплотн'!$A:$A,0))</f>
        <v>1.5</v>
      </c>
      <c r="I561" s="3" t="n">
        <f aca="false">F561*Моделирование!$F$3*M561*G561/1000</f>
        <v>296833.3668</v>
      </c>
      <c r="J561" s="3" t="n">
        <f aca="false">F561*Моделирование!$F$3*M561*H561/1000</f>
        <v>296833.3668</v>
      </c>
      <c r="K561" s="3" t="n">
        <f aca="false">J561-I561</f>
        <v>0</v>
      </c>
      <c r="L561" s="4" t="n">
        <f aca="false">IFERROR(K561/I561,0)</f>
        <v>0</v>
      </c>
      <c r="M561" s="15" t="n">
        <f aca="false">IF(INDEX('Расчет Кплотн'!$D:$D,MATCH(D561,'Расчет Кплотн'!$A:$A,0))="район",IFERROR(VLOOKUP(INDEX('Расчет Кплотн'!$B:$B,MATCH(D561,'Расчет Кплотн'!$A:$A,0)),'БКПН (приказ 170)'!$A$4:$C$10,3,FALSE()),Моделирование!$F$2),Моделирование!$F$2)</f>
        <v>1686.17</v>
      </c>
    </row>
    <row r="562" customFormat="false" ht="15" hidden="false" customHeight="false" outlineLevel="0" collapsed="false">
      <c r="A562" s="12" t="n">
        <v>557</v>
      </c>
      <c r="B562" s="12" t="str">
        <f aca="false">'РПН 01.08 по МО'!B560</f>
        <v>ТУРКЕСТАНСКАЯ</v>
      </c>
      <c r="C562" s="12" t="str">
        <f aca="false">'РПН 01.08 по МО'!C560</f>
        <v>ТОО "БЕГІМ АRT"</v>
      </c>
      <c r="D562" s="12" t="str">
        <f aca="false">'РПН 01.08 по МО'!E560</f>
        <v>6154</v>
      </c>
      <c r="E562" s="12" t="str">
        <f aca="false">'РПН 01.08 по МО'!F560</f>
        <v>Сарыагашский район</v>
      </c>
      <c r="F562" s="13" t="n">
        <f aca="false">'РПН 01.08 по МО'!D560</f>
        <v>9914</v>
      </c>
      <c r="G562" s="14" t="n">
        <f aca="false">INDEX('Расчет Кплотн'!$K:$K,MATCH(D562,'Расчет Кплотн'!$A:$A,0))</f>
        <v>1.0393</v>
      </c>
      <c r="H562" s="14" t="n">
        <f aca="false">INDEX('Расчет Кплотн'!$J:$J,MATCH(D562,'Расчет Кплотн'!$A:$A,0))</f>
        <v>1.0872</v>
      </c>
      <c r="I562" s="3" t="n">
        <f aca="false">F562*Моделирование!$F$3*M562*G562/1000</f>
        <v>208483.863271608</v>
      </c>
      <c r="J562" s="3" t="n">
        <f aca="false">F562*Моделирование!$F$3*M562*H562/1000</f>
        <v>218092.616327232</v>
      </c>
      <c r="K562" s="3" t="n">
        <f aca="false">J562-I562</f>
        <v>9608.75305562402</v>
      </c>
      <c r="L562" s="4" t="n">
        <f aca="false">IFERROR(K562/I562,0)</f>
        <v>0.0460887135572021</v>
      </c>
      <c r="M562" s="15" t="n">
        <f aca="false">IF(INDEX('Расчет Кплотн'!$D:$D,MATCH(D562,'Расчет Кплотн'!$A:$A,0))="район",IFERROR(VLOOKUP(INDEX('Расчет Кплотн'!$B:$B,MATCH(D562,'Расчет Кплотн'!$A:$A,0)),'БКПН (приказ 170)'!$A$4:$C$10,3,FALSE()),Моделирование!$F$2),Моделирование!$F$2)</f>
        <v>1686.17</v>
      </c>
    </row>
    <row r="563" customFormat="false" ht="15" hidden="false" customHeight="false" outlineLevel="0" collapsed="false">
      <c r="A563" s="12" t="n">
        <v>558</v>
      </c>
      <c r="B563" s="12" t="str">
        <f aca="false">'РПН 01.08 по МО'!B561</f>
        <v>ТУРКЕСТАНСКАЯ</v>
      </c>
      <c r="C563" s="12" t="str">
        <f aca="false">'РПН 01.08 по МО'!C561</f>
        <v>ТОО "Мед клиника "Сұңқар"</v>
      </c>
      <c r="D563" s="12" t="str">
        <f aca="false">'РПН 01.08 по МО'!E561</f>
        <v>6154</v>
      </c>
      <c r="E563" s="12" t="str">
        <f aca="false">'РПН 01.08 по МО'!F561</f>
        <v>Сарыагашский район</v>
      </c>
      <c r="F563" s="13" t="n">
        <f aca="false">'РПН 01.08 по МО'!D561</f>
        <v>12626</v>
      </c>
      <c r="G563" s="14" t="n">
        <f aca="false">INDEX('Расчет Кплотн'!$K:$K,MATCH(D563,'Расчет Кплотн'!$A:$A,0))</f>
        <v>1.0393</v>
      </c>
      <c r="H563" s="14" t="n">
        <f aca="false">INDEX('Расчет Кплотн'!$J:$J,MATCH(D563,'Расчет Кплотн'!$A:$A,0))</f>
        <v>1.0872</v>
      </c>
      <c r="I563" s="3" t="n">
        <f aca="false">F563*Моделирование!$F$3*M563*G563/1000</f>
        <v>265515.156109272</v>
      </c>
      <c r="J563" s="3" t="n">
        <f aca="false">F563*Моделирование!$F$3*M563*H563/1000</f>
        <v>277752.408084288</v>
      </c>
      <c r="K563" s="3" t="n">
        <f aca="false">J563-I563</f>
        <v>12237.251975016</v>
      </c>
      <c r="L563" s="4" t="n">
        <f aca="false">IFERROR(K563/I563,0)</f>
        <v>0.0460887135572021</v>
      </c>
      <c r="M563" s="15" t="n">
        <f aca="false">IF(INDEX('Расчет Кплотн'!$D:$D,MATCH(D563,'Расчет Кплотн'!$A:$A,0))="район",IFERROR(VLOOKUP(INDEX('Расчет Кплотн'!$B:$B,MATCH(D563,'Расчет Кплотн'!$A:$A,0)),'БКПН (приказ 170)'!$A$4:$C$10,3,FALSE()),Моделирование!$F$2),Моделирование!$F$2)</f>
        <v>1686.17</v>
      </c>
    </row>
    <row r="564" customFormat="false" ht="15" hidden="false" customHeight="false" outlineLevel="0" collapsed="false">
      <c r="A564" s="12" t="n">
        <v>559</v>
      </c>
      <c r="B564" s="12" t="str">
        <f aca="false">'РПН 01.08 по МО'!B562</f>
        <v>ТУРКЕСТАНСКАЯ</v>
      </c>
      <c r="C564" s="12" t="str">
        <f aca="false">'РПН 01.08 по МО'!C562</f>
        <v>Учреждение "Клинико - диагностический центр Международного казахско-турецкого университета имени Ходжи Ахмета Ясави"</v>
      </c>
      <c r="D564" s="12" t="str">
        <f aca="false">'РПН 01.08 по МО'!E562</f>
        <v>6110</v>
      </c>
      <c r="E564" s="12" t="str">
        <f aca="false">'РПН 01.08 по МО'!F562</f>
        <v>Туркестан</v>
      </c>
      <c r="F564" s="13" t="n">
        <f aca="false">'РПН 01.08 по МО'!D562</f>
        <v>19321</v>
      </c>
      <c r="G564" s="14" t="n">
        <f aca="false">INDEX('Расчет Кплотн'!$K:$K,MATCH(D564,'Расчет Кплотн'!$A:$A,0))</f>
        <v>1</v>
      </c>
      <c r="H564" s="14" t="n">
        <f aca="false">INDEX('Расчет Кплотн'!$J:$J,MATCH(D564,'Расчет Кплотн'!$A:$A,0))</f>
        <v>1</v>
      </c>
      <c r="I564" s="3" t="n">
        <f aca="false">F564*Моделирование!$F$3*M564*G564/1000</f>
        <v>390941.88684</v>
      </c>
      <c r="J564" s="3" t="n">
        <f aca="false">F564*Моделирование!$F$3*M564*H564/1000</f>
        <v>390941.88684</v>
      </c>
      <c r="K564" s="3" t="n">
        <f aca="false">J564-I564</f>
        <v>0</v>
      </c>
      <c r="L564" s="4" t="n">
        <f aca="false">IFERROR(K564/I564,0)</f>
        <v>0</v>
      </c>
      <c r="M564" s="15" t="n">
        <f aca="false">IF(INDEX('Расчет Кплотн'!$D:$D,MATCH(D564,'Расчет Кплотн'!$A:$A,0))="район",IFERROR(VLOOKUP(INDEX('Расчет Кплотн'!$B:$B,MATCH(D564,'Расчет Кплотн'!$A:$A,0)),'БКПН (приказ 170)'!$A$4:$C$10,3,FALSE()),Моделирование!$F$2),Моделирование!$F$2)</f>
        <v>1686.17</v>
      </c>
    </row>
    <row r="565" customFormat="false" ht="15" hidden="false" customHeight="false" outlineLevel="0" collapsed="false">
      <c r="A565" s="12" t="n">
        <v>560</v>
      </c>
      <c r="B565" s="12" t="str">
        <f aca="false">'РПН 01.08 по МО'!B563</f>
        <v>ТУРКЕСТАНСКАЯ</v>
      </c>
      <c r="C565" s="12" t="str">
        <f aca="false">'РПН 01.08 по МО'!C563</f>
        <v>ТОО "Медицинский центр "Ай-фарма"</v>
      </c>
      <c r="D565" s="12" t="str">
        <f aca="false">'РПН 01.08 по МО'!E563</f>
        <v>6140</v>
      </c>
      <c r="E565" s="12" t="str">
        <f aca="false">'РПН 01.08 по МО'!F563</f>
        <v>Казыгуртский район</v>
      </c>
      <c r="F565" s="13" t="n">
        <f aca="false">'РПН 01.08 по МО'!D563</f>
        <v>8546</v>
      </c>
      <c r="G565" s="14" t="n">
        <f aca="false">INDEX('Расчет Кплотн'!$K:$K,MATCH(D565,'Расчет Кплотн'!$A:$A,0))</f>
        <v>1.0723</v>
      </c>
      <c r="H565" s="14" t="n">
        <f aca="false">INDEX('Расчет Кплотн'!$J:$J,MATCH(D565,'Расчет Кплотн'!$A:$A,0))</f>
        <v>1.2148</v>
      </c>
      <c r="I565" s="3" t="n">
        <f aca="false">F565*Моделирование!$F$3*M565*G565/1000</f>
        <v>185422.229492232</v>
      </c>
      <c r="J565" s="3" t="n">
        <f aca="false">F565*Моделирование!$F$3*M565*H565/1000</f>
        <v>210063.344574432</v>
      </c>
      <c r="K565" s="3" t="n">
        <f aca="false">J565-I565</f>
        <v>24641.1150822</v>
      </c>
      <c r="L565" s="4" t="n">
        <f aca="false">IFERROR(K565/I565,0)</f>
        <v>0.132891914576145</v>
      </c>
      <c r="M565" s="15" t="n">
        <f aca="false">IF(INDEX('Расчет Кплотн'!$D:$D,MATCH(D565,'Расчет Кплотн'!$A:$A,0))="район",IFERROR(VLOOKUP(INDEX('Расчет Кплотн'!$B:$B,MATCH(D565,'Расчет Кплотн'!$A:$A,0)),'БКПН (приказ 170)'!$A$4:$C$10,3,FALSE()),Моделирование!$F$2),Моделирование!$F$2)</f>
        <v>1686.17</v>
      </c>
    </row>
    <row r="566" customFormat="false" ht="15" hidden="false" customHeight="false" outlineLevel="0" collapsed="false">
      <c r="A566" s="12" t="n">
        <v>561</v>
      </c>
      <c r="B566" s="12" t="str">
        <f aca="false">'РПН 01.08 по МО'!B564</f>
        <v>ТУРКЕСТАНСКАЯ</v>
      </c>
      <c r="C566" s="12" t="str">
        <f aca="false">'РПН 01.08 по МО'!C564</f>
        <v>Учреждение "Лечебно-оздоровительный центр "Санитас"</v>
      </c>
      <c r="D566" s="12" t="str">
        <f aca="false">'РПН 01.08 по МО'!E564</f>
        <v>6110</v>
      </c>
      <c r="E566" s="12" t="str">
        <f aca="false">'РПН 01.08 по МО'!F564</f>
        <v>Туркестан</v>
      </c>
      <c r="F566" s="13" t="n">
        <f aca="false">'РПН 01.08 по МО'!D564</f>
        <v>15871</v>
      </c>
      <c r="G566" s="14" t="n">
        <f aca="false">INDEX('Расчет Кплотн'!$K:$K,MATCH(D566,'Расчет Кплотн'!$A:$A,0))</f>
        <v>1</v>
      </c>
      <c r="H566" s="14" t="n">
        <f aca="false">INDEX('Расчет Кплотн'!$J:$J,MATCH(D566,'Расчет Кплотн'!$A:$A,0))</f>
        <v>1</v>
      </c>
      <c r="I566" s="3" t="n">
        <f aca="false">F566*Моделирование!$F$3*M566*G566/1000</f>
        <v>321134.44884</v>
      </c>
      <c r="J566" s="3" t="n">
        <f aca="false">F566*Моделирование!$F$3*M566*H566/1000</f>
        <v>321134.44884</v>
      </c>
      <c r="K566" s="3" t="n">
        <f aca="false">J566-I566</f>
        <v>0</v>
      </c>
      <c r="L566" s="4" t="n">
        <f aca="false">IFERROR(K566/I566,0)</f>
        <v>0</v>
      </c>
      <c r="M566" s="15" t="n">
        <f aca="false">IF(INDEX('Расчет Кплотн'!$D:$D,MATCH(D566,'Расчет Кплотн'!$A:$A,0))="район",IFERROR(VLOOKUP(INDEX('Расчет Кплотн'!$B:$B,MATCH(D566,'Расчет Кплотн'!$A:$A,0)),'БКПН (приказ 170)'!$A$4:$C$10,3,FALSE()),Моделирование!$F$2),Моделирование!$F$2)</f>
        <v>1686.17</v>
      </c>
    </row>
    <row r="567" customFormat="false" ht="15" hidden="false" customHeight="false" outlineLevel="0" collapsed="false">
      <c r="A567" s="12" t="n">
        <v>562</v>
      </c>
      <c r="B567" s="12" t="str">
        <f aca="false">'РПН 01.08 по МО'!B565</f>
        <v>ТУРКЕСТАНСКАЯ</v>
      </c>
      <c r="C567" s="12" t="str">
        <f aca="false">'РПН 01.08 по МО'!C565</f>
        <v>ТОО "Spina sanus"</v>
      </c>
      <c r="D567" s="12" t="str">
        <f aca="false">'РПН 01.08 по МО'!E565</f>
        <v>6110</v>
      </c>
      <c r="E567" s="12" t="str">
        <f aca="false">'РПН 01.08 по МО'!F565</f>
        <v>Туркестан</v>
      </c>
      <c r="F567" s="13" t="n">
        <f aca="false">'РПН 01.08 по МО'!D565</f>
        <v>3504</v>
      </c>
      <c r="G567" s="14" t="n">
        <f aca="false">INDEX('Расчет Кплотн'!$K:$K,MATCH(D567,'Расчет Кплотн'!$A:$A,0))</f>
        <v>1</v>
      </c>
      <c r="H567" s="14" t="n">
        <f aca="false">INDEX('Расчет Кплотн'!$J:$J,MATCH(D567,'Расчет Кплотн'!$A:$A,0))</f>
        <v>1</v>
      </c>
      <c r="I567" s="3" t="n">
        <f aca="false">F567*Моделирование!$F$3*M567*G567/1000</f>
        <v>70900.07616</v>
      </c>
      <c r="J567" s="3" t="n">
        <f aca="false">F567*Моделирование!$F$3*M567*H567/1000</f>
        <v>70900.07616</v>
      </c>
      <c r="K567" s="3" t="n">
        <f aca="false">J567-I567</f>
        <v>0</v>
      </c>
      <c r="L567" s="4" t="n">
        <f aca="false">IFERROR(K567/I567,0)</f>
        <v>0</v>
      </c>
      <c r="M567" s="15" t="n">
        <f aca="false">IF(INDEX('Расчет Кплотн'!$D:$D,MATCH(D567,'Расчет Кплотн'!$A:$A,0))="район",IFERROR(VLOOKUP(INDEX('Расчет Кплотн'!$B:$B,MATCH(D567,'Расчет Кплотн'!$A:$A,0)),'БКПН (приказ 170)'!$A$4:$C$10,3,FALSE()),Моделирование!$F$2),Моделирование!$F$2)</f>
        <v>1686.17</v>
      </c>
    </row>
    <row r="568" customFormat="false" ht="15" hidden="false" customHeight="false" outlineLevel="0" collapsed="false">
      <c r="A568" s="12" t="n">
        <v>563</v>
      </c>
      <c r="B568" s="12" t="str">
        <f aca="false">'РПН 01.08 по МО'!B566</f>
        <v>ТУРКЕСТАНСКАЯ</v>
      </c>
      <c r="C568" s="12" t="str">
        <f aca="false">'РПН 01.08 по МО'!C566</f>
        <v>Учреждение "Больница "АКМАРАЛ"</v>
      </c>
      <c r="D568" s="12" t="str">
        <f aca="false">'РПН 01.08 по МО'!E566</f>
        <v>6110</v>
      </c>
      <c r="E568" s="12" t="str">
        <f aca="false">'РПН 01.08 по МО'!F566</f>
        <v>Туркестан</v>
      </c>
      <c r="F568" s="13" t="n">
        <f aca="false">'РПН 01.08 по МО'!D566</f>
        <v>30351</v>
      </c>
      <c r="G568" s="14" t="n">
        <f aca="false">INDEX('Расчет Кплотн'!$K:$K,MATCH(D568,'Расчет Кплотн'!$A:$A,0))</f>
        <v>1</v>
      </c>
      <c r="H568" s="14" t="n">
        <f aca="false">INDEX('Расчет Кплотн'!$J:$J,MATCH(D568,'Расчет Кплотн'!$A:$A,0))</f>
        <v>1</v>
      </c>
      <c r="I568" s="3" t="n">
        <f aca="false">F568*Моделирование!$F$3*M568*G568/1000</f>
        <v>614123.34804</v>
      </c>
      <c r="J568" s="3" t="n">
        <f aca="false">F568*Моделирование!$F$3*M568*H568/1000</f>
        <v>614123.34804</v>
      </c>
      <c r="K568" s="3" t="n">
        <f aca="false">J568-I568</f>
        <v>0</v>
      </c>
      <c r="L568" s="4" t="n">
        <f aca="false">IFERROR(K568/I568,0)</f>
        <v>0</v>
      </c>
      <c r="M568" s="15" t="n">
        <f aca="false">IF(INDEX('Расчет Кплотн'!$D:$D,MATCH(D568,'Расчет Кплотн'!$A:$A,0))="район",IFERROR(VLOOKUP(INDEX('Расчет Кплотн'!$B:$B,MATCH(D568,'Расчет Кплотн'!$A:$A,0)),'БКПН (приказ 170)'!$A$4:$C$10,3,FALSE()),Моделирование!$F$2),Моделирование!$F$2)</f>
        <v>1686.17</v>
      </c>
    </row>
    <row r="569" customFormat="false" ht="15" hidden="false" customHeight="false" outlineLevel="0" collapsed="false">
      <c r="A569" s="12" t="n">
        <v>564</v>
      </c>
      <c r="B569" s="12" t="str">
        <f aca="false">'РПН 01.08 по МО'!B567</f>
        <v>ТУРКЕСТАНСКАЯ</v>
      </c>
      <c r="C569" s="12" t="str">
        <f aca="false">'РПН 01.08 по МО'!C567</f>
        <v>УЕ "Медицинский центр "САПА"</v>
      </c>
      <c r="D569" s="12" t="str">
        <f aca="false">'РПН 01.08 по МО'!E567</f>
        <v>6152</v>
      </c>
      <c r="E569" s="12" t="str">
        <f aca="false">'РПН 01.08 по МО'!F567</f>
        <v>Сайрамский район</v>
      </c>
      <c r="F569" s="13" t="n">
        <f aca="false">'РПН 01.08 по МО'!D567</f>
        <v>7709</v>
      </c>
      <c r="G569" s="14" t="n">
        <f aca="false">INDEX('Расчет Кплотн'!$K:$K,MATCH(D569,'Расчет Кплотн'!$A:$A,0))</f>
        <v>1.0097</v>
      </c>
      <c r="H569" s="14" t="n">
        <f aca="false">INDEX('Расчет Кплотн'!$J:$J,MATCH(D569,'Расчет Кплотн'!$A:$A,0))</f>
        <v>1.0211</v>
      </c>
      <c r="I569" s="3" t="n">
        <f aca="false">F569*Моделирование!$F$3*M569*G569/1000</f>
        <v>157497.261239292</v>
      </c>
      <c r="J569" s="3" t="n">
        <f aca="false">F569*Моделирование!$F$3*M569*H569/1000</f>
        <v>159275.481282996</v>
      </c>
      <c r="K569" s="3" t="n">
        <f aca="false">J569-I569</f>
        <v>1778.22004370397</v>
      </c>
      <c r="L569" s="4" t="n">
        <f aca="false">IFERROR(K569/I569,0)</f>
        <v>0.0112904823214814</v>
      </c>
      <c r="M569" s="15" t="n">
        <f aca="false">IF(INDEX('Расчет Кплотн'!$D:$D,MATCH(D569,'Расчет Кплотн'!$A:$A,0))="район",IFERROR(VLOOKUP(INDEX('Расчет Кплотн'!$B:$B,MATCH(D569,'Расчет Кплотн'!$A:$A,0)),'БКПН (приказ 170)'!$A$4:$C$10,3,FALSE()),Моделирование!$F$2),Моделирование!$F$2)</f>
        <v>1686.17</v>
      </c>
    </row>
    <row r="570" customFormat="false" ht="15" hidden="false" customHeight="false" outlineLevel="0" collapsed="false">
      <c r="A570" s="12" t="n">
        <v>565</v>
      </c>
      <c r="B570" s="12" t="str">
        <f aca="false">'РПН 01.08 по МО'!B568</f>
        <v>ТУРКЕСТАНСКАЯ</v>
      </c>
      <c r="C570" s="12" t="str">
        <f aca="false">'РПН 01.08 по МО'!C568</f>
        <v>ТОО "Ясли-сад "Балбөбек-1"</v>
      </c>
      <c r="D570" s="12" t="str">
        <f aca="false">'РПН 01.08 по МО'!E568</f>
        <v>6160</v>
      </c>
      <c r="E570" s="12" t="str">
        <f aca="false">'РПН 01.08 по МО'!F568</f>
        <v>Тюлькубасский район</v>
      </c>
      <c r="F570" s="13" t="n">
        <f aca="false">'РПН 01.08 по МО'!D568</f>
        <v>10305</v>
      </c>
      <c r="G570" s="14" t="n">
        <f aca="false">INDEX('Расчет Кплотн'!$K:$K,MATCH(D570,'Расчет Кплотн'!$A:$A,0))</f>
        <v>1.0444</v>
      </c>
      <c r="H570" s="14" t="n">
        <f aca="false">INDEX('Расчет Кплотн'!$J:$J,MATCH(D570,'Расчет Кплотн'!$A:$A,0))</f>
        <v>1.1243</v>
      </c>
      <c r="I570" s="3" t="n">
        <f aca="false">F570*Моделирование!$F$3*M570*G570/1000</f>
        <v>217769.70532968</v>
      </c>
      <c r="J570" s="3" t="n">
        <f aca="false">F570*Моделирование!$F$3*M570*H570/1000</f>
        <v>234429.79672746</v>
      </c>
      <c r="K570" s="3" t="n">
        <f aca="false">J570-I570</f>
        <v>16660.09139778</v>
      </c>
      <c r="L570" s="4" t="n">
        <f aca="false">IFERROR(K570/I570,0)</f>
        <v>0.076503255457679</v>
      </c>
      <c r="M570" s="15" t="n">
        <f aca="false">IF(INDEX('Расчет Кплотн'!$D:$D,MATCH(D570,'Расчет Кплотн'!$A:$A,0))="район",IFERROR(VLOOKUP(INDEX('Расчет Кплотн'!$B:$B,MATCH(D570,'Расчет Кплотн'!$A:$A,0)),'БКПН (приказ 170)'!$A$4:$C$10,3,FALSE()),Моделирование!$F$2),Моделирование!$F$2)</f>
        <v>1686.17</v>
      </c>
    </row>
    <row r="571" customFormat="false" ht="15" hidden="false" customHeight="false" outlineLevel="0" collapsed="false">
      <c r="A571" s="12" t="n">
        <v>566</v>
      </c>
      <c r="B571" s="12" t="str">
        <f aca="false">'РПН 01.08 по МО'!B569</f>
        <v>ТУРКЕСТАНСКАЯ</v>
      </c>
      <c r="C571" s="12" t="str">
        <f aca="false">'РПН 01.08 по МО'!C569</f>
        <v>ТОО "Центр реабилитации"</v>
      </c>
      <c r="D571" s="12" t="str">
        <f aca="false">'РПН 01.08 по МО'!E569</f>
        <v>6146</v>
      </c>
      <c r="E571" s="12" t="str">
        <f aca="false">'РПН 01.08 по МО'!F569</f>
        <v>Ордабасынский район</v>
      </c>
      <c r="F571" s="13" t="n">
        <f aca="false">'РПН 01.08 по МО'!D569</f>
        <v>9898</v>
      </c>
      <c r="G571" s="14" t="n">
        <f aca="false">INDEX('Расчет Кплотн'!$K:$K,MATCH(D571,'Расчет Кплотн'!$A:$A,0))</f>
        <v>1.0433</v>
      </c>
      <c r="H571" s="14" t="n">
        <f aca="false">INDEX('Расчет Кплотн'!$J:$J,MATCH(D571,'Расчет Кплотн'!$A:$A,0))</f>
        <v>1.0956</v>
      </c>
      <c r="I571" s="3" t="n">
        <f aca="false">F571*Моделирование!$F$3*M571*G571/1000</f>
        <v>208948.501578936</v>
      </c>
      <c r="J571" s="3" t="n">
        <f aca="false">F571*Моделирование!$F$3*M571*H571/1000</f>
        <v>219422.963989152</v>
      </c>
      <c r="K571" s="3" t="n">
        <f aca="false">J571-I571</f>
        <v>10474.462410216</v>
      </c>
      <c r="L571" s="4" t="n">
        <f aca="false">IFERROR(K571/I571,0)</f>
        <v>0.0501293971053389</v>
      </c>
      <c r="M571" s="15" t="n">
        <f aca="false">IF(INDEX('Расчет Кплотн'!$D:$D,MATCH(D571,'Расчет Кплотн'!$A:$A,0))="район",IFERROR(VLOOKUP(INDEX('Расчет Кплотн'!$B:$B,MATCH(D571,'Расчет Кплотн'!$A:$A,0)),'БКПН (приказ 170)'!$A$4:$C$10,3,FALSE()),Моделирование!$F$2),Моделирование!$F$2)</f>
        <v>1686.17</v>
      </c>
    </row>
    <row r="572" customFormat="false" ht="15" hidden="false" customHeight="false" outlineLevel="0" collapsed="false">
      <c r="A572" s="12" t="n">
        <v>567</v>
      </c>
      <c r="B572" s="12" t="str">
        <f aca="false">'РПН 01.08 по МО'!B570</f>
        <v>ТУРКЕСТАНСКАЯ</v>
      </c>
      <c r="C572" s="12" t="str">
        <f aca="false">'РПН 01.08 по МО'!C570</f>
        <v>ТОО "Сельская врачебная амбулатория "Коксу"</v>
      </c>
      <c r="D572" s="12" t="str">
        <f aca="false">'РПН 01.08 по МО'!E570</f>
        <v>6164</v>
      </c>
      <c r="E572" s="12" t="str">
        <f aca="false">'РПН 01.08 по МО'!F570</f>
        <v>Шардаринский район</v>
      </c>
      <c r="F572" s="13" t="n">
        <f aca="false">'РПН 01.08 по МО'!D570</f>
        <v>1791</v>
      </c>
      <c r="G572" s="14" t="n">
        <f aca="false">INDEX('Расчет Кплотн'!$K:$K,MATCH(D572,'Расчет Кплотн'!$A:$A,0))</f>
        <v>1.3141</v>
      </c>
      <c r="H572" s="14" t="n">
        <f aca="false">INDEX('Расчет Кплотн'!$J:$J,MATCH(D572,'Расчет Кплотн'!$A:$A,0))</f>
        <v>1.9531</v>
      </c>
      <c r="I572" s="3" t="n">
        <f aca="false">F572*Моделирование!$F$3*M572*G572/1000</f>
        <v>47621.887567524</v>
      </c>
      <c r="J572" s="3" t="n">
        <f aca="false">F572*Моделирование!$F$3*M572*H572/1000</f>
        <v>70778.714411484</v>
      </c>
      <c r="K572" s="3" t="n">
        <f aca="false">J572-I572</f>
        <v>23156.82684396</v>
      </c>
      <c r="L572" s="4" t="n">
        <f aca="false">IFERROR(K572/I572,0)</f>
        <v>0.486264363442661</v>
      </c>
      <c r="M572" s="15" t="n">
        <f aca="false">IF(INDEX('Расчет Кплотн'!$D:$D,MATCH(D572,'Расчет Кплотн'!$A:$A,0))="район",IFERROR(VLOOKUP(INDEX('Расчет Кплотн'!$B:$B,MATCH(D572,'Расчет Кплотн'!$A:$A,0)),'БКПН (приказ 170)'!$A$4:$C$10,3,FALSE()),Моделирование!$F$2),Моделирование!$F$2)</f>
        <v>1686.17</v>
      </c>
    </row>
    <row r="573" customFormat="false" ht="15" hidden="false" customHeight="false" outlineLevel="0" collapsed="false">
      <c r="A573" s="12" t="n">
        <v>568</v>
      </c>
      <c r="B573" s="12" t="str">
        <f aca="false">'РПН 01.08 по МО'!B571</f>
        <v>ТУРКЕСТАНСКАЯ</v>
      </c>
      <c r="C573" s="12" t="str">
        <f aca="false">'РПН 01.08 по МО'!C571</f>
        <v>ТОО "Салауат Медикал"</v>
      </c>
      <c r="D573" s="12" t="str">
        <f aca="false">'РПН 01.08 по МО'!E571</f>
        <v>6146</v>
      </c>
      <c r="E573" s="12" t="str">
        <f aca="false">'РПН 01.08 по МО'!F571</f>
        <v>Ордабасынский район</v>
      </c>
      <c r="F573" s="13" t="n">
        <f aca="false">'РПН 01.08 по МО'!D571</f>
        <v>3012</v>
      </c>
      <c r="G573" s="14" t="n">
        <f aca="false">INDEX('Расчет Кплотн'!$K:$K,MATCH(D573,'Расчет Кплотн'!$A:$A,0))</f>
        <v>1.0433</v>
      </c>
      <c r="H573" s="14" t="n">
        <f aca="false">INDEX('Расчет Кплотн'!$J:$J,MATCH(D573,'Расчет Кплотн'!$A:$A,0))</f>
        <v>1.0956</v>
      </c>
      <c r="I573" s="3" t="n">
        <f aca="false">F573*Моделирование!$F$3*M573*G573/1000</f>
        <v>63583.843883184</v>
      </c>
      <c r="J573" s="3" t="n">
        <f aca="false">F573*Моделирование!$F$3*M573*H573/1000</f>
        <v>66771.263642688</v>
      </c>
      <c r="K573" s="3" t="n">
        <f aca="false">J573-I573</f>
        <v>3187.419759504</v>
      </c>
      <c r="L573" s="4" t="n">
        <f aca="false">IFERROR(K573/I573,0)</f>
        <v>0.0501293971053389</v>
      </c>
      <c r="M573" s="15" t="n">
        <f aca="false">IF(INDEX('Расчет Кплотн'!$D:$D,MATCH(D573,'Расчет Кплотн'!$A:$A,0))="район",IFERROR(VLOOKUP(INDEX('Расчет Кплотн'!$B:$B,MATCH(D573,'Расчет Кплотн'!$A:$A,0)),'БКПН (приказ 170)'!$A$4:$C$10,3,FALSE()),Моделирование!$F$2),Моделирование!$F$2)</f>
        <v>1686.17</v>
      </c>
    </row>
    <row r="574" customFormat="false" ht="15" hidden="false" customHeight="false" outlineLevel="0" collapsed="false">
      <c r="A574" s="12" t="n">
        <v>569</v>
      </c>
      <c r="B574" s="12" t="str">
        <f aca="false">'РПН 01.08 по МО'!B572</f>
        <v>ТУРКЕСТАНСКАЯ</v>
      </c>
      <c r="C574" s="12" t="str">
        <f aca="false">'РПН 01.08 по МО'!C572</f>
        <v>ТОО "РОЗАКУЛ АТА"</v>
      </c>
      <c r="D574" s="12" t="str">
        <f aca="false">'РПН 01.08 по МО'!E572</f>
        <v>6152</v>
      </c>
      <c r="E574" s="12" t="str">
        <f aca="false">'РПН 01.08 по МО'!F572</f>
        <v>Сайрамский район</v>
      </c>
      <c r="F574" s="13" t="n">
        <f aca="false">'РПН 01.08 по МО'!D572</f>
        <v>2233</v>
      </c>
      <c r="G574" s="14" t="n">
        <f aca="false">INDEX('Расчет Кплотн'!$K:$K,MATCH(D574,'Расчет Кплотн'!$A:$A,0))</f>
        <v>1.0097</v>
      </c>
      <c r="H574" s="14" t="n">
        <f aca="false">INDEX('Расчет Кплотн'!$J:$J,MATCH(D574,'Расчет Кплотн'!$A:$A,0))</f>
        <v>1.0211</v>
      </c>
      <c r="I574" s="3" t="n">
        <f aca="false">F574*Моделирование!$F$3*M574*G574/1000</f>
        <v>45620.882649804</v>
      </c>
      <c r="J574" s="3" t="n">
        <f aca="false">F574*Моделирование!$F$3*M574*H574/1000</f>
        <v>46135.964418852</v>
      </c>
      <c r="K574" s="3" t="n">
        <f aca="false">J574-I574</f>
        <v>515.081769047989</v>
      </c>
      <c r="L574" s="4" t="n">
        <f aca="false">IFERROR(K574/I574,0)</f>
        <v>0.0112904823214814</v>
      </c>
      <c r="M574" s="15" t="n">
        <f aca="false">IF(INDEX('Расчет Кплотн'!$D:$D,MATCH(D574,'Расчет Кплотн'!$A:$A,0))="район",IFERROR(VLOOKUP(INDEX('Расчет Кплотн'!$B:$B,MATCH(D574,'Расчет Кплотн'!$A:$A,0)),'БКПН (приказ 170)'!$A$4:$C$10,3,FALSE()),Моделирование!$F$2),Моделирование!$F$2)</f>
        <v>1686.17</v>
      </c>
    </row>
    <row r="575" customFormat="false" ht="15" hidden="false" customHeight="false" outlineLevel="0" collapsed="false">
      <c r="A575" s="12" t="n">
        <v>570</v>
      </c>
      <c r="B575" s="12" t="str">
        <f aca="false">'РПН 01.08 по МО'!B573</f>
        <v>ТУРКЕСТАНСКАЯ</v>
      </c>
      <c r="C575" s="12" t="str">
        <f aca="false">'РПН 01.08 по МО'!C573</f>
        <v>ТОО "Өркен"</v>
      </c>
      <c r="D575" s="12" t="str">
        <f aca="false">'РПН 01.08 по МО'!E573</f>
        <v>6120</v>
      </c>
      <c r="E575" s="12" t="str">
        <f aca="false">'РПН 01.08 по МО'!F573</f>
        <v>Кентау</v>
      </c>
      <c r="F575" s="13" t="n">
        <f aca="false">'РПН 01.08 по МО'!D573</f>
        <v>10004</v>
      </c>
      <c r="G575" s="14" t="n">
        <f aca="false">INDEX('Расчет Кплотн'!$K:$K,MATCH(D575,'Расчет Кплотн'!$A:$A,0))</f>
        <v>1.5</v>
      </c>
      <c r="H575" s="14" t="n">
        <f aca="false">INDEX('Расчет Кплотн'!$J:$J,MATCH(D575,'Расчет Кплотн'!$A:$A,0))</f>
        <v>1.5</v>
      </c>
      <c r="I575" s="3" t="n">
        <f aca="false">F575*Моделирование!$F$3*M575*G575/1000</f>
        <v>303632.00424</v>
      </c>
      <c r="J575" s="3" t="n">
        <f aca="false">F575*Моделирование!$F$3*M575*H575/1000</f>
        <v>303632.00424</v>
      </c>
      <c r="K575" s="3" t="n">
        <f aca="false">J575-I575</f>
        <v>0</v>
      </c>
      <c r="L575" s="4" t="n">
        <f aca="false">IFERROR(K575/I575,0)</f>
        <v>0</v>
      </c>
      <c r="M575" s="15" t="n">
        <f aca="false">IF(INDEX('Расчет Кплотн'!$D:$D,MATCH(D575,'Расчет Кплотн'!$A:$A,0))="район",IFERROR(VLOOKUP(INDEX('Расчет Кплотн'!$B:$B,MATCH(D575,'Расчет Кплотн'!$A:$A,0)),'БКПН (приказ 170)'!$A$4:$C$10,3,FALSE()),Моделирование!$F$2),Моделирование!$F$2)</f>
        <v>1686.17</v>
      </c>
    </row>
    <row r="576" customFormat="false" ht="15" hidden="false" customHeight="false" outlineLevel="0" collapsed="false">
      <c r="A576" s="12" t="n">
        <v>571</v>
      </c>
      <c r="B576" s="12" t="str">
        <f aca="false">'РПН 01.08 по МО'!B574</f>
        <v>ТУРКЕСТАНСКАЯ</v>
      </c>
      <c r="C576" s="12" t="str">
        <f aca="false">'РПН 01.08 по МО'!C574</f>
        <v>ТОО "Омедин"</v>
      </c>
      <c r="D576" s="12" t="str">
        <f aca="false">'РПН 01.08 по МО'!E574</f>
        <v>6140</v>
      </c>
      <c r="E576" s="12" t="str">
        <f aca="false">'РПН 01.08 по МО'!F574</f>
        <v>Казыгуртский район</v>
      </c>
      <c r="F576" s="13" t="n">
        <f aca="false">'РПН 01.08 по МО'!D574</f>
        <v>8635</v>
      </c>
      <c r="G576" s="14" t="n">
        <f aca="false">INDEX('Расчет Кплотн'!$K:$K,MATCH(D576,'Расчет Кплотн'!$A:$A,0))</f>
        <v>1.0723</v>
      </c>
      <c r="H576" s="14" t="n">
        <f aca="false">INDEX('Расчет Кплотн'!$J:$J,MATCH(D576,'Расчет Кплотн'!$A:$A,0))</f>
        <v>1.2148</v>
      </c>
      <c r="I576" s="3" t="n">
        <f aca="false">F576*Моделирование!$F$3*M576*G576/1000</f>
        <v>187353.25902942</v>
      </c>
      <c r="J576" s="3" t="n">
        <f aca="false">F576*Моделирование!$F$3*M576*H576/1000</f>
        <v>212250.99232392</v>
      </c>
      <c r="K576" s="3" t="n">
        <f aca="false">J576-I576</f>
        <v>24897.7332945</v>
      </c>
      <c r="L576" s="4" t="n">
        <f aca="false">IFERROR(K576/I576,0)</f>
        <v>0.132891914576145</v>
      </c>
      <c r="M576" s="15" t="n">
        <f aca="false">IF(INDEX('Расчет Кплотн'!$D:$D,MATCH(D576,'Расчет Кплотн'!$A:$A,0))="район",IFERROR(VLOOKUP(INDEX('Расчет Кплотн'!$B:$B,MATCH(D576,'Расчет Кплотн'!$A:$A,0)),'БКПН (приказ 170)'!$A$4:$C$10,3,FALSE()),Моделирование!$F$2),Моделирование!$F$2)</f>
        <v>1686.17</v>
      </c>
    </row>
    <row r="577" customFormat="false" ht="15" hidden="false" customHeight="false" outlineLevel="0" collapsed="false">
      <c r="A577" s="12" t="n">
        <v>572</v>
      </c>
      <c r="B577" s="12" t="str">
        <f aca="false">'РПН 01.08 по МО'!B575</f>
        <v>ТУРКЕСТАНСКАЯ</v>
      </c>
      <c r="C577" s="12" t="str">
        <f aca="false">'РПН 01.08 по МО'!C575</f>
        <v>ТОО "Нұрлы-Мед"</v>
      </c>
      <c r="D577" s="12" t="str">
        <f aca="false">'РПН 01.08 по МО'!E575</f>
        <v>6152</v>
      </c>
      <c r="E577" s="12" t="str">
        <f aca="false">'РПН 01.08 по МО'!F575</f>
        <v>Сайрамский район</v>
      </c>
      <c r="F577" s="13" t="n">
        <f aca="false">'РПН 01.08 по МО'!D575</f>
        <v>9280</v>
      </c>
      <c r="G577" s="14" t="n">
        <f aca="false">INDEX('Расчет Кплотн'!$K:$K,MATCH(D577,'Расчет Кплотн'!$A:$A,0))</f>
        <v>1.0097</v>
      </c>
      <c r="H577" s="14" t="n">
        <f aca="false">INDEX('Расчет Кплотн'!$J:$J,MATCH(D577,'Расчет Кплотн'!$A:$A,0))</f>
        <v>1.0211</v>
      </c>
      <c r="I577" s="3" t="n">
        <f aca="false">F577*Моделирование!$F$3*M577*G577/1000</f>
        <v>189593.27854464</v>
      </c>
      <c r="J577" s="3" t="n">
        <f aca="false">F577*Моделирование!$F$3*M577*H577/1000</f>
        <v>191733.87810432</v>
      </c>
      <c r="K577" s="3" t="n">
        <f aca="false">J577-I577</f>
        <v>2140.59955967998</v>
      </c>
      <c r="L577" s="4" t="n">
        <f aca="false">IFERROR(K577/I577,0)</f>
        <v>0.0112904823214815</v>
      </c>
      <c r="M577" s="15" t="n">
        <f aca="false">IF(INDEX('Расчет Кплотн'!$D:$D,MATCH(D577,'Расчет Кплотн'!$A:$A,0))="район",IFERROR(VLOOKUP(INDEX('Расчет Кплотн'!$B:$B,MATCH(D577,'Расчет Кплотн'!$A:$A,0)),'БКПН (приказ 170)'!$A$4:$C$10,3,FALSE()),Моделирование!$F$2),Моделирование!$F$2)</f>
        <v>1686.17</v>
      </c>
    </row>
    <row r="578" customFormat="false" ht="15" hidden="false" customHeight="false" outlineLevel="0" collapsed="false">
      <c r="A578" s="12" t="n">
        <v>573</v>
      </c>
      <c r="B578" s="12" t="str">
        <f aca="false">'РПН 01.08 по МО'!B576</f>
        <v>ТУРКЕСТАНСКАЯ</v>
      </c>
      <c r="C578" s="12" t="str">
        <f aca="false">'РПН 01.08 по МО'!C576</f>
        <v>ТОО "МЦ Рауан"</v>
      </c>
      <c r="D578" s="12" t="str">
        <f aca="false">'РПН 01.08 по МО'!E576</f>
        <v>6110</v>
      </c>
      <c r="E578" s="12" t="str">
        <f aca="false">'РПН 01.08 по МО'!F576</f>
        <v>Туркестан</v>
      </c>
      <c r="F578" s="13" t="n">
        <f aca="false">'РПН 01.08 по МО'!D576</f>
        <v>17084</v>
      </c>
      <c r="G578" s="14" t="n">
        <f aca="false">INDEX('Расчет Кплотн'!$K:$K,MATCH(D578,'Расчет Кплотн'!$A:$A,0))</f>
        <v>1</v>
      </c>
      <c r="H578" s="14" t="n">
        <f aca="false">INDEX('Расчет Кплотн'!$J:$J,MATCH(D578,'Расчет Кплотн'!$A:$A,0))</f>
        <v>1</v>
      </c>
      <c r="I578" s="3" t="n">
        <f aca="false">F578*Моделирование!$F$3*M578*G578/1000</f>
        <v>345678.33936</v>
      </c>
      <c r="J578" s="3" t="n">
        <f aca="false">F578*Моделирование!$F$3*M578*H578/1000</f>
        <v>345678.33936</v>
      </c>
      <c r="K578" s="3" t="n">
        <f aca="false">J578-I578</f>
        <v>0</v>
      </c>
      <c r="L578" s="4" t="n">
        <f aca="false">IFERROR(K578/I578,0)</f>
        <v>0</v>
      </c>
      <c r="M578" s="15" t="n">
        <f aca="false">IF(INDEX('Расчет Кплотн'!$D:$D,MATCH(D578,'Расчет Кплотн'!$A:$A,0))="район",IFERROR(VLOOKUP(INDEX('Расчет Кплотн'!$B:$B,MATCH(D578,'Расчет Кплотн'!$A:$A,0)),'БКПН (приказ 170)'!$A$4:$C$10,3,FALSE()),Моделирование!$F$2),Моделирование!$F$2)</f>
        <v>1686.17</v>
      </c>
    </row>
    <row r="579" customFormat="false" ht="15" hidden="false" customHeight="false" outlineLevel="0" collapsed="false">
      <c r="A579" s="12" t="n">
        <v>574</v>
      </c>
      <c r="B579" s="12" t="str">
        <f aca="false">'РПН 01.08 по МО'!B577</f>
        <v>ТУРКЕСТАНСКАЯ</v>
      </c>
      <c r="C579" s="12" t="str">
        <f aca="false">'РПН 01.08 по МО'!C577</f>
        <v>ТОО "Медцентр-Кентау"</v>
      </c>
      <c r="D579" s="12" t="str">
        <f aca="false">'РПН 01.08 по МО'!E577</f>
        <v>6120</v>
      </c>
      <c r="E579" s="12" t="str">
        <f aca="false">'РПН 01.08 по МО'!F577</f>
        <v>Кентау</v>
      </c>
      <c r="F579" s="13" t="n">
        <f aca="false">'РПН 01.08 по МО'!D577</f>
        <v>10203</v>
      </c>
      <c r="G579" s="14" t="n">
        <f aca="false">INDEX('Расчет Кплотн'!$K:$K,MATCH(D579,'Расчет Кплотн'!$A:$A,0))</f>
        <v>1.5</v>
      </c>
      <c r="H579" s="14" t="n">
        <f aca="false">INDEX('Расчет Кплотн'!$J:$J,MATCH(D579,'Расчет Кплотн'!$A:$A,0))</f>
        <v>1.5</v>
      </c>
      <c r="I579" s="3" t="n">
        <f aca="false">F579*Моделирование!$F$3*M579*G579/1000</f>
        <v>309671.86518</v>
      </c>
      <c r="J579" s="3" t="n">
        <f aca="false">F579*Моделирование!$F$3*M579*H579/1000</f>
        <v>309671.86518</v>
      </c>
      <c r="K579" s="3" t="n">
        <f aca="false">J579-I579</f>
        <v>0</v>
      </c>
      <c r="L579" s="4" t="n">
        <f aca="false">IFERROR(K579/I579,0)</f>
        <v>0</v>
      </c>
      <c r="M579" s="15" t="n">
        <f aca="false">IF(INDEX('Расчет Кплотн'!$D:$D,MATCH(D579,'Расчет Кплотн'!$A:$A,0))="район",IFERROR(VLOOKUP(INDEX('Расчет Кплотн'!$B:$B,MATCH(D579,'Расчет Кплотн'!$A:$A,0)),'БКПН (приказ 170)'!$A$4:$C$10,3,FALSE()),Моделирование!$F$2),Моделирование!$F$2)</f>
        <v>1686.17</v>
      </c>
    </row>
    <row r="580" customFormat="false" ht="15" hidden="false" customHeight="false" outlineLevel="0" collapsed="false">
      <c r="A580" s="12" t="n">
        <v>575</v>
      </c>
      <c r="B580" s="12" t="str">
        <f aca="false">'РПН 01.08 по МО'!B578</f>
        <v>ТУРКЕСТАНСКАЯ</v>
      </c>
      <c r="C580" s="12" t="str">
        <f aca="false">'РПН 01.08 по МО'!C578</f>
        <v>ТОО "МЕДИЦИНСКИЙ ЦЕНТР МАНКЕНТ"</v>
      </c>
      <c r="D580" s="12" t="str">
        <f aca="false">'РПН 01.08 по МО'!E578</f>
        <v>6152</v>
      </c>
      <c r="E580" s="12" t="str">
        <f aca="false">'РПН 01.08 по МО'!F578</f>
        <v>Сайрамский район</v>
      </c>
      <c r="F580" s="13" t="n">
        <f aca="false">'РПН 01.08 по МО'!D578</f>
        <v>10272</v>
      </c>
      <c r="G580" s="14" t="n">
        <f aca="false">INDEX('Расчет Кплотн'!$K:$K,MATCH(D580,'Расчет Кплотн'!$A:$A,0))</f>
        <v>1.0097</v>
      </c>
      <c r="H580" s="14" t="n">
        <f aca="false">INDEX('Расчет Кплотн'!$J:$J,MATCH(D580,'Расчет Кплотн'!$A:$A,0))</f>
        <v>1.0211</v>
      </c>
      <c r="I580" s="3" t="n">
        <f aca="false">F580*Моделирование!$F$3*M580*G580/1000</f>
        <v>209860.146251136</v>
      </c>
      <c r="J580" s="3" t="n">
        <f aca="false">F580*Моделирование!$F$3*M580*H580/1000</f>
        <v>212229.568522368</v>
      </c>
      <c r="K580" s="3" t="n">
        <f aca="false">J580-I580</f>
        <v>2369.42227123198</v>
      </c>
      <c r="L580" s="4" t="n">
        <f aca="false">IFERROR(K580/I580,0)</f>
        <v>0.0112904823214815</v>
      </c>
      <c r="M580" s="15" t="n">
        <f aca="false">IF(INDEX('Расчет Кплотн'!$D:$D,MATCH(D580,'Расчет Кплотн'!$A:$A,0))="район",IFERROR(VLOOKUP(INDEX('Расчет Кплотн'!$B:$B,MATCH(D580,'Расчет Кплотн'!$A:$A,0)),'БКПН (приказ 170)'!$A$4:$C$10,3,FALSE()),Моделирование!$F$2),Моделирование!$F$2)</f>
        <v>1686.17</v>
      </c>
    </row>
    <row r="581" customFormat="false" ht="15" hidden="false" customHeight="false" outlineLevel="0" collapsed="false">
      <c r="A581" s="12" t="n">
        <v>576</v>
      </c>
      <c r="B581" s="12" t="str">
        <f aca="false">'РПН 01.08 по МО'!B579</f>
        <v>ТУРКЕСТАНСКАЯ</v>
      </c>
      <c r="C581" s="12" t="str">
        <f aca="false">'РПН 01.08 по МО'!C579</f>
        <v>ТОО "Мед центр AKSU"</v>
      </c>
      <c r="D581" s="12" t="str">
        <f aca="false">'РПН 01.08 по МО'!E579</f>
        <v>6152</v>
      </c>
      <c r="E581" s="12" t="str">
        <f aca="false">'РПН 01.08 по МО'!F579</f>
        <v>Сайрамский район</v>
      </c>
      <c r="F581" s="13" t="n">
        <f aca="false">'РПН 01.08 по МО'!D579</f>
        <v>4072</v>
      </c>
      <c r="G581" s="14" t="n">
        <f aca="false">INDEX('Расчет Кплотн'!$K:$K,MATCH(D581,'Расчет Кплотн'!$A:$A,0))</f>
        <v>1.0097</v>
      </c>
      <c r="H581" s="14" t="n">
        <f aca="false">INDEX('Расчет Кплотн'!$J:$J,MATCH(D581,'Расчет Кплотн'!$A:$A,0))</f>
        <v>1.0211</v>
      </c>
      <c r="I581" s="3" t="n">
        <f aca="false">F581*Моделирование!$F$3*M581*G581/1000</f>
        <v>83192.223085536</v>
      </c>
      <c r="J581" s="3" t="n">
        <f aca="false">F581*Моделирование!$F$3*M581*H581/1000</f>
        <v>84131.503409568</v>
      </c>
      <c r="K581" s="3" t="n">
        <f aca="false">J581-I581</f>
        <v>939.280324031977</v>
      </c>
      <c r="L581" s="4" t="n">
        <f aca="false">IFERROR(K581/I581,0)</f>
        <v>0.0112904823214814</v>
      </c>
      <c r="M581" s="15" t="n">
        <f aca="false">IF(INDEX('Расчет Кплотн'!$D:$D,MATCH(D581,'Расчет Кплотн'!$A:$A,0))="район",IFERROR(VLOOKUP(INDEX('Расчет Кплотн'!$B:$B,MATCH(D581,'Расчет Кплотн'!$A:$A,0)),'БКПН (приказ 170)'!$A$4:$C$10,3,FALSE()),Моделирование!$F$2),Моделирование!$F$2)</f>
        <v>1686.17</v>
      </c>
    </row>
    <row r="582" customFormat="false" ht="15" hidden="false" customHeight="false" outlineLevel="0" collapsed="false">
      <c r="A582" s="12" t="n">
        <v>577</v>
      </c>
      <c r="B582" s="12" t="str">
        <f aca="false">'РПН 01.08 по МО'!B580</f>
        <v>ТУРКЕСТАНСКАЯ</v>
      </c>
      <c r="C582" s="12" t="str">
        <f aca="false">'РПН 01.08 по МО'!C580</f>
        <v>ТОО "ROLLAN MED"</v>
      </c>
      <c r="D582" s="12" t="str">
        <f aca="false">'РПН 01.08 по МО'!E580</f>
        <v>6146</v>
      </c>
      <c r="E582" s="12" t="str">
        <f aca="false">'РПН 01.08 по МО'!F580</f>
        <v>Ордабасынский район</v>
      </c>
      <c r="F582" s="13" t="n">
        <f aca="false">'РПН 01.08 по МО'!D580</f>
        <v>18188</v>
      </c>
      <c r="G582" s="14" t="n">
        <f aca="false">INDEX('Расчет Кплотн'!$K:$K,MATCH(D582,'Расчет Кплотн'!$A:$A,0))</f>
        <v>1.0433</v>
      </c>
      <c r="H582" s="14" t="n">
        <f aca="false">INDEX('Расчет Кплотн'!$J:$J,MATCH(D582,'Расчет Кплотн'!$A:$A,0))</f>
        <v>1.0956</v>
      </c>
      <c r="I582" s="3" t="n">
        <f aca="false">F582*Моделирование!$F$3*M582*G582/1000</f>
        <v>383951.843475216</v>
      </c>
      <c r="J582" s="3" t="n">
        <f aca="false">F582*Моделирование!$F$3*M582*H582/1000</f>
        <v>403199.117906112</v>
      </c>
      <c r="K582" s="3" t="n">
        <f aca="false">J582-I582</f>
        <v>19247.274430896</v>
      </c>
      <c r="L582" s="4" t="n">
        <f aca="false">IFERROR(K582/I582,0)</f>
        <v>0.0501293971053388</v>
      </c>
      <c r="M582" s="15" t="n">
        <f aca="false">IF(INDEX('Расчет Кплотн'!$D:$D,MATCH(D582,'Расчет Кплотн'!$A:$A,0))="район",IFERROR(VLOOKUP(INDEX('Расчет Кплотн'!$B:$B,MATCH(D582,'Расчет Кплотн'!$A:$A,0)),'БКПН (приказ 170)'!$A$4:$C$10,3,FALSE()),Моделирование!$F$2),Моделирование!$F$2)</f>
        <v>1686.17</v>
      </c>
    </row>
    <row r="583" customFormat="false" ht="15" hidden="false" customHeight="false" outlineLevel="0" collapsed="false">
      <c r="A583" s="12" t="n">
        <v>578</v>
      </c>
      <c r="B583" s="12" t="str">
        <f aca="false">'РПН 01.08 по МО'!B581</f>
        <v>ТУРКЕСТАНСКАЯ</v>
      </c>
      <c r="C583" s="12" t="str">
        <f aca="false">'РПН 01.08 по МО'!C581</f>
        <v>ТОО "Медицинский центр "Яссин"</v>
      </c>
      <c r="D583" s="12" t="str">
        <f aca="false">'РПН 01.08 по МО'!E581</f>
        <v>6158</v>
      </c>
      <c r="E583" s="12" t="str">
        <f aca="false">'РПН 01.08 по МО'!F581</f>
        <v>Толебийский район</v>
      </c>
      <c r="F583" s="13" t="n">
        <f aca="false">'РПН 01.08 по МО'!D581</f>
        <v>11880</v>
      </c>
      <c r="G583" s="14" t="n">
        <f aca="false">INDEX('Расчет Кплотн'!$K:$K,MATCH(D583,'Расчет Кплотн'!$A:$A,0))</f>
        <v>1.0509</v>
      </c>
      <c r="H583" s="14" t="n">
        <f aca="false">INDEX('Расчет Кплотн'!$J:$J,MATCH(D583,'Расчет Кплотн'!$A:$A,0))</f>
        <v>1.1352</v>
      </c>
      <c r="I583" s="3" t="n">
        <f aca="false">F583*Моделирование!$F$3*M583*G583/1000</f>
        <v>252615.75731568</v>
      </c>
      <c r="J583" s="3" t="n">
        <f aca="false">F583*Моделирование!$F$3*M583*H583/1000</f>
        <v>272879.82463104</v>
      </c>
      <c r="K583" s="3" t="n">
        <f aca="false">J583-I583</f>
        <v>20264.06731536</v>
      </c>
      <c r="L583" s="4" t="n">
        <f aca="false">IFERROR(K583/I583,0)</f>
        <v>0.0802169568940909</v>
      </c>
      <c r="M583" s="15" t="n">
        <f aca="false">IF(INDEX('Расчет Кплотн'!$D:$D,MATCH(D583,'Расчет Кплотн'!$A:$A,0))="район",IFERROR(VLOOKUP(INDEX('Расчет Кплотн'!$B:$B,MATCH(D583,'Расчет Кплотн'!$A:$A,0)),'БКПН (приказ 170)'!$A$4:$C$10,3,FALSE()),Моделирование!$F$2),Моделирование!$F$2)</f>
        <v>1686.17</v>
      </c>
    </row>
    <row r="584" customFormat="false" ht="15" hidden="false" customHeight="false" outlineLevel="0" collapsed="false">
      <c r="A584" s="12" t="n">
        <v>579</v>
      </c>
      <c r="B584" s="12" t="str">
        <f aca="false">'РПН 01.08 по МО'!B582</f>
        <v>ТУРКЕСТАНСКАЯ</v>
      </c>
      <c r="C584" s="12" t="str">
        <f aca="false">'РПН 01.08 по МО'!C582</f>
        <v>ТОО "MEDICAL PARK-E"</v>
      </c>
      <c r="D584" s="12" t="str">
        <f aca="false">'РПН 01.08 по МО'!E582</f>
        <v>6152</v>
      </c>
      <c r="E584" s="12" t="str">
        <f aca="false">'РПН 01.08 по МО'!F582</f>
        <v>Сайрамский район</v>
      </c>
      <c r="F584" s="13" t="n">
        <f aca="false">'РПН 01.08 по МО'!D582</f>
        <v>4458</v>
      </c>
      <c r="G584" s="14" t="n">
        <f aca="false">INDEX('Расчет Кплотн'!$K:$K,MATCH(D584,'Расчет Кплотн'!$A:$A,0))</f>
        <v>1.0097</v>
      </c>
      <c r="H584" s="14" t="n">
        <f aca="false">INDEX('Расчет Кплотн'!$J:$J,MATCH(D584,'Расчет Кплотн'!$A:$A,0))</f>
        <v>1.0211</v>
      </c>
      <c r="I584" s="3" t="n">
        <f aca="false">F584*Моделирование!$F$3*M584*G584/1000</f>
        <v>91078.322818104</v>
      </c>
      <c r="J584" s="3" t="n">
        <f aca="false">F584*Моделирование!$F$3*M584*H584/1000</f>
        <v>92106.641011752</v>
      </c>
      <c r="K584" s="3" t="n">
        <f aca="false">J584-I584</f>
        <v>1028.31819364798</v>
      </c>
      <c r="L584" s="4" t="n">
        <f aca="false">IFERROR(K584/I584,0)</f>
        <v>0.0112904823214814</v>
      </c>
      <c r="M584" s="15" t="n">
        <f aca="false">IF(INDEX('Расчет Кплотн'!$D:$D,MATCH(D584,'Расчет Кплотн'!$A:$A,0))="район",IFERROR(VLOOKUP(INDEX('Расчет Кплотн'!$B:$B,MATCH(D584,'Расчет Кплотн'!$A:$A,0)),'БКПН (приказ 170)'!$A$4:$C$10,3,FALSE()),Моделирование!$F$2),Моделирование!$F$2)</f>
        <v>1686.17</v>
      </c>
    </row>
    <row r="585" customFormat="false" ht="15" hidden="false" customHeight="false" outlineLevel="0" collapsed="false">
      <c r="A585" s="12" t="n">
        <v>580</v>
      </c>
      <c r="B585" s="12" t="str">
        <f aca="false">'РПН 01.08 по МО'!B583</f>
        <v>ТУРКЕСТАНСКАЯ</v>
      </c>
      <c r="C585" s="12" t="str">
        <f aca="false">'РПН 01.08 по МО'!C583</f>
        <v>ГКП на ПХВ "Туркестанская городская поликлиника" управления здравоохранения Туркестанской области</v>
      </c>
      <c r="D585" s="12" t="str">
        <f aca="false">'РПН 01.08 по МО'!E583</f>
        <v>6110</v>
      </c>
      <c r="E585" s="12" t="str">
        <f aca="false">'РПН 01.08 по МО'!F583</f>
        <v>Туркестан</v>
      </c>
      <c r="F585" s="13" t="n">
        <f aca="false">'РПН 01.08 по МО'!D583</f>
        <v>87252</v>
      </c>
      <c r="G585" s="14" t="n">
        <f aca="false">INDEX('Расчет Кплотн'!$K:$K,MATCH(D585,'Расчет Кплотн'!$A:$A,0))</f>
        <v>1</v>
      </c>
      <c r="H585" s="14" t="n">
        <f aca="false">INDEX('Расчет Кплотн'!$J:$J,MATCH(D585,'Расчет Кплотн'!$A:$A,0))</f>
        <v>1</v>
      </c>
      <c r="I585" s="3" t="n">
        <f aca="false">F585*Моделирование!$F$3*M585*G585/1000</f>
        <v>1765460.45808</v>
      </c>
      <c r="J585" s="3" t="n">
        <f aca="false">F585*Моделирование!$F$3*M585*H585/1000</f>
        <v>1765460.45808</v>
      </c>
      <c r="K585" s="3" t="n">
        <f aca="false">J585-I585</f>
        <v>0</v>
      </c>
      <c r="L585" s="4" t="n">
        <f aca="false">IFERROR(K585/I585,0)</f>
        <v>0</v>
      </c>
      <c r="M585" s="15" t="n">
        <f aca="false">IF(INDEX('Расчет Кплотн'!$D:$D,MATCH(D585,'Расчет Кплотн'!$A:$A,0))="район",IFERROR(VLOOKUP(INDEX('Расчет Кплотн'!$B:$B,MATCH(D585,'Расчет Кплотн'!$A:$A,0)),'БКПН (приказ 170)'!$A$4:$C$10,3,FALSE()),Моделирование!$F$2),Моделирование!$F$2)</f>
        <v>1686.17</v>
      </c>
    </row>
    <row r="586" customFormat="false" ht="15" hidden="false" customHeight="false" outlineLevel="0" collapsed="false">
      <c r="A586" s="12" t="n">
        <v>581</v>
      </c>
      <c r="B586" s="12" t="str">
        <f aca="false">'РПН 01.08 по МО'!B584</f>
        <v>ТУРКЕСТАНСКАЯ</v>
      </c>
      <c r="C586" s="12" t="str">
        <f aca="false">'РПН 01.08 по МО'!C584</f>
        <v>ГКП на ПХВ "Областная клиническая больница" управления здравоохранения Туркестанской области</v>
      </c>
      <c r="D586" s="12" t="str">
        <f aca="false">'РПН 01.08 по МО'!E584</f>
        <v>7900</v>
      </c>
      <c r="E586" s="12" t="str">
        <f aca="false">'РПН 01.08 по МО'!F584</f>
        <v>г. Шымкент</v>
      </c>
      <c r="F586" s="13" t="n">
        <f aca="false">'РПН 01.08 по МО'!D584</f>
        <v>3020</v>
      </c>
      <c r="G586" s="14" t="n">
        <f aca="false">INDEX('Расчет Кплотн'!$K:$K,MATCH(D586,'Расчет Кплотн'!$A:$A,0))</f>
        <v>1</v>
      </c>
      <c r="H586" s="14" t="n">
        <f aca="false">INDEX('Расчет Кплотн'!$J:$J,MATCH(D586,'Расчет Кплотн'!$A:$A,0))</f>
        <v>1</v>
      </c>
      <c r="I586" s="3" t="n">
        <f aca="false">F586*Моделирование!$F$3*M586*G586/1000</f>
        <v>61106.8008</v>
      </c>
      <c r="J586" s="3" t="n">
        <f aca="false">F586*Моделирование!$F$3*M586*H586/1000</f>
        <v>61106.8008</v>
      </c>
      <c r="K586" s="3" t="n">
        <f aca="false">J586-I586</f>
        <v>0</v>
      </c>
      <c r="L586" s="4" t="n">
        <f aca="false">IFERROR(K586/I586,0)</f>
        <v>0</v>
      </c>
      <c r="M586" s="15" t="n">
        <f aca="false">IF(INDEX('Расчет Кплотн'!$D:$D,MATCH(D586,'Расчет Кплотн'!$A:$A,0))="район",IFERROR(VLOOKUP(INDEX('Расчет Кплотн'!$B:$B,MATCH(D586,'Расчет Кплотн'!$A:$A,0)),'БКПН (приказ 170)'!$A$4:$C$10,3,FALSE()),Моделирование!$F$2),Моделирование!$F$2)</f>
        <v>1686.17</v>
      </c>
    </row>
    <row r="587" customFormat="false" ht="15" hidden="false" customHeight="false" outlineLevel="0" collapsed="false">
      <c r="A587" s="12" t="n">
        <v>582</v>
      </c>
      <c r="B587" s="12" t="str">
        <f aca="false">'РПН 01.08 по МО'!B585</f>
        <v>ТУРКЕСТАНСКАЯ</v>
      </c>
      <c r="C587" s="12" t="str">
        <f aca="false">'РПН 01.08 по МО'!C585</f>
        <v>ГКП на ПХВ "Кентауская городская поликлиника" управления здравоохранения Туркестанской области</v>
      </c>
      <c r="D587" s="12" t="str">
        <f aca="false">'РПН 01.08 по МО'!E585</f>
        <v>6120</v>
      </c>
      <c r="E587" s="12" t="str">
        <f aca="false">'РПН 01.08 по МО'!F585</f>
        <v>Кентау</v>
      </c>
      <c r="F587" s="13" t="n">
        <f aca="false">'РПН 01.08 по МО'!D585</f>
        <v>65169</v>
      </c>
      <c r="G587" s="14" t="n">
        <f aca="false">INDEX('Расчет Кплотн'!$K:$K,MATCH(D587,'Расчет Кплотн'!$A:$A,0))</f>
        <v>1.5</v>
      </c>
      <c r="H587" s="14" t="n">
        <f aca="false">INDEX('Расчет Кплотн'!$J:$J,MATCH(D587,'Расчет Кплотн'!$A:$A,0))</f>
        <v>1.5</v>
      </c>
      <c r="I587" s="3" t="n">
        <f aca="false">F587*Моделирование!$F$3*M587*G587/1000</f>
        <v>1977948.22914</v>
      </c>
      <c r="J587" s="3" t="n">
        <f aca="false">F587*Моделирование!$F$3*M587*H587/1000</f>
        <v>1977948.22914</v>
      </c>
      <c r="K587" s="3" t="n">
        <f aca="false">J587-I587</f>
        <v>0</v>
      </c>
      <c r="L587" s="4" t="n">
        <f aca="false">IFERROR(K587/I587,0)</f>
        <v>0</v>
      </c>
      <c r="M587" s="15" t="n">
        <f aca="false">IF(INDEX('Расчет Кплотн'!$D:$D,MATCH(D587,'Расчет Кплотн'!$A:$A,0))="район",IFERROR(VLOOKUP(INDEX('Расчет Кплотн'!$B:$B,MATCH(D587,'Расчет Кплотн'!$A:$A,0)),'БКПН (приказ 170)'!$A$4:$C$10,3,FALSE()),Моделирование!$F$2),Моделирование!$F$2)</f>
        <v>1686.17</v>
      </c>
    </row>
    <row r="588" customFormat="false" ht="15" hidden="false" customHeight="false" outlineLevel="0" collapsed="false">
      <c r="A588" s="12" t="n">
        <v>583</v>
      </c>
      <c r="B588" s="12" t="str">
        <f aca="false">'РПН 01.08 по МО'!B586</f>
        <v>ТУРКЕСТАНСКАЯ</v>
      </c>
      <c r="C588" s="12" t="str">
        <f aca="false">'РПН 01.08 по МО'!C586</f>
        <v>ГКП на праве хозяйственного ведения «Центральная районная больница Байдибек» управления здравоохранения Туркестанской области</v>
      </c>
      <c r="D588" s="12" t="str">
        <f aca="false">'РПН 01.08 по МО'!E586</f>
        <v>6136</v>
      </c>
      <c r="E588" s="12" t="str">
        <f aca="false">'РПН 01.08 по МО'!F586</f>
        <v>район Байдибека</v>
      </c>
      <c r="F588" s="13" t="n">
        <f aca="false">'РПН 01.08 по МО'!D586</f>
        <v>43757</v>
      </c>
      <c r="G588" s="14" t="n">
        <f aca="false">INDEX('Расчет Кплотн'!$K:$K,MATCH(D588,'Расчет Кплотн'!$A:$A,0))</f>
        <v>1.3026</v>
      </c>
      <c r="H588" s="14" t="n">
        <f aca="false">INDEX('Расчет Кплотн'!$J:$J,MATCH(D588,'Расчет Кплотн'!$A:$A,0))</f>
        <v>1.8504</v>
      </c>
      <c r="I588" s="3" t="n">
        <f aca="false">F588*Моделирование!$F$3*M588*G588/1000</f>
        <v>1153297.14507353</v>
      </c>
      <c r="J588" s="3" t="n">
        <f aca="false">F588*Моделирование!$F$3*M588*H588/1000</f>
        <v>1638308.79567331</v>
      </c>
      <c r="K588" s="3" t="n">
        <f aca="false">J588-I588</f>
        <v>485011.650599784</v>
      </c>
      <c r="L588" s="4" t="n">
        <f aca="false">IFERROR(K588/I588,0)</f>
        <v>0.42054352832796</v>
      </c>
      <c r="M588" s="15" t="n">
        <f aca="false">IF(INDEX('Расчет Кплотн'!$D:$D,MATCH(D588,'Расчет Кплотн'!$A:$A,0))="район",IFERROR(VLOOKUP(INDEX('Расчет Кплотн'!$B:$B,MATCH(D588,'Расчет Кплотн'!$A:$A,0)),'БКПН (приказ 170)'!$A$4:$C$10,3,FALSE()),Моделирование!$F$2),Моделирование!$F$2)</f>
        <v>1686.17</v>
      </c>
    </row>
    <row r="589" customFormat="false" ht="15" hidden="false" customHeight="false" outlineLevel="0" collapsed="false">
      <c r="A589" s="12" t="n">
        <v>584</v>
      </c>
      <c r="B589" s="12" t="str">
        <f aca="false">'РПН 01.08 по МО'!B587</f>
        <v>ТУРКЕСТАНСКАЯ</v>
      </c>
      <c r="C589" s="12" t="str">
        <f aca="false">'РПН 01.08 по МО'!C587</f>
        <v>ГКП на праве хозяйственного ведения «Сарыагашская многопрофильная центральная районная больница» управления здравоохранения Туркестанской области</v>
      </c>
      <c r="D589" s="12" t="str">
        <f aca="false">'РПН 01.08 по МО'!E587</f>
        <v>6154</v>
      </c>
      <c r="E589" s="12" t="str">
        <f aca="false">'РПН 01.08 по МО'!F587</f>
        <v>Сарыагашский район</v>
      </c>
      <c r="F589" s="13" t="n">
        <f aca="false">'РПН 01.08 по МО'!D587</f>
        <v>152961</v>
      </c>
      <c r="G589" s="14" t="n">
        <f aca="false">INDEX('Расчет Кплотн'!$K:$K,MATCH(D589,'Расчет Кплотн'!$A:$A,0))</f>
        <v>1.0393</v>
      </c>
      <c r="H589" s="14" t="n">
        <f aca="false">INDEX('Расчет Кплотн'!$J:$J,MATCH(D589,'Расчет Кплотн'!$A:$A,0))</f>
        <v>1.0872</v>
      </c>
      <c r="I589" s="3" t="n">
        <f aca="false">F589*Моделирование!$F$3*M589*G589/1000</f>
        <v>3216653.23884289</v>
      </c>
      <c r="J589" s="3" t="n">
        <f aca="false">F589*Моделирование!$F$3*M589*H589/1000</f>
        <v>3364904.64858077</v>
      </c>
      <c r="K589" s="3" t="n">
        <f aca="false">J589-I589</f>
        <v>148251.409737877</v>
      </c>
      <c r="L589" s="4" t="n">
        <f aca="false">IFERROR(K589/I589,0)</f>
        <v>0.0460887135572022</v>
      </c>
      <c r="M589" s="15" t="n">
        <f aca="false">IF(INDEX('Расчет Кплотн'!$D:$D,MATCH(D589,'Расчет Кплотн'!$A:$A,0))="район",IFERROR(VLOOKUP(INDEX('Расчет Кплотн'!$B:$B,MATCH(D589,'Расчет Кплотн'!$A:$A,0)),'БКПН (приказ 170)'!$A$4:$C$10,3,FALSE()),Моделирование!$F$2),Моделирование!$F$2)</f>
        <v>1686.17</v>
      </c>
    </row>
    <row r="590" customFormat="false" ht="15" hidden="false" customHeight="false" outlineLevel="0" collapsed="false">
      <c r="A590" s="12" t="n">
        <v>585</v>
      </c>
      <c r="B590" s="12" t="str">
        <f aca="false">'РПН 01.08 по МО'!B588</f>
        <v>ТУРКЕСТАНСКАЯ</v>
      </c>
      <c r="C590" s="12" t="str">
        <f aca="false">'РПН 01.08 по МО'!C588</f>
        <v>ГКП на праве хозяйственного ведения "Шардаринская центральная районная больница"</v>
      </c>
      <c r="D590" s="12" t="str">
        <f aca="false">'РПН 01.08 по МО'!E588</f>
        <v>6164</v>
      </c>
      <c r="E590" s="12" t="str">
        <f aca="false">'РПН 01.08 по МО'!F588</f>
        <v>Шардаринский район</v>
      </c>
      <c r="F590" s="13" t="n">
        <f aca="false">'РПН 01.08 по МО'!D588</f>
        <v>67714</v>
      </c>
      <c r="G590" s="14" t="n">
        <f aca="false">INDEX('Расчет Кплотн'!$K:$K,MATCH(D590,'Расчет Кплотн'!$A:$A,0))</f>
        <v>1.3141</v>
      </c>
      <c r="H590" s="14" t="n">
        <f aca="false">INDEX('Расчет Кплотн'!$J:$J,MATCH(D590,'Расчет Кплотн'!$A:$A,0))</f>
        <v>1.9531</v>
      </c>
      <c r="I590" s="3" t="n">
        <f aca="false">F590*Моделирование!$F$3*M590*G590/1000</f>
        <v>1800484.9216903</v>
      </c>
      <c r="J590" s="3" t="n">
        <f aca="false">F590*Моделирование!$F$3*M590*H590/1000</f>
        <v>2675996.57602414</v>
      </c>
      <c r="K590" s="3" t="n">
        <f aca="false">J590-I590</f>
        <v>875511.65433384</v>
      </c>
      <c r="L590" s="4" t="n">
        <f aca="false">IFERROR(K590/I590,0)</f>
        <v>0.48626436344266</v>
      </c>
      <c r="M590" s="15" t="n">
        <f aca="false">IF(INDEX('Расчет Кплотн'!$D:$D,MATCH(D590,'Расчет Кплотн'!$A:$A,0))="район",IFERROR(VLOOKUP(INDEX('Расчет Кплотн'!$B:$B,MATCH(D590,'Расчет Кплотн'!$A:$A,0)),'БКПН (приказ 170)'!$A$4:$C$10,3,FALSE()),Моделирование!$F$2),Моделирование!$F$2)</f>
        <v>1686.17</v>
      </c>
    </row>
    <row r="591" customFormat="false" ht="15" hidden="false" customHeight="false" outlineLevel="0" collapsed="false">
      <c r="A591" s="12" t="n">
        <v>586</v>
      </c>
      <c r="B591" s="12" t="str">
        <f aca="false">'РПН 01.08 по МО'!B589</f>
        <v>ТУРКЕСТАНСКАЯ</v>
      </c>
      <c r="C591" s="12" t="str">
        <f aca="false">'РПН 01.08 по МО'!C589</f>
        <v>ГКП ПХВ "Казыгуртская центральная районная больница" управления здравоохранения Туркестанской области</v>
      </c>
      <c r="D591" s="12" t="str">
        <f aca="false">'РПН 01.08 по МО'!E589</f>
        <v>6140</v>
      </c>
      <c r="E591" s="12" t="str">
        <f aca="false">'РПН 01.08 по МО'!F589</f>
        <v>Казыгуртский район</v>
      </c>
      <c r="F591" s="13" t="n">
        <f aca="false">'РПН 01.08 по МО'!D589</f>
        <v>81829</v>
      </c>
      <c r="G591" s="14" t="n">
        <f aca="false">INDEX('Расчет Кплотн'!$K:$K,MATCH(D591,'Расчет Кплотн'!$A:$A,0))</f>
        <v>1.0723</v>
      </c>
      <c r="H591" s="14" t="n">
        <f aca="false">INDEX('Расчет Кплотн'!$J:$J,MATCH(D591,'Расчет Кплотн'!$A:$A,0))</f>
        <v>1.2148</v>
      </c>
      <c r="I591" s="3" t="n">
        <f aca="false">F591*Моделирование!$F$3*M591*G591/1000</f>
        <v>1775440.62919727</v>
      </c>
      <c r="J591" s="3" t="n">
        <f aca="false">F591*Моделирование!$F$3*M591*H591/1000</f>
        <v>2011382.33362757</v>
      </c>
      <c r="K591" s="3" t="n">
        <f aca="false">J591-I591</f>
        <v>235941.7044303</v>
      </c>
      <c r="L591" s="4" t="n">
        <f aca="false">IFERROR(K591/I591,0)</f>
        <v>0.132891914576145</v>
      </c>
      <c r="M591" s="15" t="n">
        <f aca="false">IF(INDEX('Расчет Кплотн'!$D:$D,MATCH(D591,'Расчет Кплотн'!$A:$A,0))="район",IFERROR(VLOOKUP(INDEX('Расчет Кплотн'!$B:$B,MATCH(D591,'Расчет Кплотн'!$A:$A,0)),'БКПН (приказ 170)'!$A$4:$C$10,3,FALSE()),Моделирование!$F$2),Моделирование!$F$2)</f>
        <v>1686.17</v>
      </c>
    </row>
    <row r="592" customFormat="false" ht="15" hidden="false" customHeight="false" outlineLevel="0" collapsed="false">
      <c r="A592" s="12" t="n">
        <v>587</v>
      </c>
      <c r="B592" s="12" t="str">
        <f aca="false">'РПН 01.08 по МО'!B590</f>
        <v>ТУРКЕСТАНСКАЯ</v>
      </c>
      <c r="C592" s="12" t="str">
        <f aca="false">'РПН 01.08 по МО'!C590</f>
        <v>ГКП на праве хозяйственного ведения "Толебийская районная больница" управления здравоохранения Туркестанской области</v>
      </c>
      <c r="D592" s="12" t="str">
        <f aca="false">'РПН 01.08 по МО'!E590</f>
        <v>6158</v>
      </c>
      <c r="E592" s="12" t="str">
        <f aca="false">'РПН 01.08 по МО'!F590</f>
        <v>Толебийский район</v>
      </c>
      <c r="F592" s="13" t="n">
        <f aca="false">'РПН 01.08 по МО'!D590</f>
        <v>66249</v>
      </c>
      <c r="G592" s="14" t="n">
        <f aca="false">INDEX('Расчет Кплотн'!$K:$K,MATCH(D592,'Расчет Кплотн'!$A:$A,0))</f>
        <v>1.0509</v>
      </c>
      <c r="H592" s="14" t="n">
        <f aca="false">INDEX('Расчет Кплотн'!$J:$J,MATCH(D592,'Расчет Кплотн'!$A:$A,0))</f>
        <v>1.1352</v>
      </c>
      <c r="I592" s="3" t="n">
        <f aca="false">F592*Моделирование!$F$3*M592*G592/1000</f>
        <v>1408715.59818236</v>
      </c>
      <c r="J592" s="3" t="n">
        <f aca="false">F592*Моделирование!$F$3*M592*H592/1000</f>
        <v>1521718.47659779</v>
      </c>
      <c r="K592" s="3" t="n">
        <f aca="false">J592-I592</f>
        <v>113002.878415428</v>
      </c>
      <c r="L592" s="4" t="n">
        <f aca="false">IFERROR(K592/I592,0)</f>
        <v>0.0802169568940909</v>
      </c>
      <c r="M592" s="15" t="n">
        <f aca="false">IF(INDEX('Расчет Кплотн'!$D:$D,MATCH(D592,'Расчет Кплотн'!$A:$A,0))="район",IFERROR(VLOOKUP(INDEX('Расчет Кплотн'!$B:$B,MATCH(D592,'Расчет Кплотн'!$A:$A,0)),'БКПН (приказ 170)'!$A$4:$C$10,3,FALSE()),Моделирование!$F$2),Моделирование!$F$2)</f>
        <v>1686.17</v>
      </c>
    </row>
    <row r="593" customFormat="false" ht="15" hidden="false" customHeight="false" outlineLevel="0" collapsed="false">
      <c r="A593" s="12" t="n">
        <v>588</v>
      </c>
      <c r="B593" s="12" t="str">
        <f aca="false">'РПН 01.08 по МО'!B591</f>
        <v>ТУРКЕСТАНСКАЯ</v>
      </c>
      <c r="C593" s="12" t="str">
        <f aca="false">'РПН 01.08 по МО'!C591</f>
        <v>ГКП на праве хозяйственного ведения "Сайрамская районная больница "Карабулак" управления здравоохронения Туркестанской области</v>
      </c>
      <c r="D593" s="12" t="str">
        <f aca="false">'РПН 01.08 по МО'!E591</f>
        <v>6152</v>
      </c>
      <c r="E593" s="12" t="str">
        <f aca="false">'РПН 01.08 по МО'!F591</f>
        <v>Сайрамский район</v>
      </c>
      <c r="F593" s="13" t="n">
        <f aca="false">'РПН 01.08 по МО'!D591</f>
        <v>61353</v>
      </c>
      <c r="G593" s="14" t="n">
        <f aca="false">INDEX('Расчет Кплотн'!$K:$K,MATCH(D593,'Расчет Кплотн'!$A:$A,0))</f>
        <v>1.0097</v>
      </c>
      <c r="H593" s="14" t="n">
        <f aca="false">INDEX('Расчет Кплотн'!$J:$J,MATCH(D593,'Расчет Кплотн'!$A:$A,0))</f>
        <v>1.0211</v>
      </c>
      <c r="I593" s="3" t="n">
        <f aca="false">F593*Моделирование!$F$3*M593*G593/1000</f>
        <v>1253460.82096436</v>
      </c>
      <c r="J593" s="3" t="n">
        <f aca="false">F593*Моделирование!$F$3*M593*H593/1000</f>
        <v>1267612.99820413</v>
      </c>
      <c r="K593" s="3" t="n">
        <f aca="false">J593-I593</f>
        <v>14152.1772397677</v>
      </c>
      <c r="L593" s="4" t="n">
        <f aca="false">IFERROR(K593/I593,0)</f>
        <v>0.0112904823214814</v>
      </c>
      <c r="M593" s="15" t="n">
        <f aca="false">IF(INDEX('Расчет Кплотн'!$D:$D,MATCH(D593,'Расчет Кплотн'!$A:$A,0))="район",IFERROR(VLOOKUP(INDEX('Расчет Кплотн'!$B:$B,MATCH(D593,'Расчет Кплотн'!$A:$A,0)),'БКПН (приказ 170)'!$A$4:$C$10,3,FALSE()),Моделирование!$F$2),Моделирование!$F$2)</f>
        <v>1686.17</v>
      </c>
    </row>
    <row r="594" customFormat="false" ht="15" hidden="false" customHeight="false" outlineLevel="0" collapsed="false">
      <c r="A594" s="12" t="n">
        <v>589</v>
      </c>
      <c r="B594" s="12" t="str">
        <f aca="false">'РПН 01.08 по МО'!B592</f>
        <v>ТУРКЕСТАНСКАЯ</v>
      </c>
      <c r="C594" s="12" t="str">
        <f aca="false">'РПН 01.08 по МО'!C592</f>
        <v>ГКП на праве хозяйственного ведения "Ленгерская городская поликлиника" управления здравоохранения Туркестанской области</v>
      </c>
      <c r="D594" s="12" t="str">
        <f aca="false">'РПН 01.08 по МО'!E592</f>
        <v>6158</v>
      </c>
      <c r="E594" s="12" t="str">
        <f aca="false">'РПН 01.08 по МО'!F592</f>
        <v>Толебийский район</v>
      </c>
      <c r="F594" s="13" t="n">
        <f aca="false">'РПН 01.08 по МО'!D592</f>
        <v>36961</v>
      </c>
      <c r="G594" s="14" t="n">
        <f aca="false">INDEX('Расчет Кплотн'!$K:$K,MATCH(D594,'Расчет Кплотн'!$A:$A,0))</f>
        <v>1.0509</v>
      </c>
      <c r="H594" s="14" t="n">
        <f aca="false">INDEX('Расчет Кплотн'!$J:$J,MATCH(D594,'Расчет Кплотн'!$A:$A,0))</f>
        <v>1.1352</v>
      </c>
      <c r="I594" s="3" t="n">
        <f aca="false">F594*Моделирование!$F$3*M594*G594/1000</f>
        <v>785936.953379196</v>
      </c>
      <c r="J594" s="3" t="n">
        <f aca="false">F594*Моделирование!$F$3*M594*H594/1000</f>
        <v>848982.424089888</v>
      </c>
      <c r="K594" s="3" t="n">
        <f aca="false">J594-I594</f>
        <v>63045.4707106921</v>
      </c>
      <c r="L594" s="4" t="n">
        <f aca="false">IFERROR(K594/I594,0)</f>
        <v>0.0802169568940909</v>
      </c>
      <c r="M594" s="15" t="n">
        <f aca="false">IF(INDEX('Расчет Кплотн'!$D:$D,MATCH(D594,'Расчет Кплотн'!$A:$A,0))="район",IFERROR(VLOOKUP(INDEX('Расчет Кплотн'!$B:$B,MATCH(D594,'Расчет Кплотн'!$A:$A,0)),'БКПН (приказ 170)'!$A$4:$C$10,3,FALSE()),Моделирование!$F$2),Моделирование!$F$2)</f>
        <v>1686.17</v>
      </c>
    </row>
    <row r="595" customFormat="false" ht="15" hidden="false" customHeight="false" outlineLevel="0" collapsed="false">
      <c r="A595" s="12" t="n">
        <v>590</v>
      </c>
      <c r="B595" s="12" t="str">
        <f aca="false">'РПН 01.08 по МО'!B593</f>
        <v>ТУРКЕСТАНСКАЯ</v>
      </c>
      <c r="C595" s="12" t="str">
        <f aca="false">'РПН 01.08 по МО'!C593</f>
        <v>ГКП на праве хозяйственного ведения "Арысская центральная районная больница" управления здравоохранения Туркестанской области</v>
      </c>
      <c r="D595" s="12" t="str">
        <f aca="false">'РПН 01.08 по МО'!E593</f>
        <v>6116</v>
      </c>
      <c r="E595" s="12" t="str">
        <f aca="false">'РПН 01.08 по МО'!F593</f>
        <v>Арысь</v>
      </c>
      <c r="F595" s="13" t="n">
        <f aca="false">'РПН 01.08 по МО'!D593</f>
        <v>57009</v>
      </c>
      <c r="G595" s="14" t="n">
        <f aca="false">INDEX('Расчет Кплотн'!$K:$K,MATCH(D595,'Расчет Кплотн'!$A:$A,0))</f>
        <v>1.5</v>
      </c>
      <c r="H595" s="14" t="n">
        <f aca="false">INDEX('Расчет Кплотн'!$J:$J,MATCH(D595,'Расчет Кплотн'!$A:$A,0))</f>
        <v>1.5</v>
      </c>
      <c r="I595" s="3" t="n">
        <f aca="false">F595*Моделирование!$F$3*M595*G595/1000</f>
        <v>1730283.57954</v>
      </c>
      <c r="J595" s="3" t="n">
        <f aca="false">F595*Моделирование!$F$3*M595*H595/1000</f>
        <v>1730283.57954</v>
      </c>
      <c r="K595" s="3" t="n">
        <f aca="false">J595-I595</f>
        <v>0</v>
      </c>
      <c r="L595" s="4" t="n">
        <f aca="false">IFERROR(K595/I595,0)</f>
        <v>0</v>
      </c>
      <c r="M595" s="15" t="n">
        <f aca="false">IF(INDEX('Расчет Кплотн'!$D:$D,MATCH(D595,'Расчет Кплотн'!$A:$A,0))="район",IFERROR(VLOOKUP(INDEX('Расчет Кплотн'!$B:$B,MATCH(D595,'Расчет Кплотн'!$A:$A,0)),'БКПН (приказ 170)'!$A$4:$C$10,3,FALSE()),Моделирование!$F$2),Моделирование!$F$2)</f>
        <v>1686.17</v>
      </c>
    </row>
    <row r="596" customFormat="false" ht="15" hidden="false" customHeight="false" outlineLevel="0" collapsed="false">
      <c r="A596" s="12" t="n">
        <v>591</v>
      </c>
      <c r="B596" s="12" t="str">
        <f aca="false">'РПН 01.08 по МО'!B594</f>
        <v>ТУРКЕСТАНСКАЯ</v>
      </c>
      <c r="C596" s="12" t="str">
        <f aca="false">'РПН 01.08 по МО'!C594</f>
        <v>ГКП "На праве хозяйственного ведения "Тюлькубасская центральная районная больница" управления здравоохранения Туркестанской области"</v>
      </c>
      <c r="D596" s="12" t="str">
        <f aca="false">'РПН 01.08 по МО'!E594</f>
        <v>6160</v>
      </c>
      <c r="E596" s="12" t="str">
        <f aca="false">'РПН 01.08 по МО'!F594</f>
        <v>Тюлькубасский район</v>
      </c>
      <c r="F596" s="13" t="n">
        <f aca="false">'РПН 01.08 по МО'!D594</f>
        <v>76038</v>
      </c>
      <c r="G596" s="14" t="n">
        <f aca="false">INDEX('Расчет Кплотн'!$K:$K,MATCH(D596,'Расчет Кплотн'!$A:$A,0))</f>
        <v>1.0444</v>
      </c>
      <c r="H596" s="14" t="n">
        <f aca="false">INDEX('Расчет Кплотн'!$J:$J,MATCH(D596,'Расчет Кплотн'!$A:$A,0))</f>
        <v>1.1243</v>
      </c>
      <c r="I596" s="3" t="n">
        <f aca="false">F596*Моделирование!$F$3*M596*G596/1000</f>
        <v>1606867.81696829</v>
      </c>
      <c r="J596" s="3" t="n">
        <f aca="false">F596*Моделирование!$F$3*M596*H596/1000</f>
        <v>1729798.43605654</v>
      </c>
      <c r="K596" s="3" t="n">
        <f aca="false">J596-I596</f>
        <v>122930.619088248</v>
      </c>
      <c r="L596" s="4" t="n">
        <f aca="false">IFERROR(K596/I596,0)</f>
        <v>0.0765032554576791</v>
      </c>
      <c r="M596" s="15" t="n">
        <f aca="false">IF(INDEX('Расчет Кплотн'!$D:$D,MATCH(D596,'Расчет Кплотн'!$A:$A,0))="район",IFERROR(VLOOKUP(INDEX('Расчет Кплотн'!$B:$B,MATCH(D596,'Расчет Кплотн'!$A:$A,0)),'БКПН (приказ 170)'!$A$4:$C$10,3,FALSE()),Моделирование!$F$2),Моделирование!$F$2)</f>
        <v>1686.17</v>
      </c>
    </row>
    <row r="597" customFormat="false" ht="15" hidden="false" customHeight="false" outlineLevel="0" collapsed="false">
      <c r="A597" s="12" t="n">
        <v>592</v>
      </c>
      <c r="B597" s="12" t="str">
        <f aca="false">'РПН 01.08 по МО'!B595</f>
        <v>ТУРКЕСТАНСКАЯ</v>
      </c>
      <c r="C597" s="12" t="str">
        <f aca="false">'РПН 01.08 по МО'!C595</f>
        <v>ГКП "на праве хозяйственного ведения "Отырарская центральная районная больница" управления здравоохранения Туркестанской области"</v>
      </c>
      <c r="D597" s="12" t="str">
        <f aca="false">'РПН 01.08 по МО'!E595</f>
        <v>6148</v>
      </c>
      <c r="E597" s="12" t="str">
        <f aca="false">'РПН 01.08 по МО'!F595</f>
        <v>Отрарский район</v>
      </c>
      <c r="F597" s="13" t="n">
        <f aca="false">'РПН 01.08 по МО'!D595</f>
        <v>43690</v>
      </c>
      <c r="G597" s="14" t="n">
        <f aca="false">INDEX('Расчет Кплотн'!$K:$K,MATCH(D597,'Расчет Кплотн'!$A:$A,0))</f>
        <v>1.6677</v>
      </c>
      <c r="H597" s="14" t="n">
        <f aca="false">INDEX('Расчет Кплотн'!$J:$J,MATCH(D597,'Расчет Кплотн'!$A:$A,0))</f>
        <v>2</v>
      </c>
      <c r="I597" s="3" t="n">
        <f aca="false">F597*Моделирование!$F$3*M597*G597/1000</f>
        <v>1474288.83871452</v>
      </c>
      <c r="J597" s="3" t="n">
        <f aca="false">F597*Моделирование!$F$3*M597*H597/1000</f>
        <v>1768050.4152</v>
      </c>
      <c r="K597" s="3" t="n">
        <f aca="false">J597-I597</f>
        <v>293761.57648548</v>
      </c>
      <c r="L597" s="4" t="n">
        <f aca="false">IFERROR(K597/I597,0)</f>
        <v>0.199256460994184</v>
      </c>
      <c r="M597" s="15" t="n">
        <f aca="false">IF(INDEX('Расчет Кплотн'!$D:$D,MATCH(D597,'Расчет Кплотн'!$A:$A,0))="район",IFERROR(VLOOKUP(INDEX('Расчет Кплотн'!$B:$B,MATCH(D597,'Расчет Кплотн'!$A:$A,0)),'БКПН (приказ 170)'!$A$4:$C$10,3,FALSE()),Моделирование!$F$2),Моделирование!$F$2)</f>
        <v>1686.17</v>
      </c>
    </row>
    <row r="598" customFormat="false" ht="15" hidden="false" customHeight="false" outlineLevel="0" collapsed="false">
      <c r="A598" s="12" t="n">
        <v>593</v>
      </c>
      <c r="B598" s="12" t="str">
        <f aca="false">'РПН 01.08 по МО'!B596</f>
        <v>ТУРКЕСТАНСКАЯ</v>
      </c>
      <c r="C598" s="12" t="str">
        <f aca="false">'РПН 01.08 по МО'!C596</f>
        <v>ТОО "MegaMed"</v>
      </c>
      <c r="D598" s="12" t="str">
        <f aca="false">'РПН 01.08 по МО'!E596</f>
        <v>6152</v>
      </c>
      <c r="E598" s="12" t="str">
        <f aca="false">'РПН 01.08 по МО'!F596</f>
        <v>Сайрамский район</v>
      </c>
      <c r="F598" s="13" t="n">
        <f aca="false">'РПН 01.08 по МО'!D596</f>
        <v>10752</v>
      </c>
      <c r="G598" s="14" t="n">
        <f aca="false">INDEX('Расчет Кплотн'!$K:$K,MATCH(D598,'Расчет Кплотн'!$A:$A,0))</f>
        <v>1.0097</v>
      </c>
      <c r="H598" s="14" t="n">
        <f aca="false">INDEX('Расчет Кплотн'!$J:$J,MATCH(D598,'Расчет Кплотн'!$A:$A,0))</f>
        <v>1.0211</v>
      </c>
      <c r="I598" s="3" t="n">
        <f aca="false">F598*Моделирование!$F$3*M598*G598/1000</f>
        <v>219666.695141376</v>
      </c>
      <c r="J598" s="3" t="n">
        <f aca="false">F598*Моделирование!$F$3*M598*H598/1000</f>
        <v>222146.838079488</v>
      </c>
      <c r="K598" s="3" t="n">
        <f aca="false">J598-I598</f>
        <v>2480.14293811197</v>
      </c>
      <c r="L598" s="4" t="n">
        <f aca="false">IFERROR(K598/I598,0)</f>
        <v>0.0112904823214815</v>
      </c>
      <c r="M598" s="15" t="n">
        <f aca="false">IF(INDEX('Расчет Кплотн'!$D:$D,MATCH(D598,'Расчет Кплотн'!$A:$A,0))="район",IFERROR(VLOOKUP(INDEX('Расчет Кплотн'!$B:$B,MATCH(D598,'Расчет Кплотн'!$A:$A,0)),'БКПН (приказ 170)'!$A$4:$C$10,3,FALSE()),Моделирование!$F$2),Моделирование!$F$2)</f>
        <v>1686.17</v>
      </c>
    </row>
    <row r="599" customFormat="false" ht="15" hidden="false" customHeight="false" outlineLevel="0" collapsed="false">
      <c r="A599" s="12" t="n">
        <v>594</v>
      </c>
      <c r="B599" s="12" t="str">
        <f aca="false">'РПН 01.08 по МО'!B597</f>
        <v>ТУРКЕСТАНСКАЯ</v>
      </c>
      <c r="C599" s="12" t="str">
        <f aca="false">'РПН 01.08 по МО'!C597</f>
        <v>ГКП на праве хозяйственного ведения "Сузакская центральная районная больница" управления здравоохранения Туркестанской области</v>
      </c>
      <c r="D599" s="12" t="str">
        <f aca="false">'РПН 01.08 по МО'!E597</f>
        <v>6156</v>
      </c>
      <c r="E599" s="12" t="str">
        <f aca="false">'РПН 01.08 по МО'!F597</f>
        <v>Сузакский район</v>
      </c>
      <c r="F599" s="13" t="n">
        <f aca="false">'РПН 01.08 по МО'!D597</f>
        <v>55573</v>
      </c>
      <c r="G599" s="14" t="n">
        <f aca="false">INDEX('Расчет Кплотн'!$K:$K,MATCH(D599,'Расчет Кплотн'!$A:$A,0))</f>
        <v>2</v>
      </c>
      <c r="H599" s="14" t="n">
        <f aca="false">INDEX('Расчет Кплотн'!$J:$J,MATCH(D599,'Расчет Кплотн'!$A:$A,0))</f>
        <v>2</v>
      </c>
      <c r="I599" s="3" t="n">
        <f aca="false">F599*Моделирование!$F$3*M599*G599/1000</f>
        <v>2248932.60984</v>
      </c>
      <c r="J599" s="3" t="n">
        <f aca="false">F599*Моделирование!$F$3*M599*H599/1000</f>
        <v>2248932.60984</v>
      </c>
      <c r="K599" s="3" t="n">
        <f aca="false">J599-I599</f>
        <v>0</v>
      </c>
      <c r="L599" s="4" t="n">
        <f aca="false">IFERROR(K599/I599,0)</f>
        <v>0</v>
      </c>
      <c r="M599" s="15" t="n">
        <f aca="false">IF(INDEX('Расчет Кплотн'!$D:$D,MATCH(D599,'Расчет Кплотн'!$A:$A,0))="район",IFERROR(VLOOKUP(INDEX('Расчет Кплотн'!$B:$B,MATCH(D599,'Расчет Кплотн'!$A:$A,0)),'БКПН (приказ 170)'!$A$4:$C$10,3,FALSE()),Моделирование!$F$2),Моделирование!$F$2)</f>
        <v>1686.17</v>
      </c>
    </row>
    <row r="600" customFormat="false" ht="15" hidden="false" customHeight="false" outlineLevel="0" collapsed="false">
      <c r="A600" s="12" t="n">
        <v>595</v>
      </c>
      <c r="B600" s="12" t="str">
        <f aca="false">'РПН 01.08 по МО'!B598</f>
        <v>ТУРКЕСТАНСКАЯ</v>
      </c>
      <c r="C600" s="12" t="str">
        <f aca="false">'РПН 01.08 по МО'!C598</f>
        <v>государственное коммунальное предприятие на праве хозяйственного ведения "Жетысайская многопрофильная центральная районная больница" управления здравоохранения Туркестанской области</v>
      </c>
      <c r="D600" s="12" t="str">
        <f aca="false">'РПН 01.08 по МО'!E598</f>
        <v>6138</v>
      </c>
      <c r="E600" s="12" t="str">
        <f aca="false">'РПН 01.08 по МО'!F598</f>
        <v>Жетысайский район</v>
      </c>
      <c r="F600" s="13" t="n">
        <f aca="false">'РПН 01.08 по МО'!D598</f>
        <v>84169</v>
      </c>
      <c r="G600" s="14" t="n">
        <f aca="false">INDEX('Расчет Кплотн'!$K:$K,MATCH(D600,'Расчет Кплотн'!$A:$A,0))</f>
        <v>1.011</v>
      </c>
      <c r="H600" s="14" t="n">
        <f aca="false">INDEX('Расчет Кплотн'!$J:$J,MATCH(D600,'Расчет Кплотн'!$A:$A,0))</f>
        <v>1.0313</v>
      </c>
      <c r="I600" s="3" t="n">
        <f aca="false">F600*Моделирование!$F$3*M600*G600/1000</f>
        <v>1721812.78080036</v>
      </c>
      <c r="J600" s="3" t="n">
        <f aca="false">F600*Моделирование!$F$3*M600*H600/1000</f>
        <v>1756385.28272939</v>
      </c>
      <c r="K600" s="3" t="n">
        <f aca="false">J600-I600</f>
        <v>34572.5019290284</v>
      </c>
      <c r="L600" s="4" t="n">
        <f aca="false">IFERROR(K600/I600,0)</f>
        <v>0.0200791295746788</v>
      </c>
      <c r="M600" s="15" t="n">
        <f aca="false">IF(INDEX('Расчет Кплотн'!$D:$D,MATCH(D600,'Расчет Кплотн'!$A:$A,0))="район",IFERROR(VLOOKUP(INDEX('Расчет Кплотн'!$B:$B,MATCH(D600,'Расчет Кплотн'!$A:$A,0)),'БКПН (приказ 170)'!$A$4:$C$10,3,FALSE()),Моделирование!$F$2),Моделирование!$F$2)</f>
        <v>1686.17</v>
      </c>
    </row>
    <row r="601" customFormat="false" ht="15" hidden="false" customHeight="false" outlineLevel="0" collapsed="false">
      <c r="A601" s="12" t="n">
        <v>596</v>
      </c>
      <c r="B601" s="12" t="str">
        <f aca="false">'РПН 01.08 по МО'!B599</f>
        <v>ТУРКЕСТАНСКАЯ</v>
      </c>
      <c r="C601" s="12" t="str">
        <f aca="false">'РПН 01.08 по МО'!C599</f>
        <v>ГКП на ПХВ "Районная поликлиника Сауран" УЗ Туркестанской области</v>
      </c>
      <c r="D601" s="12" t="str">
        <f aca="false">'РПН 01.08 по МО'!E599</f>
        <v>6155</v>
      </c>
      <c r="E601" s="12" t="str">
        <f aca="false">'РПН 01.08 по МО'!F599</f>
        <v>район Сауран</v>
      </c>
      <c r="F601" s="13" t="n">
        <f aca="false">'РПН 01.08 по МО'!D599</f>
        <v>60062</v>
      </c>
      <c r="G601" s="14" t="n">
        <f aca="false">INDEX('Расчет Кплотн'!$K:$K,MATCH(D601,'Расчет Кплотн'!$A:$A,0))</f>
        <v>1.1468</v>
      </c>
      <c r="H601" s="14" t="n">
        <f aca="false">INDEX('Расчет Кплотн'!$J:$J,MATCH(D601,'Расчет Кплотн'!$A:$A,0))</f>
        <v>1.5289</v>
      </c>
      <c r="I601" s="3" t="n">
        <f aca="false">F601*Моделирование!$F$3*M601*G601/1000</f>
        <v>1393702.49693846</v>
      </c>
      <c r="J601" s="3" t="n">
        <f aca="false">F601*Моделирование!$F$3*M601*H601/1000</f>
        <v>1858067.44643287</v>
      </c>
      <c r="K601" s="3" t="n">
        <f aca="false">J601-I601</f>
        <v>464364.949494408</v>
      </c>
      <c r="L601" s="4" t="n">
        <f aca="false">IFERROR(K601/I601,0)</f>
        <v>0.333188001395186</v>
      </c>
      <c r="M601" s="15" t="n">
        <f aca="false">IF(INDEX('Расчет Кплотн'!$D:$D,MATCH(D601,'Расчет Кплотн'!$A:$A,0))="район",IFERROR(VLOOKUP(INDEX('Расчет Кплотн'!$B:$B,MATCH(D601,'Расчет Кплотн'!$A:$A,0)),'БКПН (приказ 170)'!$A$4:$C$10,3,FALSE()),Моделирование!$F$2),Моделирование!$F$2)</f>
        <v>1686.17</v>
      </c>
    </row>
    <row r="602" customFormat="false" ht="15" hidden="false" customHeight="false" outlineLevel="0" collapsed="false">
      <c r="A602" s="12" t="n">
        <v>597</v>
      </c>
      <c r="B602" s="12" t="str">
        <f aca="false">'РПН 01.08 по МО'!B600</f>
        <v>ТУРКЕСТАНСКАЯ</v>
      </c>
      <c r="C602" s="12" t="str">
        <f aca="false">'РПН 01.08 по МО'!C600</f>
        <v>государственное коммунальное предприятие на праве хозяйственного ведения "Мактааральская районная больница "Мырзакент" управления здравоохранения Туркестанской области</v>
      </c>
      <c r="D602" s="12" t="str">
        <f aca="false">'РПН 01.08 по МО'!E600</f>
        <v>6144</v>
      </c>
      <c r="E602" s="12" t="str">
        <f aca="false">'РПН 01.08 по МО'!F600</f>
        <v>Мактааральский район</v>
      </c>
      <c r="F602" s="13" t="n">
        <f aca="false">'РПН 01.08 по МО'!D600</f>
        <v>62840</v>
      </c>
      <c r="G602" s="14" t="n">
        <f aca="false">INDEX('Расчет Кплотн'!$K:$K,MATCH(D602,'Расчет Кплотн'!$A:$A,0))</f>
        <v>1.0127</v>
      </c>
      <c r="H602" s="14" t="n">
        <f aca="false">INDEX('Расчет Кплотн'!$J:$J,MATCH(D602,'Расчет Кплотн'!$A:$A,0))</f>
        <v>1.0367</v>
      </c>
      <c r="I602" s="3" t="n">
        <f aca="false">F602*Моделирование!$F$3*M602*G602/1000</f>
        <v>1287655.21343472</v>
      </c>
      <c r="J602" s="3" t="n">
        <f aca="false">F602*Моделирование!$F$3*M602*H602/1000</f>
        <v>1318171.38320112</v>
      </c>
      <c r="K602" s="3" t="n">
        <f aca="false">J602-I602</f>
        <v>30516.1697664002</v>
      </c>
      <c r="L602" s="4" t="n">
        <f aca="false">IFERROR(K602/I602,0)</f>
        <v>0.0236990224153256</v>
      </c>
      <c r="M602" s="15" t="n">
        <f aca="false">IF(INDEX('Расчет Кплотн'!$D:$D,MATCH(D602,'Расчет Кплотн'!$A:$A,0))="район",IFERROR(VLOOKUP(INDEX('Расчет Кплотн'!$B:$B,MATCH(D602,'Расчет Кплотн'!$A:$A,0)),'БКПН (приказ 170)'!$A$4:$C$10,3,FALSE()),Моделирование!$F$2),Моделирование!$F$2)</f>
        <v>1686.17</v>
      </c>
    </row>
    <row r="603" customFormat="false" ht="15" hidden="false" customHeight="false" outlineLevel="0" collapsed="false">
      <c r="A603" s="12" t="n">
        <v>598</v>
      </c>
      <c r="B603" s="12" t="str">
        <f aca="false">'РПН 01.08 по МО'!B601</f>
        <v>ТУРКЕСТАНСКАЯ</v>
      </c>
      <c r="C603" s="12" t="str">
        <f aca="false">'РПН 01.08 по МО'!C601</f>
        <v>ТОО "MEDICAL CENTER SHUBARSU (МЕДИКАЛ ЦЕНТР ШУБАРСУ)"</v>
      </c>
      <c r="D603" s="12" t="str">
        <f aca="false">'РПН 01.08 по МО'!E601</f>
        <v>6146</v>
      </c>
      <c r="E603" s="12" t="str">
        <f aca="false">'РПН 01.08 по МО'!F601</f>
        <v>Ордабасынский район</v>
      </c>
      <c r="F603" s="13" t="n">
        <f aca="false">'РПН 01.08 по МО'!D601</f>
        <v>24499</v>
      </c>
      <c r="G603" s="14" t="n">
        <f aca="false">INDEX('Расчет Кплотн'!$K:$K,MATCH(D603,'Расчет Кплотн'!$A:$A,0))</f>
        <v>1.0433</v>
      </c>
      <c r="H603" s="14" t="n">
        <f aca="false">INDEX('Расчет Кплотн'!$J:$J,MATCH(D603,'Расчет Кплотн'!$A:$A,0))</f>
        <v>1.0956</v>
      </c>
      <c r="I603" s="3" t="n">
        <f aca="false">F603*Моделирование!$F$3*M603*G603/1000</f>
        <v>517178.151160068</v>
      </c>
      <c r="J603" s="3" t="n">
        <f aca="false">F603*Моделирование!$F$3*M603*H603/1000</f>
        <v>543103.980073776</v>
      </c>
      <c r="K603" s="3" t="n">
        <f aca="false">J603-I603</f>
        <v>25925.828913708</v>
      </c>
      <c r="L603" s="4" t="n">
        <f aca="false">IFERROR(K603/I603,0)</f>
        <v>0.0501293971053388</v>
      </c>
      <c r="M603" s="15" t="n">
        <f aca="false">IF(INDEX('Расчет Кплотн'!$D:$D,MATCH(D603,'Расчет Кплотн'!$A:$A,0))="район",IFERROR(VLOOKUP(INDEX('Расчет Кплотн'!$B:$B,MATCH(D603,'Расчет Кплотн'!$A:$A,0)),'БКПН (приказ 170)'!$A$4:$C$10,3,FALSE()),Моделирование!$F$2),Моделирование!$F$2)</f>
        <v>1686.17</v>
      </c>
    </row>
    <row r="604" customFormat="false" ht="15" hidden="false" customHeight="false" outlineLevel="0" collapsed="false">
      <c r="A604" s="12" t="n">
        <v>599</v>
      </c>
      <c r="B604" s="12" t="str">
        <f aca="false">'РПН 01.08 по МО'!B602</f>
        <v>ТУРКЕСТАНСКАЯ</v>
      </c>
      <c r="C604" s="12" t="str">
        <f aca="false">'РПН 01.08 по МО'!C602</f>
        <v>ТОО "KAUSAR KLINIKASY"</v>
      </c>
      <c r="D604" s="12" t="str">
        <f aca="false">'РПН 01.08 по МО'!E602</f>
        <v>6152</v>
      </c>
      <c r="E604" s="12" t="str">
        <f aca="false">'РПН 01.08 по МО'!F602</f>
        <v>Сайрамский район</v>
      </c>
      <c r="F604" s="13" t="n">
        <f aca="false">'РПН 01.08 по МО'!D602</f>
        <v>6510</v>
      </c>
      <c r="G604" s="14" t="n">
        <f aca="false">INDEX('Расчет Кплотн'!$K:$K,MATCH(D604,'Расчет Кплотн'!$A:$A,0))</f>
        <v>1.0097</v>
      </c>
      <c r="H604" s="14" t="n">
        <f aca="false">INDEX('Расчет Кплотн'!$J:$J,MATCH(D604,'Расчет Кплотн'!$A:$A,0))</f>
        <v>1.0211</v>
      </c>
      <c r="I604" s="3" t="n">
        <f aca="false">F604*Моделирование!$F$3*M604*G604/1000</f>
        <v>133001.31932388</v>
      </c>
      <c r="J604" s="3" t="n">
        <f aca="false">F604*Моделирование!$F$3*M604*H604/1000</f>
        <v>134502.96836844</v>
      </c>
      <c r="K604" s="3" t="n">
        <f aca="false">J604-I604</f>
        <v>1501.64904455998</v>
      </c>
      <c r="L604" s="4" t="n">
        <f aca="false">IFERROR(K604/I604,0)</f>
        <v>0.0112904823214815</v>
      </c>
      <c r="M604" s="15" t="n">
        <f aca="false">IF(INDEX('Расчет Кплотн'!$D:$D,MATCH(D604,'Расчет Кплотн'!$A:$A,0))="район",IFERROR(VLOOKUP(INDEX('Расчет Кплотн'!$B:$B,MATCH(D604,'Расчет Кплотн'!$A:$A,0)),'БКПН (приказ 170)'!$A$4:$C$10,3,FALSE()),Моделирование!$F$2),Моделирование!$F$2)</f>
        <v>1686.17</v>
      </c>
    </row>
    <row r="605" customFormat="false" ht="15" hidden="false" customHeight="false" outlineLevel="0" collapsed="false">
      <c r="A605" s="12" t="n">
        <v>600</v>
      </c>
      <c r="B605" s="12" t="str">
        <f aca="false">'РПН 01.08 по МО'!B603</f>
        <v>ТУРКЕСТАНСКАЯ</v>
      </c>
      <c r="C605" s="12" t="str">
        <f aca="false">'РПН 01.08 по МО'!C603</f>
        <v>ТОО "Jacksoft MDS. Клиника"</v>
      </c>
      <c r="D605" s="12" t="str">
        <f aca="false">'РПН 01.08 по МО'!E603</f>
        <v>6110</v>
      </c>
      <c r="E605" s="12" t="str">
        <f aca="false">'РПН 01.08 по МО'!F603</f>
        <v>Туркестан</v>
      </c>
      <c r="F605" s="13" t="n">
        <f aca="false">'РПН 01.08 по МО'!D603</f>
        <v>12938</v>
      </c>
      <c r="G605" s="14" t="n">
        <f aca="false">INDEX('Расчет Кплотн'!$K:$K,MATCH(D605,'Расчет Кплотн'!$A:$A,0))</f>
        <v>1</v>
      </c>
      <c r="H605" s="14" t="n">
        <f aca="false">INDEX('Расчет Кплотн'!$J:$J,MATCH(D605,'Расчет Кплотн'!$A:$A,0))</f>
        <v>1</v>
      </c>
      <c r="I605" s="3" t="n">
        <f aca="false">F605*Моделирование!$F$3*M605*G605/1000</f>
        <v>261788.00952</v>
      </c>
      <c r="J605" s="3" t="n">
        <f aca="false">F605*Моделирование!$F$3*M605*H605/1000</f>
        <v>261788.00952</v>
      </c>
      <c r="K605" s="3" t="n">
        <f aca="false">J605-I605</f>
        <v>0</v>
      </c>
      <c r="L605" s="4" t="n">
        <f aca="false">IFERROR(K605/I605,0)</f>
        <v>0</v>
      </c>
      <c r="M605" s="15" t="n">
        <f aca="false">IF(INDEX('Расчет Кплотн'!$D:$D,MATCH(D605,'Расчет Кплотн'!$A:$A,0))="район",IFERROR(VLOOKUP(INDEX('Расчет Кплотн'!$B:$B,MATCH(D605,'Расчет Кплотн'!$A:$A,0)),'БКПН (приказ 170)'!$A$4:$C$10,3,FALSE()),Моделирование!$F$2),Моделирование!$F$2)</f>
        <v>1686.17</v>
      </c>
    </row>
    <row r="606" customFormat="false" ht="15" hidden="false" customHeight="false" outlineLevel="0" collapsed="false">
      <c r="A606" s="12" t="n">
        <v>601</v>
      </c>
      <c r="B606" s="12" t="str">
        <f aca="false">'РПН 01.08 по МО'!B604</f>
        <v>ТУРКЕСТАНСКАЯ</v>
      </c>
      <c r="C606" s="12" t="str">
        <f aca="false">'РПН 01.08 по МО'!C604</f>
        <v>ТОО "DOCTOR MEDICAL"</v>
      </c>
      <c r="D606" s="12" t="str">
        <f aca="false">'РПН 01.08 по МО'!E604</f>
        <v>6110</v>
      </c>
      <c r="E606" s="12" t="str">
        <f aca="false">'РПН 01.08 по МО'!F604</f>
        <v>Туркестан</v>
      </c>
      <c r="F606" s="13" t="n">
        <f aca="false">'РПН 01.08 по МО'!D604</f>
        <v>11835</v>
      </c>
      <c r="G606" s="14" t="n">
        <f aca="false">INDEX('Расчет Кплотн'!$K:$K,MATCH(D606,'Расчет Кплотн'!$A:$A,0))</f>
        <v>1</v>
      </c>
      <c r="H606" s="14" t="n">
        <f aca="false">INDEX('Расчет Кплотн'!$J:$J,MATCH(D606,'Расчет Кплотн'!$A:$A,0))</f>
        <v>1</v>
      </c>
      <c r="I606" s="3" t="n">
        <f aca="false">F606*Моделирование!$F$3*M606*G606/1000</f>
        <v>239469.8634</v>
      </c>
      <c r="J606" s="3" t="n">
        <f aca="false">F606*Моделирование!$F$3*M606*H606/1000</f>
        <v>239469.8634</v>
      </c>
      <c r="K606" s="3" t="n">
        <f aca="false">J606-I606</f>
        <v>0</v>
      </c>
      <c r="L606" s="4" t="n">
        <f aca="false">IFERROR(K606/I606,0)</f>
        <v>0</v>
      </c>
      <c r="M606" s="15" t="n">
        <f aca="false">IF(INDEX('Расчет Кплотн'!$D:$D,MATCH(D606,'Расчет Кплотн'!$A:$A,0))="район",IFERROR(VLOOKUP(INDEX('Расчет Кплотн'!$B:$B,MATCH(D606,'Расчет Кплотн'!$A:$A,0)),'БКПН (приказ 170)'!$A$4:$C$10,3,FALSE()),Моделирование!$F$2),Моделирование!$F$2)</f>
        <v>1686.17</v>
      </c>
    </row>
    <row r="607" customFormat="false" ht="15" hidden="false" customHeight="false" outlineLevel="0" collapsed="false">
      <c r="A607" s="12" t="n">
        <v>602</v>
      </c>
      <c r="B607" s="12" t="str">
        <f aca="false">'РПН 01.08 по МО'!B605</f>
        <v>ТУРКЕСТАНСКАЯ</v>
      </c>
      <c r="C607" s="12" t="str">
        <f aca="false">'РПН 01.08 по МО'!C605</f>
        <v>государственное коммунальное предприятие на праве хозяйственного ведения "Мактааральская районная больница "Атакент" управления здравоохранения Туркестанской области</v>
      </c>
      <c r="D607" s="12" t="str">
        <f aca="false">'РПН 01.08 по МО'!E605</f>
        <v>6144</v>
      </c>
      <c r="E607" s="12" t="str">
        <f aca="false">'РПН 01.08 по МО'!F605</f>
        <v>Мактааральский район</v>
      </c>
      <c r="F607" s="13" t="n">
        <f aca="false">'РПН 01.08 по МО'!D605</f>
        <v>50662</v>
      </c>
      <c r="G607" s="14" t="n">
        <f aca="false">INDEX('Расчет Кплотн'!$K:$K,MATCH(D607,'Расчет Кплотн'!$A:$A,0))</f>
        <v>1.0127</v>
      </c>
      <c r="H607" s="14" t="n">
        <f aca="false">INDEX('Расчет Кплотн'!$J:$J,MATCH(D607,'Расчет Кплотн'!$A:$A,0))</f>
        <v>1.0367</v>
      </c>
      <c r="I607" s="3" t="n">
        <f aca="false">F607*Моделирование!$F$3*M607*G607/1000</f>
        <v>1038115.6655479</v>
      </c>
      <c r="J607" s="3" t="n">
        <f aca="false">F607*Моделирование!$F$3*M607*H607/1000</f>
        <v>1062717.99197542</v>
      </c>
      <c r="K607" s="3" t="n">
        <f aca="false">J607-I607</f>
        <v>24602.32642752</v>
      </c>
      <c r="L607" s="4" t="n">
        <f aca="false">IFERROR(K607/I607,0)</f>
        <v>0.0236990224153254</v>
      </c>
      <c r="M607" s="15" t="n">
        <f aca="false">IF(INDEX('Расчет Кплотн'!$D:$D,MATCH(D607,'Расчет Кплотн'!$A:$A,0))="район",IFERROR(VLOOKUP(INDEX('Расчет Кплотн'!$B:$B,MATCH(D607,'Расчет Кплотн'!$A:$A,0)),'БКПН (приказ 170)'!$A$4:$C$10,3,FALSE()),Моделирование!$F$2),Моделирование!$F$2)</f>
        <v>1686.17</v>
      </c>
    </row>
    <row r="608" customFormat="false" ht="15" hidden="false" customHeight="false" outlineLevel="0" collapsed="false">
      <c r="A608" s="12" t="n">
        <v>603</v>
      </c>
      <c r="B608" s="12" t="str">
        <f aca="false">'РПН 01.08 по МО'!B606</f>
        <v>ТУРКЕСТАНСКАЯ</v>
      </c>
      <c r="C608" s="12" t="str">
        <f aca="false">'РПН 01.08 по МО'!C606</f>
        <v>ТОО "Da'rmen Clinic"</v>
      </c>
      <c r="D608" s="12" t="str">
        <f aca="false">'РПН 01.08 по МО'!E606</f>
        <v>6139</v>
      </c>
      <c r="E608" s="12" t="str">
        <f aca="false">'РПН 01.08 по МО'!F606</f>
        <v>Келесский район</v>
      </c>
      <c r="F608" s="13" t="n">
        <f aca="false">'РПН 01.08 по МО'!D606</f>
        <v>11846</v>
      </c>
      <c r="G608" s="14" t="n">
        <f aca="false">INDEX('Расчет Кплотн'!$K:$K,MATCH(D608,'Расчет Кплотн'!$A:$A,0))</f>
        <v>1.0537</v>
      </c>
      <c r="H608" s="14" t="n">
        <f aca="false">INDEX('Расчет Кплотн'!$J:$J,MATCH(D608,'Расчет Кплотн'!$A:$A,0))</f>
        <v>1.1695</v>
      </c>
      <c r="I608" s="3" t="n">
        <f aca="false">F608*Моделирование!$F$3*M608*G608/1000</f>
        <v>252563.921752008</v>
      </c>
      <c r="J608" s="3" t="n">
        <f aca="false">F608*Моделирование!$F$3*M608*H608/1000</f>
        <v>280320.30605388</v>
      </c>
      <c r="K608" s="3" t="n">
        <f aca="false">J608-I608</f>
        <v>27756.3843018719</v>
      </c>
      <c r="L608" s="4" t="n">
        <f aca="false">IFERROR(K608/I608,0)</f>
        <v>0.109898453070134</v>
      </c>
      <c r="M608" s="15" t="n">
        <f aca="false">IF(INDEX('Расчет Кплотн'!$D:$D,MATCH(D608,'Расчет Кплотн'!$A:$A,0))="район",IFERROR(VLOOKUP(INDEX('Расчет Кплотн'!$B:$B,MATCH(D608,'Расчет Кплотн'!$A:$A,0)),'БКПН (приказ 170)'!$A$4:$C$10,3,FALSE()),Моделирование!$F$2),Моделирование!$F$2)</f>
        <v>1686.17</v>
      </c>
    </row>
    <row r="609" customFormat="false" ht="15" hidden="false" customHeight="false" outlineLevel="0" collapsed="false">
      <c r="A609" s="12" t="n">
        <v>604</v>
      </c>
      <c r="B609" s="12" t="str">
        <f aca="false">'РПН 01.08 по МО'!B607</f>
        <v>ТУРКЕСТАНСКАЯ</v>
      </c>
      <c r="C609" s="12" t="str">
        <f aca="false">'РПН 01.08 по МО'!C607</f>
        <v>ТОО ""Медицинский центр "АЯЛА-МЕД""</v>
      </c>
      <c r="D609" s="12" t="str">
        <f aca="false">'РПН 01.08 по МО'!E607</f>
        <v>6146</v>
      </c>
      <c r="E609" s="12" t="str">
        <f aca="false">'РПН 01.08 по МО'!F607</f>
        <v>Ордабасынский район</v>
      </c>
      <c r="F609" s="13" t="n">
        <f aca="false">'РПН 01.08 по МО'!D607</f>
        <v>6438</v>
      </c>
      <c r="G609" s="14" t="n">
        <f aca="false">INDEX('Расчет Кплотн'!$K:$K,MATCH(D609,'Расчет Кплотн'!$A:$A,0))</f>
        <v>1.0433</v>
      </c>
      <c r="H609" s="14" t="n">
        <f aca="false">INDEX('Расчет Кплотн'!$J:$J,MATCH(D609,'Расчет Кплотн'!$A:$A,0))</f>
        <v>1.0956</v>
      </c>
      <c r="I609" s="3" t="n">
        <f aca="false">F609*Моделирование!$F$3*M609*G609/1000</f>
        <v>135907.299774216</v>
      </c>
      <c r="J609" s="3" t="n">
        <f aca="false">F609*Моделирование!$F$3*M609*H609/1000</f>
        <v>142720.250774112</v>
      </c>
      <c r="K609" s="3" t="n">
        <f aca="false">J609-I609</f>
        <v>6812.95099989598</v>
      </c>
      <c r="L609" s="4" t="n">
        <f aca="false">IFERROR(K609/I609,0)</f>
        <v>0.0501293971053387</v>
      </c>
      <c r="M609" s="15" t="n">
        <f aca="false">IF(INDEX('Расчет Кплотн'!$D:$D,MATCH(D609,'Расчет Кплотн'!$A:$A,0))="район",IFERROR(VLOOKUP(INDEX('Расчет Кплотн'!$B:$B,MATCH(D609,'Расчет Кплотн'!$A:$A,0)),'БКПН (приказ 170)'!$A$4:$C$10,3,FALSE()),Моделирование!$F$2),Моделирование!$F$2)</f>
        <v>1686.17</v>
      </c>
    </row>
    <row r="610" customFormat="false" ht="15" hidden="false" customHeight="false" outlineLevel="0" collapsed="false">
      <c r="A610" s="12" t="n">
        <v>605</v>
      </c>
      <c r="B610" s="12" t="str">
        <f aca="false">'РПН 01.08 по МО'!B608</f>
        <v>ТУРКЕСТАНСКАЯ</v>
      </c>
      <c r="C610" s="12" t="str">
        <f aca="false">'РПН 01.08 по МО'!C608</f>
        <v>Товарищество с ограниченной ответственностью "Мед Алатау"</v>
      </c>
      <c r="D610" s="12" t="str">
        <f aca="false">'РПН 01.08 по МО'!E608</f>
        <v>6160</v>
      </c>
      <c r="E610" s="12" t="str">
        <f aca="false">'РПН 01.08 по МО'!F608</f>
        <v>Тюлькубасский район</v>
      </c>
      <c r="F610" s="13" t="n">
        <f aca="false">'РПН 01.08 по МО'!D608</f>
        <v>10332</v>
      </c>
      <c r="G610" s="14" t="n">
        <f aca="false">INDEX('Расчет Кплотн'!$K:$K,MATCH(D610,'Расчет Кплотн'!$A:$A,0))</f>
        <v>1.0444</v>
      </c>
      <c r="H610" s="14" t="n">
        <f aca="false">INDEX('Расчет Кплотн'!$J:$J,MATCH(D610,'Расчет Кплотн'!$A:$A,0))</f>
        <v>1.1243</v>
      </c>
      <c r="I610" s="3" t="n">
        <f aca="false">F610*Моделирование!$F$3*M610*G610/1000</f>
        <v>218340.280976832</v>
      </c>
      <c r="J610" s="3" t="n">
        <f aca="false">F610*Моделирование!$F$3*M610*H610/1000</f>
        <v>235044.023269104</v>
      </c>
      <c r="K610" s="3" t="n">
        <f aca="false">J610-I610</f>
        <v>16703.742292272</v>
      </c>
      <c r="L610" s="4" t="n">
        <f aca="false">IFERROR(K610/I610,0)</f>
        <v>0.0765032554576791</v>
      </c>
      <c r="M610" s="15" t="n">
        <f aca="false">IF(INDEX('Расчет Кплотн'!$D:$D,MATCH(D610,'Расчет Кплотн'!$A:$A,0))="район",IFERROR(VLOOKUP(INDEX('Расчет Кплотн'!$B:$B,MATCH(D610,'Расчет Кплотн'!$A:$A,0)),'БКПН (приказ 170)'!$A$4:$C$10,3,FALSE()),Моделирование!$F$2),Моделирование!$F$2)</f>
        <v>1686.17</v>
      </c>
    </row>
    <row r="611" customFormat="false" ht="15" hidden="false" customHeight="false" outlineLevel="0" collapsed="false">
      <c r="A611" s="12" t="n">
        <v>606</v>
      </c>
      <c r="B611" s="12" t="str">
        <f aca="false">'РПН 01.08 по МО'!B609</f>
        <v>ТУРКЕСТАНСКАЯ</v>
      </c>
      <c r="C611" s="12" t="str">
        <f aca="false">'РПН 01.08 по МО'!C609</f>
        <v>ТОО "Dives Group"</v>
      </c>
      <c r="D611" s="12" t="str">
        <f aca="false">'РПН 01.08 по МО'!E609</f>
        <v>6154</v>
      </c>
      <c r="E611" s="12" t="str">
        <f aca="false">'РПН 01.08 по МО'!F609</f>
        <v>Сарыагашский район</v>
      </c>
      <c r="F611" s="13" t="n">
        <f aca="false">'РПН 01.08 по МО'!D609</f>
        <v>2490</v>
      </c>
      <c r="G611" s="14" t="n">
        <f aca="false">INDEX('Расчет Кплотн'!$K:$K,MATCH(D611,'Расчет Кплотн'!$A:$A,0))</f>
        <v>1.0393</v>
      </c>
      <c r="H611" s="14" t="n">
        <f aca="false">INDEX('Расчет Кплотн'!$J:$J,MATCH(D611,'Расчет Кплотн'!$A:$A,0))</f>
        <v>1.0872</v>
      </c>
      <c r="I611" s="3" t="n">
        <f aca="false">F611*Моделирование!$F$3*M611*G611/1000</f>
        <v>52362.80205228</v>
      </c>
      <c r="J611" s="3" t="n">
        <f aca="false">F611*Моделирование!$F$3*M611*H611/1000</f>
        <v>54776.13623712</v>
      </c>
      <c r="K611" s="3" t="n">
        <f aca="false">J611-I611</f>
        <v>2413.33418484001</v>
      </c>
      <c r="L611" s="4" t="n">
        <f aca="false">IFERROR(K611/I611,0)</f>
        <v>0.0460887135572021</v>
      </c>
      <c r="M611" s="15" t="n">
        <f aca="false">IF(INDEX('Расчет Кплотн'!$D:$D,MATCH(D611,'Расчет Кплотн'!$A:$A,0))="район",IFERROR(VLOOKUP(INDEX('Расчет Кплотн'!$B:$B,MATCH(D611,'Расчет Кплотн'!$A:$A,0)),'БКПН (приказ 170)'!$A$4:$C$10,3,FALSE()),Моделирование!$F$2),Моделирование!$F$2)</f>
        <v>1686.17</v>
      </c>
    </row>
    <row r="612" customFormat="false" ht="15" hidden="false" customHeight="false" outlineLevel="0" collapsed="false">
      <c r="A612" s="12" t="n">
        <v>607</v>
      </c>
      <c r="B612" s="12" t="str">
        <f aca="false">'РПН 01.08 по МО'!B610</f>
        <v>ТУРКЕСТАНСКАЯ</v>
      </c>
      <c r="C612" s="12" t="str">
        <f aca="false">'РПН 01.08 по МО'!C610</f>
        <v>Производственный кооператив "Нурболат"</v>
      </c>
      <c r="D612" s="12" t="str">
        <f aca="false">'РПН 01.08 по МО'!E610</f>
        <v>6154</v>
      </c>
      <c r="E612" s="12" t="str">
        <f aca="false">'РПН 01.08 по МО'!F610</f>
        <v>Сарыагашский район</v>
      </c>
      <c r="F612" s="13" t="n">
        <f aca="false">'РПН 01.08 по МО'!D610</f>
        <v>42839</v>
      </c>
      <c r="G612" s="14" t="n">
        <f aca="false">INDEX('Расчет Кплотн'!$K:$K,MATCH(D612,'Расчет Кплотн'!$A:$A,0))</f>
        <v>1.0393</v>
      </c>
      <c r="H612" s="14" t="n">
        <f aca="false">INDEX('Расчет Кплотн'!$J:$J,MATCH(D612,'Расчет Кплотн'!$A:$A,0))</f>
        <v>1.0872</v>
      </c>
      <c r="I612" s="3" t="n">
        <f aca="false">F612*Моделирование!$F$3*M612*G612/1000</f>
        <v>900871.516914708</v>
      </c>
      <c r="J612" s="3" t="n">
        <f aca="false">F612*Моделирование!$F$3*M612*H612/1000</f>
        <v>942391.526209632</v>
      </c>
      <c r="K612" s="3" t="n">
        <f aca="false">J612-I612</f>
        <v>41520.009294924</v>
      </c>
      <c r="L612" s="4" t="n">
        <f aca="false">IFERROR(K612/I612,0)</f>
        <v>0.0460887135572019</v>
      </c>
      <c r="M612" s="15" t="n">
        <f aca="false">IF(INDEX('Расчет Кплотн'!$D:$D,MATCH(D612,'Расчет Кплотн'!$A:$A,0))="район",IFERROR(VLOOKUP(INDEX('Расчет Кплотн'!$B:$B,MATCH(D612,'Расчет Кплотн'!$A:$A,0)),'БКПН (приказ 170)'!$A$4:$C$10,3,FALSE()),Моделирование!$F$2),Моделирование!$F$2)</f>
        <v>1686.17</v>
      </c>
    </row>
    <row r="613" customFormat="false" ht="15" hidden="false" customHeight="false" outlineLevel="0" collapsed="false">
      <c r="A613" s="12" t="n">
        <v>608</v>
      </c>
      <c r="B613" s="12" t="str">
        <f aca="false">'РПН 01.08 по МО'!B611</f>
        <v>ТУРКЕСТАНСКАЯ</v>
      </c>
      <c r="C613" s="12" t="str">
        <f aca="false">'РПН 01.08 по МО'!C611</f>
        <v>ПК "Торабтык аурухана"</v>
      </c>
      <c r="D613" s="12" t="str">
        <f aca="false">'РПН 01.08 по МО'!E611</f>
        <v>6116</v>
      </c>
      <c r="E613" s="12" t="str">
        <f aca="false">'РПН 01.08 по МО'!F611</f>
        <v>Арысь</v>
      </c>
      <c r="F613" s="13" t="n">
        <f aca="false">'РПН 01.08 по МО'!D611</f>
        <v>12697</v>
      </c>
      <c r="G613" s="14" t="n">
        <f aca="false">INDEX('Расчет Кплотн'!$K:$K,MATCH(D613,'Расчет Кплотн'!$A:$A,0))</f>
        <v>1.5</v>
      </c>
      <c r="H613" s="14" t="n">
        <f aca="false">INDEX('Расчет Кплотн'!$J:$J,MATCH(D613,'Расчет Кплотн'!$A:$A,0))</f>
        <v>1.5</v>
      </c>
      <c r="I613" s="3" t="n">
        <f aca="false">F613*Моделирование!$F$3*M613*G613/1000</f>
        <v>385367.40882</v>
      </c>
      <c r="J613" s="3" t="n">
        <f aca="false">F613*Моделирование!$F$3*M613*H613/1000</f>
        <v>385367.40882</v>
      </c>
      <c r="K613" s="3" t="n">
        <f aca="false">J613-I613</f>
        <v>0</v>
      </c>
      <c r="L613" s="4" t="n">
        <f aca="false">IFERROR(K613/I613,0)</f>
        <v>0</v>
      </c>
      <c r="M613" s="15" t="n">
        <f aca="false">IF(INDEX('Расчет Кплотн'!$D:$D,MATCH(D613,'Расчет Кплотн'!$A:$A,0))="район",IFERROR(VLOOKUP(INDEX('Расчет Кплотн'!$B:$B,MATCH(D613,'Расчет Кплотн'!$A:$A,0)),'БКПН (приказ 170)'!$A$4:$C$10,3,FALSE()),Моделирование!$F$2),Моделирование!$F$2)</f>
        <v>1686.17</v>
      </c>
    </row>
    <row r="614" customFormat="false" ht="15" hidden="false" customHeight="false" outlineLevel="0" collapsed="false">
      <c r="A614" s="12" t="n">
        <v>609</v>
      </c>
      <c r="B614" s="12" t="str">
        <f aca="false">'РПН 01.08 по МО'!B612</f>
        <v>ТУРКЕСТАНСКАЯ</v>
      </c>
      <c r="C614" s="12" t="str">
        <f aca="false">'РПН 01.08 по МО'!C612</f>
        <v>государственное коммунальное предприятие на праве хозяйственного ведения «Келесская районная больница «Абай» управления здравоохранения Туркестанской области</v>
      </c>
      <c r="D614" s="12" t="str">
        <f aca="false">'РПН 01.08 по МО'!E612</f>
        <v>6139</v>
      </c>
      <c r="E614" s="12" t="str">
        <f aca="false">'РПН 01.08 по МО'!F612</f>
        <v>Келесский район</v>
      </c>
      <c r="F614" s="13" t="n">
        <f aca="false">'РПН 01.08 по МО'!D612</f>
        <v>94300</v>
      </c>
      <c r="G614" s="14" t="n">
        <f aca="false">INDEX('Расчет Кплотн'!$K:$K,MATCH(D614,'Расчет Кплотн'!$A:$A,0))</f>
        <v>1.0537</v>
      </c>
      <c r="H614" s="14" t="n">
        <f aca="false">INDEX('Расчет Кплотн'!$J:$J,MATCH(D614,'Расчет Кплотн'!$A:$A,0))</f>
        <v>1.1695</v>
      </c>
      <c r="I614" s="3" t="n">
        <f aca="false">F614*Моделирование!$F$3*M614*G614/1000</f>
        <v>2010533.3294964</v>
      </c>
      <c r="J614" s="3" t="n">
        <f aca="false">F614*Моделирование!$F$3*M614*H614/1000</f>
        <v>2231487.832254</v>
      </c>
      <c r="K614" s="3" t="n">
        <f aca="false">J614-I614</f>
        <v>220954.5027576</v>
      </c>
      <c r="L614" s="4" t="n">
        <f aca="false">IFERROR(K614/I614,0)</f>
        <v>0.109898453070134</v>
      </c>
      <c r="M614" s="15" t="n">
        <f aca="false">IF(INDEX('Расчет Кплотн'!$D:$D,MATCH(D614,'Расчет Кплотн'!$A:$A,0))="район",IFERROR(VLOOKUP(INDEX('Расчет Кплотн'!$B:$B,MATCH(D614,'Расчет Кплотн'!$A:$A,0)),'БКПН (приказ 170)'!$A$4:$C$10,3,FALSE()),Моделирование!$F$2),Моделирование!$F$2)</f>
        <v>1686.17</v>
      </c>
    </row>
    <row r="615" customFormat="false" ht="15" hidden="false" customHeight="false" outlineLevel="0" collapsed="false">
      <c r="A615" s="12" t="n">
        <v>610</v>
      </c>
      <c r="B615" s="12" t="str">
        <f aca="false">'РПН 01.08 по МО'!B613</f>
        <v>ТУРКЕСТАНСКАЯ</v>
      </c>
      <c r="C615" s="12" t="str">
        <f aca="false">'РПН 01.08 по МО'!C613</f>
        <v>государственное коммунальное предприятие на праве хозяйственного ведения «Жетысайская районная больница «Асыката» управления здравоохранения Туркестанской области</v>
      </c>
      <c r="D615" s="12" t="str">
        <f aca="false">'РПН 01.08 по МО'!E613</f>
        <v>6138</v>
      </c>
      <c r="E615" s="12" t="str">
        <f aca="false">'РПН 01.08 по МО'!F613</f>
        <v>Жетысайский район</v>
      </c>
      <c r="F615" s="13" t="n">
        <f aca="false">'РПН 01.08 по МО'!D613</f>
        <v>77138</v>
      </c>
      <c r="G615" s="14" t="n">
        <f aca="false">INDEX('Расчет Кплотн'!$K:$K,MATCH(D615,'Расчет Кплотн'!$A:$A,0))</f>
        <v>1.011</v>
      </c>
      <c r="H615" s="14" t="n">
        <f aca="false">INDEX('Расчет Кплотн'!$J:$J,MATCH(D615,'Расчет Кплотн'!$A:$A,0))</f>
        <v>1.0313</v>
      </c>
      <c r="I615" s="3" t="n">
        <f aca="false">F615*Моделирование!$F$3*M615*G615/1000</f>
        <v>1577982.32467272</v>
      </c>
      <c r="J615" s="3" t="n">
        <f aca="false">F615*Моделирование!$F$3*M615*H615/1000</f>
        <v>1609666.83623638</v>
      </c>
      <c r="K615" s="3" t="n">
        <f aca="false">J615-I615</f>
        <v>31684.5115636564</v>
      </c>
      <c r="L615" s="4" t="n">
        <f aca="false">IFERROR(K615/I615,0)</f>
        <v>0.0200791295746788</v>
      </c>
      <c r="M615" s="15" t="n">
        <f aca="false">IF(INDEX('Расчет Кплотн'!$D:$D,MATCH(D615,'Расчет Кплотн'!$A:$A,0))="район",IFERROR(VLOOKUP(INDEX('Расчет Кплотн'!$B:$B,MATCH(D615,'Расчет Кплотн'!$A:$A,0)),'БКПН (приказ 170)'!$A$4:$C$10,3,FALSE()),Моделирование!$F$2),Моделирование!$F$2)</f>
        <v>1686.17</v>
      </c>
    </row>
    <row r="616" customFormat="false" ht="15" hidden="false" customHeight="false" outlineLevel="0" collapsed="false">
      <c r="A616" s="12" t="n">
        <v>611</v>
      </c>
      <c r="B616" s="12" t="str">
        <f aca="false">'РПН 01.08 по МО'!B614</f>
        <v>ТУРКЕСТАНСКАЯ</v>
      </c>
      <c r="C616" s="12" t="str">
        <f aca="false">'РПН 01.08 по МО'!C614</f>
        <v>Государственное коммунальное предприятие на праве хозяйственного ведения "Сайрамская центральная районная больница" управления здравоохранения Туркестанской области</v>
      </c>
      <c r="D616" s="12" t="str">
        <f aca="false">'РПН 01.08 по МО'!E614</f>
        <v>6152</v>
      </c>
      <c r="E616" s="12" t="str">
        <f aca="false">'РПН 01.08 по МО'!F614</f>
        <v>Сайрамский район</v>
      </c>
      <c r="F616" s="13" t="n">
        <f aca="false">'РПН 01.08 по МО'!D614</f>
        <v>112711</v>
      </c>
      <c r="G616" s="14" t="n">
        <f aca="false">INDEX('Расчет Кплотн'!$K:$K,MATCH(D616,'Расчет Кплотн'!$A:$A,0))</f>
        <v>1.0097</v>
      </c>
      <c r="H616" s="14" t="n">
        <f aca="false">INDEX('Расчет Кплотн'!$J:$J,MATCH(D616,'Расчет Кплотн'!$A:$A,0))</f>
        <v>1.0211</v>
      </c>
      <c r="I616" s="3" t="n">
        <f aca="false">F616*Моделирование!$F$3*M616*G616/1000</f>
        <v>2302720.69159967</v>
      </c>
      <c r="J616" s="3" t="n">
        <f aca="false">F616*Моделирование!$F$3*M616*H616/1000</f>
        <v>2328719.51885948</v>
      </c>
      <c r="K616" s="3" t="n">
        <f aca="false">J616-I616</f>
        <v>25998.8272598158</v>
      </c>
      <c r="L616" s="4" t="n">
        <f aca="false">IFERROR(K616/I616,0)</f>
        <v>0.0112904823214815</v>
      </c>
      <c r="M616" s="15" t="n">
        <f aca="false">IF(INDEX('Расчет Кплотн'!$D:$D,MATCH(D616,'Расчет Кплотн'!$A:$A,0))="район",IFERROR(VLOOKUP(INDEX('Расчет Кплотн'!$B:$B,MATCH(D616,'Расчет Кплотн'!$A:$A,0)),'БКПН (приказ 170)'!$A$4:$C$10,3,FALSE()),Моделирование!$F$2),Моделирование!$F$2)</f>
        <v>1686.17</v>
      </c>
    </row>
    <row r="617" customFormat="false" ht="15" hidden="false" customHeight="false" outlineLevel="0" collapsed="false">
      <c r="A617" s="12" t="n">
        <v>612</v>
      </c>
      <c r="B617" s="12" t="str">
        <f aca="false">'РПН 01.08 по МО'!B615</f>
        <v>ТУРКЕСТАНСКАЯ</v>
      </c>
      <c r="C617" s="12" t="str">
        <f aca="false">'РПН 01.08 по МО'!C615</f>
        <v>Государственное коммунальное предприятие на праве хозяйственного ведения "Ордабасинская многопрофильная центральная районная больница" управления здравоохранения Туркестанской области</v>
      </c>
      <c r="D617" s="12" t="str">
        <f aca="false">'РПН 01.08 по МО'!E615</f>
        <v>6146</v>
      </c>
      <c r="E617" s="12" t="str">
        <f aca="false">'РПН 01.08 по МО'!F615</f>
        <v>Ордабасынский район</v>
      </c>
      <c r="F617" s="13" t="n">
        <f aca="false">'РПН 01.08 по МО'!D615</f>
        <v>82011</v>
      </c>
      <c r="G617" s="14" t="n">
        <f aca="false">INDEX('Расчет Кплотн'!$K:$K,MATCH(D617,'Расчет Кплотн'!$A:$A,0))</f>
        <v>1.0433</v>
      </c>
      <c r="H617" s="14" t="n">
        <f aca="false">INDEX('Расчет Кплотн'!$J:$J,MATCH(D617,'Расчет Кплотн'!$A:$A,0))</f>
        <v>1.0956</v>
      </c>
      <c r="I617" s="3" t="n">
        <f aca="false">F617*Моделирование!$F$3*M617*G617/1000</f>
        <v>1731266.47433725</v>
      </c>
      <c r="J617" s="3" t="n">
        <f aca="false">F617*Моделирование!$F$3*M617*H617/1000</f>
        <v>1818053.81892446</v>
      </c>
      <c r="K617" s="3" t="n">
        <f aca="false">J617-I617</f>
        <v>86787.3445872122</v>
      </c>
      <c r="L617" s="4" t="n">
        <f aca="false">IFERROR(K617/I617,0)</f>
        <v>0.0501293971053389</v>
      </c>
      <c r="M617" s="15" t="n">
        <f aca="false">IF(INDEX('Расчет Кплотн'!$D:$D,MATCH(D617,'Расчет Кплотн'!$A:$A,0))="район",IFERROR(VLOOKUP(INDEX('Расчет Кплотн'!$B:$B,MATCH(D617,'Расчет Кплотн'!$A:$A,0)),'БКПН (приказ 170)'!$A$4:$C$10,3,FALSE()),Моделирование!$F$2),Моделирование!$F$2)</f>
        <v>1686.17</v>
      </c>
    </row>
    <row r="618" customFormat="false" ht="15" hidden="false" customHeight="false" outlineLevel="0" collapsed="false">
      <c r="A618" s="12" t="n">
        <v>613</v>
      </c>
      <c r="B618" s="12" t="str">
        <f aca="false">'РПН 01.08 по МО'!B616</f>
        <v>ТУРКЕСТАНСКАЯ</v>
      </c>
      <c r="C618" s="12" t="str">
        <f aca="false">'РПН 01.08 по МО'!C616</f>
        <v>Товарищество с ограниченной ответственностью "Äl Käusär"</v>
      </c>
      <c r="D618" s="12" t="str">
        <f aca="false">'РПН 01.08 по МО'!E616</f>
        <v>6120</v>
      </c>
      <c r="E618" s="12" t="str">
        <f aca="false">'РПН 01.08 по МО'!F616</f>
        <v>Кентау</v>
      </c>
      <c r="F618" s="13" t="n">
        <f aca="false">'РПН 01.08 по МО'!D616</f>
        <v>6095</v>
      </c>
      <c r="G618" s="14" t="n">
        <f aca="false">INDEX('Расчет Кплотн'!$K:$K,MATCH(D618,'Расчет Кплотн'!$A:$A,0))</f>
        <v>1.5</v>
      </c>
      <c r="H618" s="14" t="n">
        <f aca="false">INDEX('Расчет Кплотн'!$J:$J,MATCH(D618,'Расчет Кплотн'!$A:$A,0))</f>
        <v>1.5</v>
      </c>
      <c r="I618" s="3" t="n">
        <f aca="false">F618*Моделирование!$F$3*M618*G618/1000</f>
        <v>184989.7107</v>
      </c>
      <c r="J618" s="3" t="n">
        <f aca="false">F618*Моделирование!$F$3*M618*H618/1000</f>
        <v>184989.7107</v>
      </c>
      <c r="K618" s="3" t="n">
        <f aca="false">J618-I618</f>
        <v>0</v>
      </c>
      <c r="L618" s="4" t="n">
        <f aca="false">IFERROR(K618/I618,0)</f>
        <v>0</v>
      </c>
      <c r="M618" s="15" t="n">
        <f aca="false">IF(INDEX('Расчет Кплотн'!$D:$D,MATCH(D618,'Расчет Кплотн'!$A:$A,0))="район",IFERROR(VLOOKUP(INDEX('Расчет Кплотн'!$B:$B,MATCH(D618,'Расчет Кплотн'!$A:$A,0)),'БКПН (приказ 170)'!$A$4:$C$10,3,FALSE()),Моделирование!$F$2),Моделирование!$F$2)</f>
        <v>1686.17</v>
      </c>
    </row>
    <row r="619" customFormat="false" ht="15" hidden="false" customHeight="false" outlineLevel="0" collapsed="false">
      <c r="A619" s="12" t="n">
        <v>614</v>
      </c>
      <c r="B619" s="12" t="str">
        <f aca="false">'РПН 01.08 по МО'!B617</f>
        <v>ҰЛЫТАУ</v>
      </c>
      <c r="C619" s="12" t="str">
        <f aca="false">'РПН 01.08 по МО'!C617</f>
        <v>ТОО "ЖезДенсаулық"</v>
      </c>
      <c r="D619" s="12" t="str">
        <f aca="false">'РПН 01.08 по МО'!E617</f>
        <v>6210</v>
      </c>
      <c r="E619" s="12" t="str">
        <f aca="false">'РПН 01.08 по МО'!F617</f>
        <v>Жезказган</v>
      </c>
      <c r="F619" s="13" t="n">
        <f aca="false">'РПН 01.08 по МО'!D617</f>
        <v>10454</v>
      </c>
      <c r="G619" s="14" t="n">
        <f aca="false">INDEX('Расчет Кплотн'!$K:$K,MATCH(D619,'Расчет Кплотн'!$A:$A,0))</f>
        <v>1</v>
      </c>
      <c r="H619" s="14" t="n">
        <f aca="false">INDEX('Расчет Кплотн'!$J:$J,MATCH(D619,'Расчет Кплотн'!$A:$A,0))</f>
        <v>1</v>
      </c>
      <c r="I619" s="3" t="n">
        <f aca="false">F619*Моделирование!$F$3*M619*G619/1000</f>
        <v>211526.65416</v>
      </c>
      <c r="J619" s="3" t="n">
        <f aca="false">F619*Моделирование!$F$3*M619*H619/1000</f>
        <v>211526.65416</v>
      </c>
      <c r="K619" s="3" t="n">
        <f aca="false">J619-I619</f>
        <v>0</v>
      </c>
      <c r="L619" s="4" t="n">
        <f aca="false">IFERROR(K619/I619,0)</f>
        <v>0</v>
      </c>
      <c r="M619" s="15" t="n">
        <f aca="false">IF(INDEX('Расчет Кплотн'!$D:$D,MATCH(D619,'Расчет Кплотн'!$A:$A,0))="район",IFERROR(VLOOKUP(INDEX('Расчет Кплотн'!$B:$B,MATCH(D619,'Расчет Кплотн'!$A:$A,0)),'БКПН (приказ 170)'!$A$4:$C$10,3,FALSE()),Моделирование!$F$2),Моделирование!$F$2)</f>
        <v>1686.17</v>
      </c>
    </row>
    <row r="620" customFormat="false" ht="15" hidden="false" customHeight="false" outlineLevel="0" collapsed="false">
      <c r="A620" s="12" t="n">
        <v>615</v>
      </c>
      <c r="B620" s="12" t="str">
        <f aca="false">'РПН 01.08 по МО'!B618</f>
        <v>ҰЛЫТАУ</v>
      </c>
      <c r="C620" s="12" t="str">
        <f aca="false">'РПН 01.08 по МО'!C618</f>
        <v>ТОО "ХорЛаН"</v>
      </c>
      <c r="D620" s="12" t="str">
        <f aca="false">'РПН 01.08 по МО'!E618</f>
        <v>6210</v>
      </c>
      <c r="E620" s="12" t="str">
        <f aca="false">'РПН 01.08 по МО'!F618</f>
        <v>Жезказган</v>
      </c>
      <c r="F620" s="13" t="n">
        <f aca="false">'РПН 01.08 по МО'!D618</f>
        <v>11672</v>
      </c>
      <c r="G620" s="14" t="n">
        <f aca="false">INDEX('Расчет Кплотн'!$K:$K,MATCH(D620,'Расчет Кплотн'!$A:$A,0))</f>
        <v>1</v>
      </c>
      <c r="H620" s="14" t="n">
        <f aca="false">INDEX('Расчет Кплотн'!$J:$J,MATCH(D620,'Расчет Кплотн'!$A:$A,0))</f>
        <v>1</v>
      </c>
      <c r="I620" s="3" t="n">
        <f aca="false">F620*Моделирование!$F$3*M620*G620/1000</f>
        <v>236171.71488</v>
      </c>
      <c r="J620" s="3" t="n">
        <f aca="false">F620*Моделирование!$F$3*M620*H620/1000</f>
        <v>236171.71488</v>
      </c>
      <c r="K620" s="3" t="n">
        <f aca="false">J620-I620</f>
        <v>0</v>
      </c>
      <c r="L620" s="4" t="n">
        <f aca="false">IFERROR(K620/I620,0)</f>
        <v>0</v>
      </c>
      <c r="M620" s="15" t="n">
        <f aca="false">IF(INDEX('Расчет Кплотн'!$D:$D,MATCH(D620,'Расчет Кплотн'!$A:$A,0))="район",IFERROR(VLOOKUP(INDEX('Расчет Кплотн'!$B:$B,MATCH(D620,'Расчет Кплотн'!$A:$A,0)),'БКПН (приказ 170)'!$A$4:$C$10,3,FALSE()),Моделирование!$F$2),Моделирование!$F$2)</f>
        <v>1686.17</v>
      </c>
    </row>
    <row r="621" customFormat="false" ht="15" hidden="false" customHeight="false" outlineLevel="0" collapsed="false">
      <c r="A621" s="12" t="n">
        <v>616</v>
      </c>
      <c r="B621" s="12" t="str">
        <f aca="false">'РПН 01.08 по МО'!B619</f>
        <v>ҰЛЫТАУ</v>
      </c>
      <c r="C621" s="12" t="str">
        <f aca="false">'РПН 01.08 по МО'!C619</f>
        <v>ТОО "Медицинский центр Жезказган"</v>
      </c>
      <c r="D621" s="12" t="str">
        <f aca="false">'РПН 01.08 по МО'!E619</f>
        <v>6210</v>
      </c>
      <c r="E621" s="12" t="str">
        <f aca="false">'РПН 01.08 по МО'!F619</f>
        <v>Жезказган</v>
      </c>
      <c r="F621" s="13" t="n">
        <f aca="false">'РПН 01.08 по МО'!D619</f>
        <v>34905</v>
      </c>
      <c r="G621" s="14" t="n">
        <f aca="false">INDEX('Расчет Кплотн'!$K:$K,MATCH(D621,'Расчет Кплотн'!$A:$A,0))</f>
        <v>1</v>
      </c>
      <c r="H621" s="14" t="n">
        <f aca="false">INDEX('Расчет Кплотн'!$J:$J,MATCH(D621,'Расчет Кплотн'!$A:$A,0))</f>
        <v>1</v>
      </c>
      <c r="I621" s="3" t="n">
        <f aca="false">F621*Моделирование!$F$3*M621*G621/1000</f>
        <v>706269.1662</v>
      </c>
      <c r="J621" s="3" t="n">
        <f aca="false">F621*Моделирование!$F$3*M621*H621/1000</f>
        <v>706269.1662</v>
      </c>
      <c r="K621" s="3" t="n">
        <f aca="false">J621-I621</f>
        <v>0</v>
      </c>
      <c r="L621" s="4" t="n">
        <f aca="false">IFERROR(K621/I621,0)</f>
        <v>0</v>
      </c>
      <c r="M621" s="15" t="n">
        <f aca="false">IF(INDEX('Расчет Кплотн'!$D:$D,MATCH(D621,'Расчет Кплотн'!$A:$A,0))="район",IFERROR(VLOOKUP(INDEX('Расчет Кплотн'!$B:$B,MATCH(D621,'Расчет Кплотн'!$A:$A,0)),'БКПН (приказ 170)'!$A$4:$C$10,3,FALSE()),Моделирование!$F$2),Моделирование!$F$2)</f>
        <v>1686.17</v>
      </c>
    </row>
    <row r="622" customFormat="false" ht="15" hidden="false" customHeight="false" outlineLevel="0" collapsed="false">
      <c r="A622" s="12" t="n">
        <v>617</v>
      </c>
      <c r="B622" s="12" t="str">
        <f aca="false">'РПН 01.08 по МО'!B620</f>
        <v>ҰЛЫТАУ</v>
      </c>
      <c r="C622" s="12" t="str">
        <f aca="false">'РПН 01.08 по МО'!C620</f>
        <v>ТОО "Макенбаева"</v>
      </c>
      <c r="D622" s="12" t="str">
        <f aca="false">'РПН 01.08 по МО'!E620</f>
        <v>6210</v>
      </c>
      <c r="E622" s="12" t="str">
        <f aca="false">'РПН 01.08 по МО'!F620</f>
        <v>Жезказган</v>
      </c>
      <c r="F622" s="13" t="n">
        <f aca="false">'РПН 01.08 по МО'!D620</f>
        <v>12997</v>
      </c>
      <c r="G622" s="14" t="n">
        <f aca="false">INDEX('Расчет Кплотн'!$K:$K,MATCH(D622,'Расчет Кплотн'!$A:$A,0))</f>
        <v>1</v>
      </c>
      <c r="H622" s="14" t="n">
        <f aca="false">INDEX('Расчет Кплотн'!$J:$J,MATCH(D622,'Расчет Кплотн'!$A:$A,0))</f>
        <v>1</v>
      </c>
      <c r="I622" s="3" t="n">
        <f aca="false">F622*Моделирование!$F$3*M622*G622/1000</f>
        <v>262981.81788</v>
      </c>
      <c r="J622" s="3" t="n">
        <f aca="false">F622*Моделирование!$F$3*M622*H622/1000</f>
        <v>262981.81788</v>
      </c>
      <c r="K622" s="3" t="n">
        <f aca="false">J622-I622</f>
        <v>0</v>
      </c>
      <c r="L622" s="4" t="n">
        <f aca="false">IFERROR(K622/I622,0)</f>
        <v>0</v>
      </c>
      <c r="M622" s="15" t="n">
        <f aca="false">IF(INDEX('Расчет Кплотн'!$D:$D,MATCH(D622,'Расчет Кплотн'!$A:$A,0))="район",IFERROR(VLOOKUP(INDEX('Расчет Кплотн'!$B:$B,MATCH(D622,'Расчет Кплотн'!$A:$A,0)),'БКПН (приказ 170)'!$A$4:$C$10,3,FALSE()),Моделирование!$F$2),Моделирование!$F$2)</f>
        <v>1686.17</v>
      </c>
    </row>
    <row r="623" customFormat="false" ht="15" hidden="false" customHeight="false" outlineLevel="0" collapsed="false">
      <c r="A623" s="12" t="n">
        <v>618</v>
      </c>
      <c r="B623" s="12" t="str">
        <f aca="false">'РПН 01.08 по МО'!B621</f>
        <v>ҰЛЫТАУ</v>
      </c>
      <c r="C623" s="12" t="str">
        <f aca="false">'РПН 01.08 по МО'!C621</f>
        <v>ТОО "Лекерова"</v>
      </c>
      <c r="D623" s="12" t="str">
        <f aca="false">'РПН 01.08 по МО'!E621</f>
        <v>6220</v>
      </c>
      <c r="E623" s="12" t="str">
        <f aca="false">'РПН 01.08 по МО'!F621</f>
        <v>Сатпаев</v>
      </c>
      <c r="F623" s="13" t="n">
        <f aca="false">'РПН 01.08 по МО'!D621</f>
        <v>9278</v>
      </c>
      <c r="G623" s="14" t="n">
        <f aca="false">INDEX('Расчет Кплотн'!$K:$K,MATCH(D623,'Расчет Кплотн'!$A:$A,0))</f>
        <v>1.5</v>
      </c>
      <c r="H623" s="14" t="n">
        <f aca="false">INDEX('Расчет Кплотн'!$J:$J,MATCH(D623,'Расчет Кплотн'!$A:$A,0))</f>
        <v>1.5</v>
      </c>
      <c r="I623" s="3" t="n">
        <f aca="false">F623*Моделирование!$F$3*M623*G623/1000</f>
        <v>281597.13468</v>
      </c>
      <c r="J623" s="3" t="n">
        <f aca="false">F623*Моделирование!$F$3*M623*H623/1000</f>
        <v>281597.13468</v>
      </c>
      <c r="K623" s="3" t="n">
        <f aca="false">J623-I623</f>
        <v>0</v>
      </c>
      <c r="L623" s="4" t="n">
        <f aca="false">IFERROR(K623/I623,0)</f>
        <v>0</v>
      </c>
      <c r="M623" s="15" t="n">
        <f aca="false">IF(INDEX('Расчет Кплотн'!$D:$D,MATCH(D623,'Расчет Кплотн'!$A:$A,0))="район",IFERROR(VLOOKUP(INDEX('Расчет Кплотн'!$B:$B,MATCH(D623,'Расчет Кплотн'!$A:$A,0)),'БКПН (приказ 170)'!$A$4:$C$10,3,FALSE()),Моделирование!$F$2),Моделирование!$F$2)</f>
        <v>1686.17</v>
      </c>
    </row>
    <row r="624" customFormat="false" ht="15" hidden="false" customHeight="false" outlineLevel="0" collapsed="false">
      <c r="A624" s="12" t="n">
        <v>619</v>
      </c>
      <c r="B624" s="12" t="str">
        <f aca="false">'РПН 01.08 по МО'!B622</f>
        <v>ҰЛЫТАУ</v>
      </c>
      <c r="C624" s="12" t="str">
        <f aca="false">'РПН 01.08 по МО'!C622</f>
        <v>ТОО "Кошумбаева"</v>
      </c>
      <c r="D624" s="12" t="str">
        <f aca="false">'РПН 01.08 по МО'!E622</f>
        <v>6210</v>
      </c>
      <c r="E624" s="12" t="str">
        <f aca="false">'РПН 01.08 по МО'!F622</f>
        <v>Жезказган</v>
      </c>
      <c r="F624" s="13" t="n">
        <f aca="false">'РПН 01.08 по МО'!D622</f>
        <v>6656</v>
      </c>
      <c r="G624" s="14" t="n">
        <f aca="false">INDEX('Расчет Кплотн'!$K:$K,MATCH(D624,'Расчет Кплотн'!$A:$A,0))</f>
        <v>1</v>
      </c>
      <c r="H624" s="14" t="n">
        <f aca="false">INDEX('Расчет Кплотн'!$J:$J,MATCH(D624,'Расчет Кплотн'!$A:$A,0))</f>
        <v>1</v>
      </c>
      <c r="I624" s="3" t="n">
        <f aca="false">F624*Моделирование!$F$3*M624*G624/1000</f>
        <v>134677.77024</v>
      </c>
      <c r="J624" s="3" t="n">
        <f aca="false">F624*Моделирование!$F$3*M624*H624/1000</f>
        <v>134677.77024</v>
      </c>
      <c r="K624" s="3" t="n">
        <f aca="false">J624-I624</f>
        <v>0</v>
      </c>
      <c r="L624" s="4" t="n">
        <f aca="false">IFERROR(K624/I624,0)</f>
        <v>0</v>
      </c>
      <c r="M624" s="15" t="n">
        <f aca="false">IF(INDEX('Расчет Кплотн'!$D:$D,MATCH(D624,'Расчет Кплотн'!$A:$A,0))="район",IFERROR(VLOOKUP(INDEX('Расчет Кплотн'!$B:$B,MATCH(D624,'Расчет Кплотн'!$A:$A,0)),'БКПН (приказ 170)'!$A$4:$C$10,3,FALSE()),Моделирование!$F$2),Моделирование!$F$2)</f>
        <v>1686.17</v>
      </c>
    </row>
    <row r="625" customFormat="false" ht="15" hidden="false" customHeight="false" outlineLevel="0" collapsed="false">
      <c r="A625" s="12" t="n">
        <v>620</v>
      </c>
      <c r="B625" s="12" t="str">
        <f aca="false">'РПН 01.08 по МО'!B623</f>
        <v>ҰЛЫТАУ</v>
      </c>
      <c r="C625" s="12" t="str">
        <f aca="false">'РПН 01.08 по МО'!C623</f>
        <v>ТОО "Журек"</v>
      </c>
      <c r="D625" s="12" t="str">
        <f aca="false">'РПН 01.08 по МО'!E623</f>
        <v>6210</v>
      </c>
      <c r="E625" s="12" t="str">
        <f aca="false">'РПН 01.08 по МО'!F623</f>
        <v>Жезказган</v>
      </c>
      <c r="F625" s="13" t="n">
        <f aca="false">'РПН 01.08 по МО'!D623</f>
        <v>9735</v>
      </c>
      <c r="G625" s="14" t="n">
        <f aca="false">INDEX('Расчет Кплотн'!$K:$K,MATCH(D625,'Расчет Кплотн'!$A:$A,0))</f>
        <v>1</v>
      </c>
      <c r="H625" s="14" t="n">
        <f aca="false">INDEX('Расчет Кплотн'!$J:$J,MATCH(D625,'Расчет Кплотн'!$A:$A,0))</f>
        <v>1</v>
      </c>
      <c r="I625" s="3" t="n">
        <f aca="false">F625*Моделирование!$F$3*M625*G625/1000</f>
        <v>196978.3794</v>
      </c>
      <c r="J625" s="3" t="n">
        <f aca="false">F625*Моделирование!$F$3*M625*H625/1000</f>
        <v>196978.3794</v>
      </c>
      <c r="K625" s="3" t="n">
        <f aca="false">J625-I625</f>
        <v>0</v>
      </c>
      <c r="L625" s="4" t="n">
        <f aca="false">IFERROR(K625/I625,0)</f>
        <v>0</v>
      </c>
      <c r="M625" s="15" t="n">
        <f aca="false">IF(INDEX('Расчет Кплотн'!$D:$D,MATCH(D625,'Расчет Кплотн'!$A:$A,0))="район",IFERROR(VLOOKUP(INDEX('Расчет Кплотн'!$B:$B,MATCH(D625,'Расчет Кплотн'!$A:$A,0)),'БКПН (приказ 170)'!$A$4:$C$10,3,FALSE()),Моделирование!$F$2),Моделирование!$F$2)</f>
        <v>1686.17</v>
      </c>
    </row>
    <row r="626" customFormat="false" ht="15" hidden="false" customHeight="false" outlineLevel="0" collapsed="false">
      <c r="A626" s="12" t="n">
        <v>621</v>
      </c>
      <c r="B626" s="12" t="str">
        <f aca="false">'РПН 01.08 по МО'!B624</f>
        <v>ҰЛЫТАУ</v>
      </c>
      <c r="C626" s="12" t="str">
        <f aca="false">'РПН 01.08 по МО'!C624</f>
        <v>ТОО "Бексейтова Н.А."</v>
      </c>
      <c r="D626" s="12" t="str">
        <f aca="false">'РПН 01.08 по МО'!E624</f>
        <v>6210</v>
      </c>
      <c r="E626" s="12" t="str">
        <f aca="false">'РПН 01.08 по МО'!F624</f>
        <v>Жезказган</v>
      </c>
      <c r="F626" s="13" t="n">
        <f aca="false">'РПН 01.08 по МО'!D624</f>
        <v>5700</v>
      </c>
      <c r="G626" s="14" t="n">
        <f aca="false">INDEX('Расчет Кплотн'!$K:$K,MATCH(D626,'Расчет Кплотн'!$A:$A,0))</f>
        <v>1</v>
      </c>
      <c r="H626" s="14" t="n">
        <f aca="false">INDEX('Расчет Кплотн'!$J:$J,MATCH(D626,'Расчет Кплотн'!$A:$A,0))</f>
        <v>1</v>
      </c>
      <c r="I626" s="3" t="n">
        <f aca="false">F626*Моделирование!$F$3*M626*G626/1000</f>
        <v>115334.028</v>
      </c>
      <c r="J626" s="3" t="n">
        <f aca="false">F626*Моделирование!$F$3*M626*H626/1000</f>
        <v>115334.028</v>
      </c>
      <c r="K626" s="3" t="n">
        <f aca="false">J626-I626</f>
        <v>0</v>
      </c>
      <c r="L626" s="4" t="n">
        <f aca="false">IFERROR(K626/I626,0)</f>
        <v>0</v>
      </c>
      <c r="M626" s="15" t="n">
        <f aca="false">IF(INDEX('Расчет Кплотн'!$D:$D,MATCH(D626,'Расчет Кплотн'!$A:$A,0))="район",IFERROR(VLOOKUP(INDEX('Расчет Кплотн'!$B:$B,MATCH(D626,'Расчет Кплотн'!$A:$A,0)),'БКПН (приказ 170)'!$A$4:$C$10,3,FALSE()),Моделирование!$F$2),Моделирование!$F$2)</f>
        <v>1686.17</v>
      </c>
    </row>
    <row r="627" customFormat="false" ht="15" hidden="false" customHeight="false" outlineLevel="0" collapsed="false">
      <c r="A627" s="12" t="n">
        <v>622</v>
      </c>
      <c r="B627" s="12" t="str">
        <f aca="false">'РПН 01.08 по МО'!B625</f>
        <v>ҰЛЫТАУ</v>
      </c>
      <c r="C627" s="12" t="str">
        <f aca="false">'РПН 01.08 по МО'!C625</f>
        <v>КГП на ПХВ «Поликлиника города Жезказган» управления здравоохранения области Ұлытау</v>
      </c>
      <c r="D627" s="12" t="str">
        <f aca="false">'РПН 01.08 по МО'!E625</f>
        <v>6210</v>
      </c>
      <c r="E627" s="12" t="str">
        <f aca="false">'РПН 01.08 по МО'!F625</f>
        <v>Жезказган</v>
      </c>
      <c r="F627" s="13" t="n">
        <f aca="false">'РПН 01.08 по МО'!D625</f>
        <v>14947</v>
      </c>
      <c r="G627" s="14" t="n">
        <f aca="false">INDEX('Расчет Кплотн'!$K:$K,MATCH(D627,'Расчет Кплотн'!$A:$A,0))</f>
        <v>1</v>
      </c>
      <c r="H627" s="14" t="n">
        <f aca="false">INDEX('Расчет Кплотн'!$J:$J,MATCH(D627,'Расчет Кплотн'!$A:$A,0))</f>
        <v>1</v>
      </c>
      <c r="I627" s="3" t="n">
        <f aca="false">F627*Моделирование!$F$3*M627*G627/1000</f>
        <v>302438.19588</v>
      </c>
      <c r="J627" s="3" t="n">
        <f aca="false">F627*Моделирование!$F$3*M627*H627/1000</f>
        <v>302438.19588</v>
      </c>
      <c r="K627" s="3" t="n">
        <f aca="false">J627-I627</f>
        <v>0</v>
      </c>
      <c r="L627" s="4" t="n">
        <f aca="false">IFERROR(K627/I627,0)</f>
        <v>0</v>
      </c>
      <c r="M627" s="15" t="n">
        <f aca="false">IF(INDEX('Расчет Кплотн'!$D:$D,MATCH(D627,'Расчет Кплотн'!$A:$A,0))="район",IFERROR(VLOOKUP(INDEX('Расчет Кплотн'!$B:$B,MATCH(D627,'Расчет Кплотн'!$A:$A,0)),'БКПН (приказ 170)'!$A$4:$C$10,3,FALSE()),Моделирование!$F$2),Моделирование!$F$2)</f>
        <v>1686.17</v>
      </c>
    </row>
    <row r="628" customFormat="false" ht="15" hidden="false" customHeight="false" outlineLevel="0" collapsed="false">
      <c r="A628" s="12" t="n">
        <v>623</v>
      </c>
      <c r="B628" s="12" t="str">
        <f aca="false">'РПН 01.08 по МО'!B626</f>
        <v>ҰЛЫТАУ</v>
      </c>
      <c r="C628" s="12" t="str">
        <f aca="false">'РПН 01.08 по МО'!C626</f>
        <v>ТОО "Абильдинова"</v>
      </c>
      <c r="D628" s="12" t="str">
        <f aca="false">'РПН 01.08 по МО'!E626</f>
        <v>6210</v>
      </c>
      <c r="E628" s="12" t="str">
        <f aca="false">'РПН 01.08 по МО'!F626</f>
        <v>Жезказган</v>
      </c>
      <c r="F628" s="13" t="n">
        <f aca="false">'РПН 01.08 по МО'!D626</f>
        <v>6565</v>
      </c>
      <c r="G628" s="14" t="n">
        <f aca="false">INDEX('Расчет Кплотн'!$K:$K,MATCH(D628,'Расчет Кплотн'!$A:$A,0))</f>
        <v>1</v>
      </c>
      <c r="H628" s="14" t="n">
        <f aca="false">INDEX('Расчет Кплотн'!$J:$J,MATCH(D628,'Расчет Кплотн'!$A:$A,0))</f>
        <v>1</v>
      </c>
      <c r="I628" s="3" t="n">
        <f aca="false">F628*Моделирование!$F$3*M628*G628/1000</f>
        <v>132836.4726</v>
      </c>
      <c r="J628" s="3" t="n">
        <f aca="false">F628*Моделирование!$F$3*M628*H628/1000</f>
        <v>132836.4726</v>
      </c>
      <c r="K628" s="3" t="n">
        <f aca="false">J628-I628</f>
        <v>0</v>
      </c>
      <c r="L628" s="4" t="n">
        <f aca="false">IFERROR(K628/I628,0)</f>
        <v>0</v>
      </c>
      <c r="M628" s="15" t="n">
        <f aca="false">IF(INDEX('Расчет Кплотн'!$D:$D,MATCH(D628,'Расчет Кплотн'!$A:$A,0))="район",IFERROR(VLOOKUP(INDEX('Расчет Кплотн'!$B:$B,MATCH(D628,'Расчет Кплотн'!$A:$A,0)),'БКПН (приказ 170)'!$A$4:$C$10,3,FALSE()),Моделирование!$F$2),Моделирование!$F$2)</f>
        <v>1686.17</v>
      </c>
    </row>
    <row r="629" customFormat="false" ht="15" hidden="false" customHeight="false" outlineLevel="0" collapsed="false">
      <c r="A629" s="12" t="n">
        <v>624</v>
      </c>
      <c r="B629" s="12" t="str">
        <f aca="false">'РПН 01.08 по МО'!B627</f>
        <v>ҰЛЫТАУ</v>
      </c>
      <c r="C629" s="12" t="str">
        <f aca="false">'РПН 01.08 по МО'!C627</f>
        <v>КГП предприятие на праве хозяйственного ведения "Многопрофильная центральная районная больница Жанааркинского района" управления здравоохранения области Ұлытау</v>
      </c>
      <c r="D629" s="12" t="str">
        <f aca="false">'РПН 01.08 по МО'!E627</f>
        <v>6236</v>
      </c>
      <c r="E629" s="12" t="str">
        <f aca="false">'РПН 01.08 по МО'!F627</f>
        <v>Жанааркинский район</v>
      </c>
      <c r="F629" s="13" t="n">
        <f aca="false">'РПН 01.08 по МО'!D627</f>
        <v>27646</v>
      </c>
      <c r="G629" s="14" t="n">
        <f aca="false">INDEX('Расчет Кплотн'!$K:$K,MATCH(D629,'Расчет Кплотн'!$A:$A,0))</f>
        <v>2</v>
      </c>
      <c r="H629" s="14" t="n">
        <f aca="false">INDEX('Расчет Кплотн'!$J:$J,MATCH(D629,'Расчет Кплотн'!$A:$A,0))</f>
        <v>2</v>
      </c>
      <c r="I629" s="3" t="n">
        <f aca="false">F629*Моделирование!$F$3*M629*G629/1000</f>
        <v>1228086.18864</v>
      </c>
      <c r="J629" s="3" t="n">
        <f aca="false">F629*Моделирование!$F$3*M629*H629/1000</f>
        <v>1228086.18864</v>
      </c>
      <c r="K629" s="3" t="n">
        <f aca="false">J629-I629</f>
        <v>0</v>
      </c>
      <c r="L629" s="4" t="n">
        <f aca="false">IFERROR(K629/I629,0)</f>
        <v>0</v>
      </c>
      <c r="M629" s="15" t="n">
        <f aca="false">IF(INDEX('Расчет Кплотн'!$D:$D,MATCH(D629,'Расчет Кплотн'!$A:$A,0))="район",IFERROR(VLOOKUP(INDEX('Расчет Кплотн'!$B:$B,MATCH(D629,'Расчет Кплотн'!$A:$A,0)),'БКПН (приказ 170)'!$A$4:$C$10,3,FALSE()),Моделирование!$F$2),Моделирование!$F$2)</f>
        <v>1850.91</v>
      </c>
    </row>
    <row r="630" customFormat="false" ht="15" hidden="false" customHeight="false" outlineLevel="0" collapsed="false">
      <c r="A630" s="12" t="n">
        <v>625</v>
      </c>
      <c r="B630" s="12" t="str">
        <f aca="false">'РПН 01.08 по МО'!B628</f>
        <v>ҰЛЫТАУ</v>
      </c>
      <c r="C630" s="12" t="str">
        <f aca="false">'РПН 01.08 по МО'!C628</f>
        <v>ТОО "Ахметова"</v>
      </c>
      <c r="D630" s="12" t="str">
        <f aca="false">'РПН 01.08 по МО'!E628</f>
        <v>6220</v>
      </c>
      <c r="E630" s="12" t="str">
        <f aca="false">'РПН 01.08 по МО'!F628</f>
        <v>Сатпаев</v>
      </c>
      <c r="F630" s="13" t="n">
        <f aca="false">'РПН 01.08 по МО'!D628</f>
        <v>8241</v>
      </c>
      <c r="G630" s="14" t="n">
        <f aca="false">INDEX('Расчет Кплотн'!$K:$K,MATCH(D630,'Расчет Кплотн'!$A:$A,0))</f>
        <v>1.5</v>
      </c>
      <c r="H630" s="14" t="n">
        <f aca="false">INDEX('Расчет Кплотн'!$J:$J,MATCH(D630,'Расчет Кплотн'!$A:$A,0))</f>
        <v>1.5</v>
      </c>
      <c r="I630" s="3" t="n">
        <f aca="false">F630*Моделирование!$F$3*M630*G630/1000</f>
        <v>250123.08546</v>
      </c>
      <c r="J630" s="3" t="n">
        <f aca="false">F630*Моделирование!$F$3*M630*H630/1000</f>
        <v>250123.08546</v>
      </c>
      <c r="K630" s="3" t="n">
        <f aca="false">J630-I630</f>
        <v>0</v>
      </c>
      <c r="L630" s="4" t="n">
        <f aca="false">IFERROR(K630/I630,0)</f>
        <v>0</v>
      </c>
      <c r="M630" s="15" t="n">
        <f aca="false">IF(INDEX('Расчет Кплотн'!$D:$D,MATCH(D630,'Расчет Кплотн'!$A:$A,0))="район",IFERROR(VLOOKUP(INDEX('Расчет Кплотн'!$B:$B,MATCH(D630,'Расчет Кплотн'!$A:$A,0)),'БКПН (приказ 170)'!$A$4:$C$10,3,FALSE()),Моделирование!$F$2),Моделирование!$F$2)</f>
        <v>1686.17</v>
      </c>
    </row>
    <row r="631" customFormat="false" ht="15" hidden="false" customHeight="false" outlineLevel="0" collapsed="false">
      <c r="A631" s="12" t="n">
        <v>626</v>
      </c>
      <c r="B631" s="12" t="str">
        <f aca="false">'РПН 01.08 по МО'!B629</f>
        <v>ҰЛЫТАУ</v>
      </c>
      <c r="C631" s="12" t="str">
        <f aca="false">'РПН 01.08 по МО'!C629</f>
        <v>КГП на ПХВ "Больница Улытауского района" УЗОҰ</v>
      </c>
      <c r="D631" s="12" t="str">
        <f aca="false">'РПН 01.08 по МО'!E629</f>
        <v>6238</v>
      </c>
      <c r="E631" s="12" t="str">
        <f aca="false">'РПН 01.08 по МО'!F629</f>
        <v>Улытауский район</v>
      </c>
      <c r="F631" s="13" t="n">
        <f aca="false">'РПН 01.08 по МО'!D629</f>
        <v>8282</v>
      </c>
      <c r="G631" s="14" t="n">
        <f aca="false">INDEX('Расчет Кплотн'!$K:$K,MATCH(D631,'Расчет Кплотн'!$A:$A,0))</f>
        <v>2</v>
      </c>
      <c r="H631" s="14" t="n">
        <f aca="false">INDEX('Расчет Кплотн'!$J:$J,MATCH(D631,'Расчет Кплотн'!$A:$A,0))</f>
        <v>2</v>
      </c>
      <c r="I631" s="3" t="n">
        <f aca="false">F631*Моделирование!$F$3*M631*G631/1000</f>
        <v>367901.67888</v>
      </c>
      <c r="J631" s="3" t="n">
        <f aca="false">F631*Моделирование!$F$3*M631*H631/1000</f>
        <v>367901.67888</v>
      </c>
      <c r="K631" s="3" t="n">
        <f aca="false">J631-I631</f>
        <v>0</v>
      </c>
      <c r="L631" s="4" t="n">
        <f aca="false">IFERROR(K631/I631,0)</f>
        <v>0</v>
      </c>
      <c r="M631" s="15" t="n">
        <f aca="false">IF(INDEX('Расчет Кплотн'!$D:$D,MATCH(D631,'Расчет Кплотн'!$A:$A,0))="район",IFERROR(VLOOKUP(INDEX('Расчет Кплотн'!$B:$B,MATCH(D631,'Расчет Кплотн'!$A:$A,0)),'БКПН (приказ 170)'!$A$4:$C$10,3,FALSE()),Моделирование!$F$2),Моделирование!$F$2)</f>
        <v>1850.91</v>
      </c>
    </row>
    <row r="632" customFormat="false" ht="15" hidden="false" customHeight="false" outlineLevel="0" collapsed="false">
      <c r="A632" s="12" t="n">
        <v>627</v>
      </c>
      <c r="B632" s="12" t="str">
        <f aca="false">'РПН 01.08 по МО'!B630</f>
        <v>ҰЛЫТАУ</v>
      </c>
      <c r="C632" s="12" t="str">
        <f aca="false">'РПН 01.08 по МО'!C630</f>
        <v>КГП на ПХВ "Больница города Каражал"</v>
      </c>
      <c r="D632" s="12" t="str">
        <f aca="false">'РПН 01.08 по МО'!E630</f>
        <v>6218</v>
      </c>
      <c r="E632" s="12" t="str">
        <f aca="false">'РПН 01.08 по МО'!F630</f>
        <v>Каражал</v>
      </c>
      <c r="F632" s="13" t="n">
        <f aca="false">'РПН 01.08 по МО'!D630</f>
        <v>7699</v>
      </c>
      <c r="G632" s="14" t="n">
        <f aca="false">INDEX('Расчет Кплотн'!$K:$K,MATCH(D632,'Расчет Кплотн'!$A:$A,0))</f>
        <v>1.5</v>
      </c>
      <c r="H632" s="14" t="n">
        <f aca="false">INDEX('Расчет Кплотн'!$J:$J,MATCH(D632,'Расчет Кплотн'!$A:$A,0))</f>
        <v>1.5</v>
      </c>
      <c r="I632" s="3" t="n">
        <f aca="false">F632*Моделирование!$F$3*M632*G632/1000</f>
        <v>233672.81094</v>
      </c>
      <c r="J632" s="3" t="n">
        <f aca="false">F632*Моделирование!$F$3*M632*H632/1000</f>
        <v>233672.81094</v>
      </c>
      <c r="K632" s="3" t="n">
        <f aca="false">J632-I632</f>
        <v>0</v>
      </c>
      <c r="L632" s="4" t="n">
        <f aca="false">IFERROR(K632/I632,0)</f>
        <v>0</v>
      </c>
      <c r="M632" s="15" t="n">
        <f aca="false">IF(INDEX('Расчет Кплотн'!$D:$D,MATCH(D632,'Расчет Кплотн'!$A:$A,0))="район",IFERROR(VLOOKUP(INDEX('Расчет Кплотн'!$B:$B,MATCH(D632,'Расчет Кплотн'!$A:$A,0)),'БКПН (приказ 170)'!$A$4:$C$10,3,FALSE()),Моделирование!$F$2),Моделирование!$F$2)</f>
        <v>1686.17</v>
      </c>
    </row>
    <row r="633" customFormat="false" ht="15" hidden="false" customHeight="false" outlineLevel="0" collapsed="false">
      <c r="A633" s="12" t="n">
        <v>628</v>
      </c>
      <c r="B633" s="12" t="str">
        <f aca="false">'РПН 01.08 по МО'!B631</f>
        <v>ҰЛЫТАУ</v>
      </c>
      <c r="C633" s="12" t="str">
        <f aca="false">'РПН 01.08 по МО'!C631</f>
        <v>КГП на праве хозяйственного ведения "Поликлиника города Сатпаев" управления здравоохранения области Ұлытау</v>
      </c>
      <c r="D633" s="12" t="str">
        <f aca="false">'РПН 01.08 по МО'!E631</f>
        <v>6220</v>
      </c>
      <c r="E633" s="12" t="str">
        <f aca="false">'РПН 01.08 по МО'!F631</f>
        <v>Сатпаев</v>
      </c>
      <c r="F633" s="13" t="n">
        <f aca="false">'РПН 01.08 по МО'!D631</f>
        <v>30930</v>
      </c>
      <c r="G633" s="14" t="n">
        <f aca="false">INDEX('Расчет Кплотн'!$K:$K,MATCH(D633,'Расчет Кплотн'!$A:$A,0))</f>
        <v>1.5</v>
      </c>
      <c r="H633" s="14" t="n">
        <f aca="false">INDEX('Расчет Кплотн'!$J:$J,MATCH(D633,'Расчет Кплотн'!$A:$A,0))</f>
        <v>1.5</v>
      </c>
      <c r="I633" s="3" t="n">
        <f aca="false">F633*Моделирование!$F$3*M633*G633/1000</f>
        <v>938758.2858</v>
      </c>
      <c r="J633" s="3" t="n">
        <f aca="false">F633*Моделирование!$F$3*M633*H633/1000</f>
        <v>938758.2858</v>
      </c>
      <c r="K633" s="3" t="n">
        <f aca="false">J633-I633</f>
        <v>0</v>
      </c>
      <c r="L633" s="4" t="n">
        <f aca="false">IFERROR(K633/I633,0)</f>
        <v>0</v>
      </c>
      <c r="M633" s="15" t="n">
        <f aca="false">IF(INDEX('Расчет Кплотн'!$D:$D,MATCH(D633,'Расчет Кплотн'!$A:$A,0))="район",IFERROR(VLOOKUP(INDEX('Расчет Кплотн'!$B:$B,MATCH(D633,'Расчет Кплотн'!$A:$A,0)),'БКПН (приказ 170)'!$A$4:$C$10,3,FALSE()),Моделирование!$F$2),Моделирование!$F$2)</f>
        <v>1686.17</v>
      </c>
    </row>
    <row r="634" customFormat="false" ht="15" hidden="false" customHeight="false" outlineLevel="0" collapsed="false">
      <c r="A634" s="12" t="n">
        <v>629</v>
      </c>
      <c r="B634" s="12" t="str">
        <f aca="false">'РПН 01.08 по МО'!B632</f>
        <v>ҰЛЫТАУ</v>
      </c>
      <c r="C634" s="12" t="str">
        <f aca="false">'РПН 01.08 по МО'!C632</f>
        <v>КГКП "Больница поселка Жайрем"</v>
      </c>
      <c r="D634" s="12" t="str">
        <f aca="false">'РПН 01.08 по МО'!E632</f>
        <v>6218</v>
      </c>
      <c r="E634" s="12" t="str">
        <f aca="false">'РПН 01.08 по МО'!F632</f>
        <v>Каражал</v>
      </c>
      <c r="F634" s="13" t="n">
        <f aca="false">'РПН 01.08 по МО'!D632</f>
        <v>8765</v>
      </c>
      <c r="G634" s="14" t="n">
        <f aca="false">INDEX('Расчет Кплотн'!$K:$K,MATCH(D634,'Расчет Кплотн'!$A:$A,0))</f>
        <v>1.5</v>
      </c>
      <c r="H634" s="14" t="n">
        <f aca="false">INDEX('Расчет Кплотн'!$J:$J,MATCH(D634,'Расчет Кплотн'!$A:$A,0))</f>
        <v>1.5</v>
      </c>
      <c r="I634" s="3" t="n">
        <f aca="false">F634*Моделирование!$F$3*M634*G634/1000</f>
        <v>266027.0409</v>
      </c>
      <c r="J634" s="3" t="n">
        <f aca="false">F634*Моделирование!$F$3*M634*H634/1000</f>
        <v>266027.0409</v>
      </c>
      <c r="K634" s="3" t="n">
        <f aca="false">J634-I634</f>
        <v>0</v>
      </c>
      <c r="L634" s="4" t="n">
        <f aca="false">IFERROR(K634/I634,0)</f>
        <v>0</v>
      </c>
      <c r="M634" s="15" t="n">
        <f aca="false">IF(INDEX('Расчет Кплотн'!$D:$D,MATCH(D634,'Расчет Кплотн'!$A:$A,0))="район",IFERROR(VLOOKUP(INDEX('Расчет Кплотн'!$B:$B,MATCH(D634,'Расчет Кплотн'!$A:$A,0)),'БКПН (приказ 170)'!$A$4:$C$10,3,FALSE()),Моделирование!$F$2),Моделирование!$F$2)</f>
        <v>1686.17</v>
      </c>
    </row>
    <row r="635" customFormat="false" ht="15" hidden="false" customHeight="false" outlineLevel="0" collapsed="false">
      <c r="A635" s="12" t="n">
        <v>630</v>
      </c>
      <c r="B635" s="12" t="str">
        <f aca="false">'РПН 01.08 по МО'!B633</f>
        <v>ШЫМКЕНТ</v>
      </c>
      <c r="C635" s="12" t="str">
        <f aca="false">'РПН 01.08 по МО'!C633</f>
        <v>ТОО "Медикер ЮК"</v>
      </c>
      <c r="D635" s="12" t="str">
        <f aca="false">'РПН 01.08 по МО'!E633</f>
        <v>7900</v>
      </c>
      <c r="E635" s="12" t="str">
        <f aca="false">'РПН 01.08 по МО'!F633</f>
        <v>г. Шымкент</v>
      </c>
      <c r="F635" s="13" t="n">
        <f aca="false">'РПН 01.08 по МО'!D633</f>
        <v>35854</v>
      </c>
      <c r="G635" s="14" t="n">
        <f aca="false">INDEX('Расчет Кплотн'!$K:$K,MATCH(D635,'Расчет Кплотн'!$A:$A,0))</f>
        <v>1</v>
      </c>
      <c r="H635" s="14" t="n">
        <f aca="false">INDEX('Расчет Кплотн'!$J:$J,MATCH(D635,'Расчет Кплотн'!$A:$A,0))</f>
        <v>1</v>
      </c>
      <c r="I635" s="3" t="n">
        <f aca="false">F635*Моделирование!$F$3*M635*G635/1000</f>
        <v>725471.27016</v>
      </c>
      <c r="J635" s="3" t="n">
        <f aca="false">F635*Моделирование!$F$3*M635*H635/1000</f>
        <v>725471.27016</v>
      </c>
      <c r="K635" s="3" t="n">
        <f aca="false">J635-I635</f>
        <v>0</v>
      </c>
      <c r="L635" s="4" t="n">
        <f aca="false">IFERROR(K635/I635,0)</f>
        <v>0</v>
      </c>
      <c r="M635" s="15" t="n">
        <f aca="false">IF(INDEX('Расчет Кплотн'!$D:$D,MATCH(D635,'Расчет Кплотн'!$A:$A,0))="район",IFERROR(VLOOKUP(INDEX('Расчет Кплотн'!$B:$B,MATCH(D635,'Расчет Кплотн'!$A:$A,0)),'БКПН (приказ 170)'!$A$4:$C$10,3,FALSE()),Моделирование!$F$2),Моделирование!$F$2)</f>
        <v>1686.17</v>
      </c>
    </row>
    <row r="636" customFormat="false" ht="15" hidden="false" customHeight="false" outlineLevel="0" collapsed="false">
      <c r="A636" s="12" t="n">
        <v>631</v>
      </c>
      <c r="B636" s="12" t="str">
        <f aca="false">'РПН 01.08 по МО'!B634</f>
        <v>ШЫМКЕНТ</v>
      </c>
      <c r="C636" s="12" t="str">
        <f aca="false">'РПН 01.08 по МО'!C634</f>
        <v>ТОО "КАМЕЯ Pharm Group"</v>
      </c>
      <c r="D636" s="12" t="str">
        <f aca="false">'РПН 01.08 по МО'!E634</f>
        <v>7900</v>
      </c>
      <c r="E636" s="12" t="str">
        <f aca="false">'РПН 01.08 по МО'!F634</f>
        <v>г. Шымкент</v>
      </c>
      <c r="F636" s="13" t="n">
        <f aca="false">'РПН 01.08 по МО'!D634</f>
        <v>36399</v>
      </c>
      <c r="G636" s="14" t="n">
        <f aca="false">INDEX('Расчет Кплотн'!$K:$K,MATCH(D636,'Расчет Кплотн'!$A:$A,0))</f>
        <v>1</v>
      </c>
      <c r="H636" s="14" t="n">
        <f aca="false">INDEX('Расчет Кплотн'!$J:$J,MATCH(D636,'Расчет Кплотн'!$A:$A,0))</f>
        <v>1</v>
      </c>
      <c r="I636" s="3" t="n">
        <f aca="false">F636*Моделирование!$F$3*M636*G636/1000</f>
        <v>736498.82196</v>
      </c>
      <c r="J636" s="3" t="n">
        <f aca="false">F636*Моделирование!$F$3*M636*H636/1000</f>
        <v>736498.82196</v>
      </c>
      <c r="K636" s="3" t="n">
        <f aca="false">J636-I636</f>
        <v>0</v>
      </c>
      <c r="L636" s="4" t="n">
        <f aca="false">IFERROR(K636/I636,0)</f>
        <v>0</v>
      </c>
      <c r="M636" s="15" t="n">
        <f aca="false">IF(INDEX('Расчет Кплотн'!$D:$D,MATCH(D636,'Расчет Кплотн'!$A:$A,0))="район",IFERROR(VLOOKUP(INDEX('Расчет Кплотн'!$B:$B,MATCH(D636,'Расчет Кплотн'!$A:$A,0)),'БКПН (приказ 170)'!$A$4:$C$10,3,FALSE()),Моделирование!$F$2),Моделирование!$F$2)</f>
        <v>1686.17</v>
      </c>
    </row>
    <row r="637" customFormat="false" ht="15" hidden="false" customHeight="false" outlineLevel="0" collapsed="false">
      <c r="A637" s="12" t="n">
        <v>632</v>
      </c>
      <c r="B637" s="12" t="str">
        <f aca="false">'РПН 01.08 по МО'!B635</f>
        <v>ШЫМКЕНТ</v>
      </c>
      <c r="C637" s="12" t="str">
        <f aca="false">'РПН 01.08 по МО'!C635</f>
        <v>ТОО "ДОЛАНА - БҰЛАҚ"</v>
      </c>
      <c r="D637" s="12" t="str">
        <f aca="false">'РПН 01.08 по МО'!E635</f>
        <v>7900</v>
      </c>
      <c r="E637" s="12" t="str">
        <f aca="false">'РПН 01.08 по МО'!F635</f>
        <v>г. Шымкент</v>
      </c>
      <c r="F637" s="13" t="n">
        <f aca="false">'РПН 01.08 по МО'!D635</f>
        <v>4736</v>
      </c>
      <c r="G637" s="14" t="n">
        <f aca="false">INDEX('Расчет Кплотн'!$K:$K,MATCH(D637,'Расчет Кплотн'!$A:$A,0))</f>
        <v>1</v>
      </c>
      <c r="H637" s="14" t="n">
        <f aca="false">INDEX('Расчет Кплотн'!$J:$J,MATCH(D637,'Расчет Кплотн'!$A:$A,0))</f>
        <v>1</v>
      </c>
      <c r="I637" s="3" t="n">
        <f aca="false">F637*Моделирование!$F$3*M637*G637/1000</f>
        <v>95828.41344</v>
      </c>
      <c r="J637" s="3" t="n">
        <f aca="false">F637*Моделирование!$F$3*M637*H637/1000</f>
        <v>95828.41344</v>
      </c>
      <c r="K637" s="3" t="n">
        <f aca="false">J637-I637</f>
        <v>0</v>
      </c>
      <c r="L637" s="4" t="n">
        <f aca="false">IFERROR(K637/I637,0)</f>
        <v>0</v>
      </c>
      <c r="M637" s="15" t="n">
        <f aca="false">IF(INDEX('Расчет Кплотн'!$D:$D,MATCH(D637,'Расчет Кплотн'!$A:$A,0))="район",IFERROR(VLOOKUP(INDEX('Расчет Кплотн'!$B:$B,MATCH(D637,'Расчет Кплотн'!$A:$A,0)),'БКПН (приказ 170)'!$A$4:$C$10,3,FALSE()),Моделирование!$F$2),Моделирование!$F$2)</f>
        <v>1686.17</v>
      </c>
    </row>
    <row r="638" customFormat="false" ht="15" hidden="false" customHeight="false" outlineLevel="0" collapsed="false">
      <c r="A638" s="12" t="n">
        <v>633</v>
      </c>
      <c r="B638" s="12" t="str">
        <f aca="false">'РПН 01.08 по МО'!B636</f>
        <v>ШЫМКЕНТ</v>
      </c>
      <c r="C638" s="12" t="str">
        <f aca="false">'РПН 01.08 по МО'!C636</f>
        <v>ТОО "Дария-Медикус"</v>
      </c>
      <c r="D638" s="12" t="str">
        <f aca="false">'РПН 01.08 по МО'!E636</f>
        <v>7900</v>
      </c>
      <c r="E638" s="12" t="str">
        <f aca="false">'РПН 01.08 по МО'!F636</f>
        <v>г. Шымкент</v>
      </c>
      <c r="F638" s="13" t="n">
        <f aca="false">'РПН 01.08 по МО'!D636</f>
        <v>10463</v>
      </c>
      <c r="G638" s="14" t="n">
        <f aca="false">INDEX('Расчет Кплотн'!$K:$K,MATCH(D638,'Расчет Кплотн'!$A:$A,0))</f>
        <v>1</v>
      </c>
      <c r="H638" s="14" t="n">
        <f aca="false">INDEX('Расчет Кплотн'!$J:$J,MATCH(D638,'Расчет Кплотн'!$A:$A,0))</f>
        <v>1</v>
      </c>
      <c r="I638" s="3" t="n">
        <f aca="false">F638*Моделирование!$F$3*M638*G638/1000</f>
        <v>211708.76052</v>
      </c>
      <c r="J638" s="3" t="n">
        <f aca="false">F638*Моделирование!$F$3*M638*H638/1000</f>
        <v>211708.76052</v>
      </c>
      <c r="K638" s="3" t="n">
        <f aca="false">J638-I638</f>
        <v>0</v>
      </c>
      <c r="L638" s="4" t="n">
        <f aca="false">IFERROR(K638/I638,0)</f>
        <v>0</v>
      </c>
      <c r="M638" s="15" t="n">
        <f aca="false">IF(INDEX('Расчет Кплотн'!$D:$D,MATCH(D638,'Расчет Кплотн'!$A:$A,0))="район",IFERROR(VLOOKUP(INDEX('Расчет Кплотн'!$B:$B,MATCH(D638,'Расчет Кплотн'!$A:$A,0)),'БКПН (приказ 170)'!$A$4:$C$10,3,FALSE()),Моделирование!$F$2),Моделирование!$F$2)</f>
        <v>1686.17</v>
      </c>
    </row>
    <row r="639" customFormat="false" ht="15" hidden="false" customHeight="false" outlineLevel="0" collapsed="false">
      <c r="A639" s="12" t="n">
        <v>634</v>
      </c>
      <c r="B639" s="12" t="str">
        <f aca="false">'РПН 01.08 по МО'!B637</f>
        <v>ШЫМКЕНТ</v>
      </c>
      <c r="C639" s="12" t="str">
        <f aca="false">'РПН 01.08 по МО'!C637</f>
        <v>ТОО "Городской Лечебный центр №15"</v>
      </c>
      <c r="D639" s="12" t="str">
        <f aca="false">'РПН 01.08 по МО'!E637</f>
        <v>7900</v>
      </c>
      <c r="E639" s="12" t="str">
        <f aca="false">'РПН 01.08 по МО'!F637</f>
        <v>г. Шымкент</v>
      </c>
      <c r="F639" s="13" t="n">
        <f aca="false">'РПН 01.08 по МО'!D637</f>
        <v>9304</v>
      </c>
      <c r="G639" s="14" t="n">
        <f aca="false">INDEX('Расчет Кплотн'!$K:$K,MATCH(D639,'Расчет Кплотн'!$A:$A,0))</f>
        <v>1</v>
      </c>
      <c r="H639" s="14" t="n">
        <f aca="false">INDEX('Расчет Кплотн'!$J:$J,MATCH(D639,'Расчет Кплотн'!$A:$A,0))</f>
        <v>1</v>
      </c>
      <c r="I639" s="3" t="n">
        <f aca="false">F639*Моделирование!$F$3*M639*G639/1000</f>
        <v>188257.50816</v>
      </c>
      <c r="J639" s="3" t="n">
        <f aca="false">F639*Моделирование!$F$3*M639*H639/1000</f>
        <v>188257.50816</v>
      </c>
      <c r="K639" s="3" t="n">
        <f aca="false">J639-I639</f>
        <v>0</v>
      </c>
      <c r="L639" s="4" t="n">
        <f aca="false">IFERROR(K639/I639,0)</f>
        <v>0</v>
      </c>
      <c r="M639" s="15" t="n">
        <f aca="false">IF(INDEX('Расчет Кплотн'!$D:$D,MATCH(D639,'Расчет Кплотн'!$A:$A,0))="район",IFERROR(VLOOKUP(INDEX('Расчет Кплотн'!$B:$B,MATCH(D639,'Расчет Кплотн'!$A:$A,0)),'БКПН (приказ 170)'!$A$4:$C$10,3,FALSE()),Моделирование!$F$2),Моделирование!$F$2)</f>
        <v>1686.17</v>
      </c>
    </row>
    <row r="640" customFormat="false" ht="15" hidden="false" customHeight="false" outlineLevel="0" collapsed="false">
      <c r="A640" s="12" t="n">
        <v>635</v>
      </c>
      <c r="B640" s="12" t="str">
        <f aca="false">'РПН 01.08 по МО'!B638</f>
        <v>ШЫМКЕНТ</v>
      </c>
      <c r="C640" s="12" t="str">
        <f aca="false">'РПН 01.08 по МО'!C638</f>
        <v>ТОО "Shymkent Medical Services"</v>
      </c>
      <c r="D640" s="12" t="str">
        <f aca="false">'РПН 01.08 по МО'!E638</f>
        <v>7900</v>
      </c>
      <c r="E640" s="12" t="str">
        <f aca="false">'РПН 01.08 по МО'!F638</f>
        <v>г. Шымкент</v>
      </c>
      <c r="F640" s="13" t="n">
        <f aca="false">'РПН 01.08 по МО'!D638</f>
        <v>8272</v>
      </c>
      <c r="G640" s="14" t="n">
        <f aca="false">INDEX('Расчет Кплотн'!$K:$K,MATCH(D640,'Расчет Кплотн'!$A:$A,0))</f>
        <v>1</v>
      </c>
      <c r="H640" s="14" t="n">
        <f aca="false">INDEX('Расчет Кплотн'!$J:$J,MATCH(D640,'Расчет Кплотн'!$A:$A,0))</f>
        <v>1</v>
      </c>
      <c r="I640" s="3" t="n">
        <f aca="false">F640*Моделирование!$F$3*M640*G640/1000</f>
        <v>167375.97888</v>
      </c>
      <c r="J640" s="3" t="n">
        <f aca="false">F640*Моделирование!$F$3*M640*H640/1000</f>
        <v>167375.97888</v>
      </c>
      <c r="K640" s="3" t="n">
        <f aca="false">J640-I640</f>
        <v>0</v>
      </c>
      <c r="L640" s="4" t="n">
        <f aca="false">IFERROR(K640/I640,0)</f>
        <v>0</v>
      </c>
      <c r="M640" s="15" t="n">
        <f aca="false">IF(INDEX('Расчет Кплотн'!$D:$D,MATCH(D640,'Расчет Кплотн'!$A:$A,0))="район",IFERROR(VLOOKUP(INDEX('Расчет Кплотн'!$B:$B,MATCH(D640,'Расчет Кплотн'!$A:$A,0)),'БКПН (приказ 170)'!$A$4:$C$10,3,FALSE()),Моделирование!$F$2),Моделирование!$F$2)</f>
        <v>1686.17</v>
      </c>
    </row>
    <row r="641" customFormat="false" ht="15" hidden="false" customHeight="false" outlineLevel="0" collapsed="false">
      <c r="A641" s="12" t="n">
        <v>636</v>
      </c>
      <c r="B641" s="12" t="str">
        <f aca="false">'РПН 01.08 по МО'!B639</f>
        <v>ШЫМКЕНТ</v>
      </c>
      <c r="C641" s="12" t="str">
        <f aca="false">'РПН 01.08 по МО'!C639</f>
        <v>ТОО "TURLAN MEDICAL"</v>
      </c>
      <c r="D641" s="12" t="str">
        <f aca="false">'РПН 01.08 по МО'!E639</f>
        <v>7900</v>
      </c>
      <c r="E641" s="12" t="str">
        <f aca="false">'РПН 01.08 по МО'!F639</f>
        <v>г. Шымкент</v>
      </c>
      <c r="F641" s="13" t="n">
        <f aca="false">'РПН 01.08 по МО'!D639</f>
        <v>10217</v>
      </c>
      <c r="G641" s="14" t="n">
        <f aca="false">INDEX('Расчет Кплотн'!$K:$K,MATCH(D641,'Расчет Кплотн'!$A:$A,0))</f>
        <v>1</v>
      </c>
      <c r="H641" s="14" t="n">
        <f aca="false">INDEX('Расчет Кплотн'!$J:$J,MATCH(D641,'Расчет Кплотн'!$A:$A,0))</f>
        <v>1</v>
      </c>
      <c r="I641" s="3" t="n">
        <f aca="false">F641*Моделирование!$F$3*M641*G641/1000</f>
        <v>206731.18668</v>
      </c>
      <c r="J641" s="3" t="n">
        <f aca="false">F641*Моделирование!$F$3*M641*H641/1000</f>
        <v>206731.18668</v>
      </c>
      <c r="K641" s="3" t="n">
        <f aca="false">J641-I641</f>
        <v>0</v>
      </c>
      <c r="L641" s="4" t="n">
        <f aca="false">IFERROR(K641/I641,0)</f>
        <v>0</v>
      </c>
      <c r="M641" s="15" t="n">
        <f aca="false">IF(INDEX('Расчет Кплотн'!$D:$D,MATCH(D641,'Расчет Кплотн'!$A:$A,0))="район",IFERROR(VLOOKUP(INDEX('Расчет Кплотн'!$B:$B,MATCH(D641,'Расчет Кплотн'!$A:$A,0)),'БКПН (приказ 170)'!$A$4:$C$10,3,FALSE()),Моделирование!$F$2),Моделирование!$F$2)</f>
        <v>1686.17</v>
      </c>
    </row>
    <row r="642" customFormat="false" ht="15" hidden="false" customHeight="false" outlineLevel="0" collapsed="false">
      <c r="A642" s="12" t="n">
        <v>637</v>
      </c>
      <c r="B642" s="12" t="str">
        <f aca="false">'РПН 01.08 по МО'!B640</f>
        <v>ШЫМКЕНТ</v>
      </c>
      <c r="C642" s="12" t="str">
        <f aca="false">'РПН 01.08 по МО'!C640</f>
        <v>ТОО "Медицинский центр "Togus-Med"</v>
      </c>
      <c r="D642" s="12" t="str">
        <f aca="false">'РПН 01.08 по МО'!E640</f>
        <v>7900</v>
      </c>
      <c r="E642" s="12" t="str">
        <f aca="false">'РПН 01.08 по МО'!F640</f>
        <v>г. Шымкент</v>
      </c>
      <c r="F642" s="13" t="n">
        <f aca="false">'РПН 01.08 по МО'!D640</f>
        <v>14342</v>
      </c>
      <c r="G642" s="14" t="n">
        <f aca="false">INDEX('Расчет Кплотн'!$K:$K,MATCH(D642,'Расчет Кплотн'!$A:$A,0))</f>
        <v>1</v>
      </c>
      <c r="H642" s="14" t="n">
        <f aca="false">INDEX('Расчет Кплотн'!$J:$J,MATCH(D642,'Расчет Кплотн'!$A:$A,0))</f>
        <v>1</v>
      </c>
      <c r="I642" s="3" t="n">
        <f aca="false">F642*Моделирование!$F$3*M642*G642/1000</f>
        <v>290196.60168</v>
      </c>
      <c r="J642" s="3" t="n">
        <f aca="false">F642*Моделирование!$F$3*M642*H642/1000</f>
        <v>290196.60168</v>
      </c>
      <c r="K642" s="3" t="n">
        <f aca="false">J642-I642</f>
        <v>0</v>
      </c>
      <c r="L642" s="4" t="n">
        <f aca="false">IFERROR(K642/I642,0)</f>
        <v>0</v>
      </c>
      <c r="M642" s="15" t="n">
        <f aca="false">IF(INDEX('Расчет Кплотн'!$D:$D,MATCH(D642,'Расчет Кплотн'!$A:$A,0))="район",IFERROR(VLOOKUP(INDEX('Расчет Кплотн'!$B:$B,MATCH(D642,'Расчет Кплотн'!$A:$A,0)),'БКПН (приказ 170)'!$A$4:$C$10,3,FALSE()),Моделирование!$F$2),Моделирование!$F$2)</f>
        <v>1686.17</v>
      </c>
    </row>
    <row r="643" customFormat="false" ht="15" hidden="false" customHeight="false" outlineLevel="0" collapsed="false">
      <c r="A643" s="12" t="n">
        <v>638</v>
      </c>
      <c r="B643" s="12" t="str">
        <f aca="false">'РПН 01.08 по МО'!B641</f>
        <v>ШЫМКЕНТ</v>
      </c>
      <c r="C643" s="12" t="str">
        <f aca="false">'РПН 01.08 по МО'!C641</f>
        <v>ТОО "ParkHealth"</v>
      </c>
      <c r="D643" s="12" t="str">
        <f aca="false">'РПН 01.08 по МО'!E641</f>
        <v>7900</v>
      </c>
      <c r="E643" s="12" t="str">
        <f aca="false">'РПН 01.08 по МО'!F641</f>
        <v>г. Шымкент</v>
      </c>
      <c r="F643" s="13" t="n">
        <f aca="false">'РПН 01.08 по МО'!D641</f>
        <v>18042</v>
      </c>
      <c r="G643" s="14" t="n">
        <f aca="false">INDEX('Расчет Кплотн'!$K:$K,MATCH(D643,'Расчет Кплотн'!$A:$A,0))</f>
        <v>1</v>
      </c>
      <c r="H643" s="14" t="n">
        <f aca="false">INDEX('Расчет Кплотн'!$J:$J,MATCH(D643,'Расчет Кплотн'!$A:$A,0))</f>
        <v>1</v>
      </c>
      <c r="I643" s="3" t="n">
        <f aca="false">F643*Моделирование!$F$3*M643*G643/1000</f>
        <v>365062.54968</v>
      </c>
      <c r="J643" s="3" t="n">
        <f aca="false">F643*Моделирование!$F$3*M643*H643/1000</f>
        <v>365062.54968</v>
      </c>
      <c r="K643" s="3" t="n">
        <f aca="false">J643-I643</f>
        <v>0</v>
      </c>
      <c r="L643" s="4" t="n">
        <f aca="false">IFERROR(K643/I643,0)</f>
        <v>0</v>
      </c>
      <c r="M643" s="15" t="n">
        <f aca="false">IF(INDEX('Расчет Кплотн'!$D:$D,MATCH(D643,'Расчет Кплотн'!$A:$A,0))="район",IFERROR(VLOOKUP(INDEX('Расчет Кплотн'!$B:$B,MATCH(D643,'Расчет Кплотн'!$A:$A,0)),'БКПН (приказ 170)'!$A$4:$C$10,3,FALSE()),Моделирование!$F$2),Моделирование!$F$2)</f>
        <v>1686.17</v>
      </c>
    </row>
    <row r="644" customFormat="false" ht="15" hidden="false" customHeight="false" outlineLevel="0" collapsed="false">
      <c r="A644" s="12" t="n">
        <v>639</v>
      </c>
      <c r="B644" s="12" t="str">
        <f aca="false">'РПН 01.08 по МО'!B642</f>
        <v>ШЫМКЕНТ</v>
      </c>
      <c r="C644" s="12" t="str">
        <f aca="false">'РПН 01.08 по МО'!C642</f>
        <v>ТОО "Otau Med"</v>
      </c>
      <c r="D644" s="12" t="str">
        <f aca="false">'РПН 01.08 по МО'!E642</f>
        <v>7900</v>
      </c>
      <c r="E644" s="12" t="str">
        <f aca="false">'РПН 01.08 по МО'!F642</f>
        <v>г. Шымкент</v>
      </c>
      <c r="F644" s="13" t="n">
        <f aca="false">'РПН 01.08 по МО'!D642</f>
        <v>62515</v>
      </c>
      <c r="G644" s="14" t="n">
        <f aca="false">INDEX('Расчет Кплотн'!$K:$K,MATCH(D644,'Расчет Кплотн'!$A:$A,0))</f>
        <v>1</v>
      </c>
      <c r="H644" s="14" t="n">
        <f aca="false">INDEX('Расчет Кплотн'!$J:$J,MATCH(D644,'Расчет Кплотн'!$A:$A,0))</f>
        <v>1</v>
      </c>
      <c r="I644" s="3" t="n">
        <f aca="false">F644*Моделирование!$F$3*M644*G644/1000</f>
        <v>1264931.0106</v>
      </c>
      <c r="J644" s="3" t="n">
        <f aca="false">F644*Моделирование!$F$3*M644*H644/1000</f>
        <v>1264931.0106</v>
      </c>
      <c r="K644" s="3" t="n">
        <f aca="false">J644-I644</f>
        <v>0</v>
      </c>
      <c r="L644" s="4" t="n">
        <f aca="false">IFERROR(K644/I644,0)</f>
        <v>0</v>
      </c>
      <c r="M644" s="15" t="n">
        <f aca="false">IF(INDEX('Расчет Кплотн'!$D:$D,MATCH(D644,'Расчет Кплотн'!$A:$A,0))="район",IFERROR(VLOOKUP(INDEX('Расчет Кплотн'!$B:$B,MATCH(D644,'Расчет Кплотн'!$A:$A,0)),'БКПН (приказ 170)'!$A$4:$C$10,3,FALSE()),Моделирование!$F$2),Моделирование!$F$2)</f>
        <v>1686.17</v>
      </c>
    </row>
    <row r="645" customFormat="false" ht="15" hidden="false" customHeight="false" outlineLevel="0" collapsed="false">
      <c r="A645" s="12" t="n">
        <v>640</v>
      </c>
      <c r="B645" s="12" t="str">
        <f aca="false">'РПН 01.08 по МО'!B643</f>
        <v>ШЫМКЕНТ</v>
      </c>
      <c r="C645" s="12" t="str">
        <f aca="false">'РПН 01.08 по МО'!C643</f>
        <v>ТОО "№14 Емдеу орталығы"</v>
      </c>
      <c r="D645" s="12" t="str">
        <f aca="false">'РПН 01.08 по МО'!E643</f>
        <v>7900</v>
      </c>
      <c r="E645" s="12" t="str">
        <f aca="false">'РПН 01.08 по МО'!F643</f>
        <v>г. Шымкент</v>
      </c>
      <c r="F645" s="13" t="n">
        <f aca="false">'РПН 01.08 по МО'!D643</f>
        <v>56095</v>
      </c>
      <c r="G645" s="14" t="n">
        <f aca="false">INDEX('Расчет Кплотн'!$K:$K,MATCH(D645,'Расчет Кплотн'!$A:$A,0))</f>
        <v>1</v>
      </c>
      <c r="H645" s="14" t="n">
        <f aca="false">INDEX('Расчет Кплотн'!$J:$J,MATCH(D645,'Расчет Кплотн'!$A:$A,0))</f>
        <v>1</v>
      </c>
      <c r="I645" s="3" t="n">
        <f aca="false">F645*Моделирование!$F$3*M645*G645/1000</f>
        <v>1135028.4738</v>
      </c>
      <c r="J645" s="3" t="n">
        <f aca="false">F645*Моделирование!$F$3*M645*H645/1000</f>
        <v>1135028.4738</v>
      </c>
      <c r="K645" s="3" t="n">
        <f aca="false">J645-I645</f>
        <v>0</v>
      </c>
      <c r="L645" s="4" t="n">
        <f aca="false">IFERROR(K645/I645,0)</f>
        <v>0</v>
      </c>
      <c r="M645" s="15" t="n">
        <f aca="false">IF(INDEX('Расчет Кплотн'!$D:$D,MATCH(D645,'Расчет Кплотн'!$A:$A,0))="район",IFERROR(VLOOKUP(INDEX('Расчет Кплотн'!$B:$B,MATCH(D645,'Расчет Кплотн'!$A:$A,0)),'БКПН (приказ 170)'!$A$4:$C$10,3,FALSE()),Моделирование!$F$2),Моделирование!$F$2)</f>
        <v>1686.17</v>
      </c>
    </row>
    <row r="646" customFormat="false" ht="15" hidden="false" customHeight="false" outlineLevel="0" collapsed="false">
      <c r="A646" s="12" t="n">
        <v>641</v>
      </c>
      <c r="B646" s="12" t="str">
        <f aca="false">'РПН 01.08 по МО'!B644</f>
        <v>ШЫМКЕНТ</v>
      </c>
      <c r="C646" s="12" t="str">
        <f aca="false">'РПН 01.08 по МО'!C644</f>
        <v>ТОО "VIP Service 17"</v>
      </c>
      <c r="D646" s="12" t="str">
        <f aca="false">'РПН 01.08 по МО'!E644</f>
        <v>7900</v>
      </c>
      <c r="E646" s="12" t="str">
        <f aca="false">'РПН 01.08 по МО'!F644</f>
        <v>г. Шымкент</v>
      </c>
      <c r="F646" s="13" t="n">
        <f aca="false">'РПН 01.08 по МО'!D644</f>
        <v>2815</v>
      </c>
      <c r="G646" s="14" t="n">
        <f aca="false">INDEX('Расчет Кплотн'!$K:$K,MATCH(D646,'Расчет Кплотн'!$A:$A,0))</f>
        <v>1</v>
      </c>
      <c r="H646" s="14" t="n">
        <f aca="false">INDEX('Расчет Кплотн'!$J:$J,MATCH(D646,'Расчет Кплотн'!$A:$A,0))</f>
        <v>1</v>
      </c>
      <c r="I646" s="3" t="n">
        <f aca="false">F646*Моделирование!$F$3*M646*G646/1000</f>
        <v>56958.8226</v>
      </c>
      <c r="J646" s="3" t="n">
        <f aca="false">F646*Моделирование!$F$3*M646*H646/1000</f>
        <v>56958.8226</v>
      </c>
      <c r="K646" s="3" t="n">
        <f aca="false">J646-I646</f>
        <v>0</v>
      </c>
      <c r="L646" s="4" t="n">
        <f aca="false">IFERROR(K646/I646,0)</f>
        <v>0</v>
      </c>
      <c r="M646" s="15" t="n">
        <f aca="false">IF(INDEX('Расчет Кплотн'!$D:$D,MATCH(D646,'Расчет Кплотн'!$A:$A,0))="район",IFERROR(VLOOKUP(INDEX('Расчет Кплотн'!$B:$B,MATCH(D646,'Расчет Кплотн'!$A:$A,0)),'БКПН (приказ 170)'!$A$4:$C$10,3,FALSE()),Моделирование!$F$2),Моделирование!$F$2)</f>
        <v>1686.17</v>
      </c>
    </row>
    <row r="647" customFormat="false" ht="15" hidden="false" customHeight="false" outlineLevel="0" collapsed="false">
      <c r="A647" s="12" t="n">
        <v>642</v>
      </c>
      <c r="B647" s="12" t="str">
        <f aca="false">'РПН 01.08 по МО'!B645</f>
        <v>ШЫМКЕНТ</v>
      </c>
      <c r="C647" s="12" t="str">
        <f aca="false">'РПН 01.08 по МО'!C645</f>
        <v>ТОО "Медицинский центр "Ай-Нұры"</v>
      </c>
      <c r="D647" s="12" t="str">
        <f aca="false">'РПН 01.08 по МО'!E645</f>
        <v>7900</v>
      </c>
      <c r="E647" s="12" t="str">
        <f aca="false">'РПН 01.08 по МО'!F645</f>
        <v>г. Шымкент</v>
      </c>
      <c r="F647" s="13" t="n">
        <f aca="false">'РПН 01.08 по МО'!D645</f>
        <v>26563</v>
      </c>
      <c r="G647" s="14" t="n">
        <f aca="false">INDEX('Расчет Кплотн'!$K:$K,MATCH(D647,'Расчет Кплотн'!$A:$A,0))</f>
        <v>1</v>
      </c>
      <c r="H647" s="14" t="n">
        <f aca="false">INDEX('Расчет Кплотн'!$J:$J,MATCH(D647,'Расчет Кплотн'!$A:$A,0))</f>
        <v>1</v>
      </c>
      <c r="I647" s="3" t="n">
        <f aca="false">F647*Моделирование!$F$3*M647*G647/1000</f>
        <v>537476.80452</v>
      </c>
      <c r="J647" s="3" t="n">
        <f aca="false">F647*Моделирование!$F$3*M647*H647/1000</f>
        <v>537476.80452</v>
      </c>
      <c r="K647" s="3" t="n">
        <f aca="false">J647-I647</f>
        <v>0</v>
      </c>
      <c r="L647" s="4" t="n">
        <f aca="false">IFERROR(K647/I647,0)</f>
        <v>0</v>
      </c>
      <c r="M647" s="15" t="n">
        <f aca="false">IF(INDEX('Расчет Кплотн'!$D:$D,MATCH(D647,'Расчет Кплотн'!$A:$A,0))="район",IFERROR(VLOOKUP(INDEX('Расчет Кплотн'!$B:$B,MATCH(D647,'Расчет Кплотн'!$A:$A,0)),'БКПН (приказ 170)'!$A$4:$C$10,3,FALSE()),Моделирование!$F$2),Моделирование!$F$2)</f>
        <v>1686.17</v>
      </c>
    </row>
    <row r="648" customFormat="false" ht="15" hidden="false" customHeight="false" outlineLevel="0" collapsed="false">
      <c r="A648" s="12" t="n">
        <v>643</v>
      </c>
      <c r="B648" s="12" t="str">
        <f aca="false">'РПН 01.08 по МО'!B646</f>
        <v>ШЫМКЕНТ</v>
      </c>
      <c r="C648" s="12" t="str">
        <f aca="false">'РПН 01.08 по МО'!C646</f>
        <v>ТОО "Медицинский центр "Ер - АНА"</v>
      </c>
      <c r="D648" s="12" t="str">
        <f aca="false">'РПН 01.08 по МО'!E646</f>
        <v>7900</v>
      </c>
      <c r="E648" s="12" t="str">
        <f aca="false">'РПН 01.08 по МО'!F646</f>
        <v>г. Шымкент</v>
      </c>
      <c r="F648" s="13" t="n">
        <f aca="false">'РПН 01.08 по МО'!D646</f>
        <v>10197</v>
      </c>
      <c r="G648" s="14" t="n">
        <f aca="false">INDEX('Расчет Кплотн'!$K:$K,MATCH(D648,'Расчет Кплотн'!$A:$A,0))</f>
        <v>1</v>
      </c>
      <c r="H648" s="14" t="n">
        <f aca="false">INDEX('Расчет Кплотн'!$J:$J,MATCH(D648,'Расчет Кплотн'!$A:$A,0))</f>
        <v>1</v>
      </c>
      <c r="I648" s="3" t="n">
        <f aca="false">F648*Моделирование!$F$3*M648*G648/1000</f>
        <v>206326.50588</v>
      </c>
      <c r="J648" s="3" t="n">
        <f aca="false">F648*Моделирование!$F$3*M648*H648/1000</f>
        <v>206326.50588</v>
      </c>
      <c r="K648" s="3" t="n">
        <f aca="false">J648-I648</f>
        <v>0</v>
      </c>
      <c r="L648" s="4" t="n">
        <f aca="false">IFERROR(K648/I648,0)</f>
        <v>0</v>
      </c>
      <c r="M648" s="15" t="n">
        <f aca="false">IF(INDEX('Расчет Кплотн'!$D:$D,MATCH(D648,'Расчет Кплотн'!$A:$A,0))="район",IFERROR(VLOOKUP(INDEX('Расчет Кплотн'!$B:$B,MATCH(D648,'Расчет Кплотн'!$A:$A,0)),'БКПН (приказ 170)'!$A$4:$C$10,3,FALSE()),Моделирование!$F$2),Моделирование!$F$2)</f>
        <v>1686.17</v>
      </c>
    </row>
    <row r="649" customFormat="false" ht="15" hidden="false" customHeight="false" outlineLevel="0" collapsed="false">
      <c r="A649" s="12" t="n">
        <v>644</v>
      </c>
      <c r="B649" s="12" t="str">
        <f aca="false">'РПН 01.08 по МО'!B647</f>
        <v>ШЫМКЕНТ</v>
      </c>
      <c r="C649" s="12" t="str">
        <f aca="false">'РПН 01.08 по МО'!C647</f>
        <v>ТОО "Медицинский центр "Атамекен"</v>
      </c>
      <c r="D649" s="12" t="str">
        <f aca="false">'РПН 01.08 по МО'!E647</f>
        <v>7900</v>
      </c>
      <c r="E649" s="12" t="str">
        <f aca="false">'РПН 01.08 по МО'!F647</f>
        <v>г. Шымкент</v>
      </c>
      <c r="F649" s="13" t="n">
        <f aca="false">'РПН 01.08 по МО'!D647</f>
        <v>45754</v>
      </c>
      <c r="G649" s="14" t="n">
        <f aca="false">INDEX('Расчет Кплотн'!$K:$K,MATCH(D649,'Расчет Кплотн'!$A:$A,0))</f>
        <v>1</v>
      </c>
      <c r="H649" s="14" t="n">
        <f aca="false">INDEX('Расчет Кплотн'!$J:$J,MATCH(D649,'Расчет Кплотн'!$A:$A,0))</f>
        <v>1</v>
      </c>
      <c r="I649" s="3" t="n">
        <f aca="false">F649*Моделирование!$F$3*M649*G649/1000</f>
        <v>925788.26616</v>
      </c>
      <c r="J649" s="3" t="n">
        <f aca="false">F649*Моделирование!$F$3*M649*H649/1000</f>
        <v>925788.26616</v>
      </c>
      <c r="K649" s="3" t="n">
        <f aca="false">J649-I649</f>
        <v>0</v>
      </c>
      <c r="L649" s="4" t="n">
        <f aca="false">IFERROR(K649/I649,0)</f>
        <v>0</v>
      </c>
      <c r="M649" s="15" t="n">
        <f aca="false">IF(INDEX('Расчет Кплотн'!$D:$D,MATCH(D649,'Расчет Кплотн'!$A:$A,0))="район",IFERROR(VLOOKUP(INDEX('Расчет Кплотн'!$B:$B,MATCH(D649,'Расчет Кплотн'!$A:$A,0)),'БКПН (приказ 170)'!$A$4:$C$10,3,FALSE()),Моделирование!$F$2),Моделирование!$F$2)</f>
        <v>1686.17</v>
      </c>
    </row>
    <row r="650" customFormat="false" ht="15" hidden="false" customHeight="false" outlineLevel="0" collapsed="false">
      <c r="A650" s="12" t="n">
        <v>645</v>
      </c>
      <c r="B650" s="12" t="str">
        <f aca="false">'РПН 01.08 по МО'!B648</f>
        <v>ШЫМКЕНТ</v>
      </c>
      <c r="C650" s="12" t="str">
        <f aca="false">'РПН 01.08 по МО'!C648</f>
        <v>ТОО "Медицинский центр "Омарали"</v>
      </c>
      <c r="D650" s="12" t="str">
        <f aca="false">'РПН 01.08 по МО'!E648</f>
        <v>7900</v>
      </c>
      <c r="E650" s="12" t="str">
        <f aca="false">'РПН 01.08 по МО'!F648</f>
        <v>г. Шымкент</v>
      </c>
      <c r="F650" s="13" t="n">
        <f aca="false">'РПН 01.08 по МО'!D648</f>
        <v>3344</v>
      </c>
      <c r="G650" s="14" t="n">
        <f aca="false">INDEX('Расчет Кплотн'!$K:$K,MATCH(D650,'Расчет Кплотн'!$A:$A,0))</f>
        <v>1</v>
      </c>
      <c r="H650" s="14" t="n">
        <f aca="false">INDEX('Расчет Кплотн'!$J:$J,MATCH(D650,'Расчет Кплотн'!$A:$A,0))</f>
        <v>1</v>
      </c>
      <c r="I650" s="3" t="n">
        <f aca="false">F650*Моделирование!$F$3*M650*G650/1000</f>
        <v>67662.62976</v>
      </c>
      <c r="J650" s="3" t="n">
        <f aca="false">F650*Моделирование!$F$3*M650*H650/1000</f>
        <v>67662.62976</v>
      </c>
      <c r="K650" s="3" t="n">
        <f aca="false">J650-I650</f>
        <v>0</v>
      </c>
      <c r="L650" s="4" t="n">
        <f aca="false">IFERROR(K650/I650,0)</f>
        <v>0</v>
      </c>
      <c r="M650" s="15" t="n">
        <f aca="false">IF(INDEX('Расчет Кплотн'!$D:$D,MATCH(D650,'Расчет Кплотн'!$A:$A,0))="район",IFERROR(VLOOKUP(INDEX('Расчет Кплотн'!$B:$B,MATCH(D650,'Расчет Кплотн'!$A:$A,0)),'БКПН (приказ 170)'!$A$4:$C$10,3,FALSE()),Моделирование!$F$2),Моделирование!$F$2)</f>
        <v>1686.17</v>
      </c>
    </row>
    <row r="651" customFormat="false" ht="15" hidden="false" customHeight="false" outlineLevel="0" collapsed="false">
      <c r="A651" s="12" t="n">
        <v>646</v>
      </c>
      <c r="B651" s="12" t="str">
        <f aca="false">'РПН 01.08 по МО'!B649</f>
        <v>ШЫМКЕНТ</v>
      </c>
      <c r="C651" s="12" t="str">
        <f aca="false">'РПН 01.08 по МО'!C649</f>
        <v>ТОО "Медицинский центр "РайМед"</v>
      </c>
      <c r="D651" s="12" t="str">
        <f aca="false">'РПН 01.08 по МО'!E649</f>
        <v>7900</v>
      </c>
      <c r="E651" s="12" t="str">
        <f aca="false">'РПН 01.08 по МО'!F649</f>
        <v>г. Шымкент</v>
      </c>
      <c r="F651" s="13" t="n">
        <f aca="false">'РПН 01.08 по МО'!D649</f>
        <v>20257</v>
      </c>
      <c r="G651" s="14" t="n">
        <f aca="false">INDEX('Расчет Кплотн'!$K:$K,MATCH(D651,'Расчет Кплотн'!$A:$A,0))</f>
        <v>1</v>
      </c>
      <c r="H651" s="14" t="n">
        <f aca="false">INDEX('Расчет Кплотн'!$J:$J,MATCH(D651,'Расчет Кплотн'!$A:$A,0))</f>
        <v>1</v>
      </c>
      <c r="I651" s="3" t="n">
        <f aca="false">F651*Моделирование!$F$3*M651*G651/1000</f>
        <v>409880.94828</v>
      </c>
      <c r="J651" s="3" t="n">
        <f aca="false">F651*Моделирование!$F$3*M651*H651/1000</f>
        <v>409880.94828</v>
      </c>
      <c r="K651" s="3" t="n">
        <f aca="false">J651-I651</f>
        <v>0</v>
      </c>
      <c r="L651" s="4" t="n">
        <f aca="false">IFERROR(K651/I651,0)</f>
        <v>0</v>
      </c>
      <c r="M651" s="15" t="n">
        <f aca="false">IF(INDEX('Расчет Кплотн'!$D:$D,MATCH(D651,'Расчет Кплотн'!$A:$A,0))="район",IFERROR(VLOOKUP(INDEX('Расчет Кплотн'!$B:$B,MATCH(D651,'Расчет Кплотн'!$A:$A,0)),'БКПН (приказ 170)'!$A$4:$C$10,3,FALSE()),Моделирование!$F$2),Моделирование!$F$2)</f>
        <v>1686.17</v>
      </c>
    </row>
    <row r="652" customFormat="false" ht="15" hidden="false" customHeight="false" outlineLevel="0" collapsed="false">
      <c r="A652" s="12" t="n">
        <v>647</v>
      </c>
      <c r="B652" s="12" t="str">
        <f aca="false">'РПН 01.08 по МО'!B650</f>
        <v>ШЫМКЕНТ</v>
      </c>
      <c r="C652" s="12" t="str">
        <f aca="false">'РПН 01.08 по МО'!C650</f>
        <v>ТОО "Медицинский центр доктора Орынбаева"</v>
      </c>
      <c r="D652" s="12" t="str">
        <f aca="false">'РПН 01.08 по МО'!E650</f>
        <v>7900</v>
      </c>
      <c r="E652" s="12" t="str">
        <f aca="false">'РПН 01.08 по МО'!F650</f>
        <v>г. Шымкент</v>
      </c>
      <c r="F652" s="13" t="n">
        <f aca="false">'РПН 01.08 по МО'!D650</f>
        <v>21092</v>
      </c>
      <c r="G652" s="14" t="n">
        <f aca="false">INDEX('Расчет Кплотн'!$K:$K,MATCH(D652,'Расчет Кплотн'!$A:$A,0))</f>
        <v>1</v>
      </c>
      <c r="H652" s="14" t="n">
        <f aca="false">INDEX('Расчет Кплотн'!$J:$J,MATCH(D652,'Расчет Кплотн'!$A:$A,0))</f>
        <v>1</v>
      </c>
      <c r="I652" s="3" t="n">
        <f aca="false">F652*Моделирование!$F$3*M652*G652/1000</f>
        <v>426776.37168</v>
      </c>
      <c r="J652" s="3" t="n">
        <f aca="false">F652*Моделирование!$F$3*M652*H652/1000</f>
        <v>426776.37168</v>
      </c>
      <c r="K652" s="3" t="n">
        <f aca="false">J652-I652</f>
        <v>0</v>
      </c>
      <c r="L652" s="4" t="n">
        <f aca="false">IFERROR(K652/I652,0)</f>
        <v>0</v>
      </c>
      <c r="M652" s="15" t="n">
        <f aca="false">IF(INDEX('Расчет Кплотн'!$D:$D,MATCH(D652,'Расчет Кплотн'!$A:$A,0))="район",IFERROR(VLOOKUP(INDEX('Расчет Кплотн'!$B:$B,MATCH(D652,'Расчет Кплотн'!$A:$A,0)),'БКПН (приказ 170)'!$A$4:$C$10,3,FALSE()),Моделирование!$F$2),Моделирование!$F$2)</f>
        <v>1686.17</v>
      </c>
    </row>
    <row r="653" customFormat="false" ht="15" hidden="false" customHeight="false" outlineLevel="0" collapsed="false">
      <c r="A653" s="12" t="n">
        <v>648</v>
      </c>
      <c r="B653" s="12" t="str">
        <f aca="false">'РПН 01.08 по МО'!B651</f>
        <v>ШЫМКЕНТ</v>
      </c>
      <c r="C653" s="12" t="str">
        <f aca="false">'РПН 01.08 по МО'!C651</f>
        <v>ТОО "МЦ "Sabi-med"</v>
      </c>
      <c r="D653" s="12" t="str">
        <f aca="false">'РПН 01.08 по МО'!E651</f>
        <v>7900</v>
      </c>
      <c r="E653" s="12" t="str">
        <f aca="false">'РПН 01.08 по МО'!F651</f>
        <v>г. Шымкент</v>
      </c>
      <c r="F653" s="13" t="n">
        <f aca="false">'РПН 01.08 по МО'!D651</f>
        <v>7695</v>
      </c>
      <c r="G653" s="14" t="n">
        <f aca="false">INDEX('Расчет Кплотн'!$K:$K,MATCH(D653,'Расчет Кплотн'!$A:$A,0))</f>
        <v>1</v>
      </c>
      <c r="H653" s="14" t="n">
        <f aca="false">INDEX('Расчет Кплотн'!$J:$J,MATCH(D653,'Расчет Кплотн'!$A:$A,0))</f>
        <v>1</v>
      </c>
      <c r="I653" s="3" t="n">
        <f aca="false">F653*Моделирование!$F$3*M653*G653/1000</f>
        <v>155700.9378</v>
      </c>
      <c r="J653" s="3" t="n">
        <f aca="false">F653*Моделирование!$F$3*M653*H653/1000</f>
        <v>155700.9378</v>
      </c>
      <c r="K653" s="3" t="n">
        <f aca="false">J653-I653</f>
        <v>0</v>
      </c>
      <c r="L653" s="4" t="n">
        <f aca="false">IFERROR(K653/I653,0)</f>
        <v>0</v>
      </c>
      <c r="M653" s="15" t="n">
        <f aca="false">IF(INDEX('Расчет Кплотн'!$D:$D,MATCH(D653,'Расчет Кплотн'!$A:$A,0))="район",IFERROR(VLOOKUP(INDEX('Расчет Кплотн'!$B:$B,MATCH(D653,'Расчет Кплотн'!$A:$A,0)),'БКПН (приказ 170)'!$A$4:$C$10,3,FALSE()),Моделирование!$F$2),Моделирование!$F$2)</f>
        <v>1686.17</v>
      </c>
    </row>
    <row r="654" customFormat="false" ht="15" hidden="false" customHeight="false" outlineLevel="0" collapsed="false">
      <c r="A654" s="12" t="n">
        <v>649</v>
      </c>
      <c r="B654" s="12" t="str">
        <f aca="false">'РПН 01.08 по МО'!B652</f>
        <v>ШЫМКЕНТ</v>
      </c>
      <c r="C654" s="12" t="str">
        <f aca="false">'РПН 01.08 по МО'!C652</f>
        <v>ТОО "ОркенМед"</v>
      </c>
      <c r="D654" s="12" t="str">
        <f aca="false">'РПН 01.08 по МО'!E652</f>
        <v>7900</v>
      </c>
      <c r="E654" s="12" t="str">
        <f aca="false">'РПН 01.08 по МО'!F652</f>
        <v>г. Шымкент</v>
      </c>
      <c r="F654" s="13" t="n">
        <f aca="false">'РПН 01.08 по МО'!D652</f>
        <v>23782</v>
      </c>
      <c r="G654" s="14" t="n">
        <f aca="false">INDEX('Расчет Кплотн'!$K:$K,MATCH(D654,'Расчет Кплотн'!$A:$A,0))</f>
        <v>1</v>
      </c>
      <c r="H654" s="14" t="n">
        <f aca="false">INDEX('Расчет Кплотн'!$J:$J,MATCH(D654,'Расчет Кплотн'!$A:$A,0))</f>
        <v>1</v>
      </c>
      <c r="I654" s="3" t="n">
        <f aca="false">F654*Моделирование!$F$3*M654*G654/1000</f>
        <v>481205.93928</v>
      </c>
      <c r="J654" s="3" t="n">
        <f aca="false">F654*Моделирование!$F$3*M654*H654/1000</f>
        <v>481205.93928</v>
      </c>
      <c r="K654" s="3" t="n">
        <f aca="false">J654-I654</f>
        <v>0</v>
      </c>
      <c r="L654" s="4" t="n">
        <f aca="false">IFERROR(K654/I654,0)</f>
        <v>0</v>
      </c>
      <c r="M654" s="15" t="n">
        <f aca="false">IF(INDEX('Расчет Кплотн'!$D:$D,MATCH(D654,'Расчет Кплотн'!$A:$A,0))="район",IFERROR(VLOOKUP(INDEX('Расчет Кплотн'!$B:$B,MATCH(D654,'Расчет Кплотн'!$A:$A,0)),'БКПН (приказ 170)'!$A$4:$C$10,3,FALSE()),Моделирование!$F$2),Моделирование!$F$2)</f>
        <v>1686.17</v>
      </c>
    </row>
    <row r="655" customFormat="false" ht="15" hidden="false" customHeight="false" outlineLevel="0" collapsed="false">
      <c r="A655" s="12" t="n">
        <v>650</v>
      </c>
      <c r="B655" s="12" t="str">
        <f aca="false">'РПН 01.08 по МО'!B653</f>
        <v>ШЫМКЕНТ</v>
      </c>
      <c r="C655" s="12" t="str">
        <f aca="false">'РПН 01.08 по МО'!C653</f>
        <v>ТОО "Отбасылық емхана"</v>
      </c>
      <c r="D655" s="12" t="str">
        <f aca="false">'РПН 01.08 по МО'!E653</f>
        <v>7900</v>
      </c>
      <c r="E655" s="12" t="str">
        <f aca="false">'РПН 01.08 по МО'!F653</f>
        <v>г. Шымкент</v>
      </c>
      <c r="F655" s="13" t="n">
        <f aca="false">'РПН 01.08 по МО'!D653</f>
        <v>3759</v>
      </c>
      <c r="G655" s="14" t="n">
        <f aca="false">INDEX('Расчет Кплотн'!$K:$K,MATCH(D655,'Расчет Кплотн'!$A:$A,0))</f>
        <v>1</v>
      </c>
      <c r="H655" s="14" t="n">
        <f aca="false">INDEX('Расчет Кплотн'!$J:$J,MATCH(D655,'Расчет Кплотн'!$A:$A,0))</f>
        <v>1</v>
      </c>
      <c r="I655" s="3" t="n">
        <f aca="false">F655*Моделирование!$F$3*M655*G655/1000</f>
        <v>76059.75636</v>
      </c>
      <c r="J655" s="3" t="n">
        <f aca="false">F655*Моделирование!$F$3*M655*H655/1000</f>
        <v>76059.75636</v>
      </c>
      <c r="K655" s="3" t="n">
        <f aca="false">J655-I655</f>
        <v>0</v>
      </c>
      <c r="L655" s="4" t="n">
        <f aca="false">IFERROR(K655/I655,0)</f>
        <v>0</v>
      </c>
      <c r="M655" s="15" t="n">
        <f aca="false">IF(INDEX('Расчет Кплотн'!$D:$D,MATCH(D655,'Расчет Кплотн'!$A:$A,0))="район",IFERROR(VLOOKUP(INDEX('Расчет Кплотн'!$B:$B,MATCH(D655,'Расчет Кплотн'!$A:$A,0)),'БКПН (приказ 170)'!$A$4:$C$10,3,FALSE()),Моделирование!$F$2),Моделирование!$F$2)</f>
        <v>1686.17</v>
      </c>
    </row>
    <row r="656" customFormat="false" ht="15" hidden="false" customHeight="false" outlineLevel="0" collapsed="false">
      <c r="A656" s="12" t="n">
        <v>651</v>
      </c>
      <c r="B656" s="12" t="str">
        <f aca="false">'РПН 01.08 по МО'!B654</f>
        <v>ШЫМКЕНТ</v>
      </c>
      <c r="C656" s="12" t="str">
        <f aca="false">'РПН 01.08 по МО'!C654</f>
        <v>ТОО "Шымфарм"</v>
      </c>
      <c r="D656" s="12" t="str">
        <f aca="false">'РПН 01.08 по МО'!E654</f>
        <v>7900</v>
      </c>
      <c r="E656" s="12" t="str">
        <f aca="false">'РПН 01.08 по МО'!F654</f>
        <v>г. Шымкент</v>
      </c>
      <c r="F656" s="13" t="n">
        <f aca="false">'РПН 01.08 по МО'!D654</f>
        <v>23784</v>
      </c>
      <c r="G656" s="14" t="n">
        <f aca="false">INDEX('Расчет Кплотн'!$K:$K,MATCH(D656,'Расчет Кплотн'!$A:$A,0))</f>
        <v>1</v>
      </c>
      <c r="H656" s="14" t="n">
        <f aca="false">INDEX('Расчет Кплотн'!$J:$J,MATCH(D656,'Расчет Кплотн'!$A:$A,0))</f>
        <v>1</v>
      </c>
      <c r="I656" s="3" t="n">
        <f aca="false">F656*Моделирование!$F$3*M656*G656/1000</f>
        <v>481246.40736</v>
      </c>
      <c r="J656" s="3" t="n">
        <f aca="false">F656*Моделирование!$F$3*M656*H656/1000</f>
        <v>481246.40736</v>
      </c>
      <c r="K656" s="3" t="n">
        <f aca="false">J656-I656</f>
        <v>0</v>
      </c>
      <c r="L656" s="4" t="n">
        <f aca="false">IFERROR(K656/I656,0)</f>
        <v>0</v>
      </c>
      <c r="M656" s="15" t="n">
        <f aca="false">IF(INDEX('Расчет Кплотн'!$D:$D,MATCH(D656,'Расчет Кплотн'!$A:$A,0))="район",IFERROR(VLOOKUP(INDEX('Расчет Кплотн'!$B:$B,MATCH(D656,'Расчет Кплотн'!$A:$A,0)),'БКПН (приказ 170)'!$A$4:$C$10,3,FALSE()),Моделирование!$F$2),Моделирование!$F$2)</f>
        <v>1686.17</v>
      </c>
    </row>
    <row r="657" customFormat="false" ht="15" hidden="false" customHeight="false" outlineLevel="0" collapsed="false">
      <c r="A657" s="12" t="n">
        <v>652</v>
      </c>
      <c r="B657" s="12" t="str">
        <f aca="false">'РПН 01.08 по МО'!B655</f>
        <v>ШЫМКЕНТ</v>
      </c>
      <c r="C657" s="12" t="str">
        <f aca="false">'РПН 01.08 по МО'!C655</f>
        <v>ТОО "Средне-Азиатский Высший медицинский колледж"</v>
      </c>
      <c r="D657" s="12" t="str">
        <f aca="false">'РПН 01.08 по МО'!E655</f>
        <v>7900</v>
      </c>
      <c r="E657" s="12" t="str">
        <f aca="false">'РПН 01.08 по МО'!F655</f>
        <v>г. Шымкент</v>
      </c>
      <c r="F657" s="13" t="n">
        <f aca="false">'РПН 01.08 по МО'!D655</f>
        <v>5724</v>
      </c>
      <c r="G657" s="14" t="n">
        <f aca="false">INDEX('Расчет Кплотн'!$K:$K,MATCH(D657,'Расчет Кплотн'!$A:$A,0))</f>
        <v>1</v>
      </c>
      <c r="H657" s="14" t="n">
        <f aca="false">INDEX('Расчет Кплотн'!$J:$J,MATCH(D657,'Расчет Кплотн'!$A:$A,0))</f>
        <v>1</v>
      </c>
      <c r="I657" s="3" t="n">
        <f aca="false">F657*Моделирование!$F$3*M657*G657/1000</f>
        <v>115819.64496</v>
      </c>
      <c r="J657" s="3" t="n">
        <f aca="false">F657*Моделирование!$F$3*M657*H657/1000</f>
        <v>115819.64496</v>
      </c>
      <c r="K657" s="3" t="n">
        <f aca="false">J657-I657</f>
        <v>0</v>
      </c>
      <c r="L657" s="4" t="n">
        <f aca="false">IFERROR(K657/I657,0)</f>
        <v>0</v>
      </c>
      <c r="M657" s="15" t="n">
        <f aca="false">IF(INDEX('Расчет Кплотн'!$D:$D,MATCH(D657,'Расчет Кплотн'!$A:$A,0))="район",IFERROR(VLOOKUP(INDEX('Расчет Кплотн'!$B:$B,MATCH(D657,'Расчет Кплотн'!$A:$A,0)),'БКПН (приказ 170)'!$A$4:$C$10,3,FALSE()),Моделирование!$F$2),Моделирование!$F$2)</f>
        <v>1686.17</v>
      </c>
    </row>
    <row r="658" customFormat="false" ht="15" hidden="false" customHeight="false" outlineLevel="0" collapsed="false">
      <c r="A658" s="12" t="n">
        <v>653</v>
      </c>
      <c r="B658" s="12" t="str">
        <f aca="false">'РПН 01.08 по МО'!B656</f>
        <v>ШЫМКЕНТ</v>
      </c>
      <c r="C658" s="12" t="str">
        <f aca="false">'РПН 01.08 по МО'!C656</f>
        <v>ТОО "Студенческая поликлиника"</v>
      </c>
      <c r="D658" s="12" t="str">
        <f aca="false">'РПН 01.08 по МО'!E656</f>
        <v>7900</v>
      </c>
      <c r="E658" s="12" t="str">
        <f aca="false">'РПН 01.08 по МО'!F656</f>
        <v>г. Шымкент</v>
      </c>
      <c r="F658" s="13" t="n">
        <f aca="false">'РПН 01.08 по МО'!D656</f>
        <v>12186</v>
      </c>
      <c r="G658" s="14" t="n">
        <f aca="false">INDEX('Расчет Кплотн'!$K:$K,MATCH(D658,'Расчет Кплотн'!$A:$A,0))</f>
        <v>1</v>
      </c>
      <c r="H658" s="14" t="n">
        <f aca="false">INDEX('Расчет Кплотн'!$J:$J,MATCH(D658,'Расчет Кплотн'!$A:$A,0))</f>
        <v>1</v>
      </c>
      <c r="I658" s="3" t="n">
        <f aca="false">F658*Моделирование!$F$3*M658*G658/1000</f>
        <v>246572.01144</v>
      </c>
      <c r="J658" s="3" t="n">
        <f aca="false">F658*Моделирование!$F$3*M658*H658/1000</f>
        <v>246572.01144</v>
      </c>
      <c r="K658" s="3" t="n">
        <f aca="false">J658-I658</f>
        <v>0</v>
      </c>
      <c r="L658" s="4" t="n">
        <f aca="false">IFERROR(K658/I658,0)</f>
        <v>0</v>
      </c>
      <c r="M658" s="15" t="n">
        <f aca="false">IF(INDEX('Расчет Кплотн'!$D:$D,MATCH(D658,'Расчет Кплотн'!$A:$A,0))="район",IFERROR(VLOOKUP(INDEX('Расчет Кплотн'!$B:$B,MATCH(D658,'Расчет Кплотн'!$A:$A,0)),'БКПН (приказ 170)'!$A$4:$C$10,3,FALSE()),Моделирование!$F$2),Моделирование!$F$2)</f>
        <v>1686.17</v>
      </c>
    </row>
    <row r="659" customFormat="false" ht="15" hidden="false" customHeight="false" outlineLevel="0" collapsed="false">
      <c r="A659" s="12" t="n">
        <v>654</v>
      </c>
      <c r="B659" s="12" t="str">
        <f aca="false">'РПН 01.08 по МО'!B657</f>
        <v>ШЫМКЕНТ</v>
      </c>
      <c r="C659" s="12" t="str">
        <f aca="false">'РПН 01.08 по МО'!C657</f>
        <v>ТОО "Сымбат-Нұр"</v>
      </c>
      <c r="D659" s="12" t="str">
        <f aca="false">'РПН 01.08 по МО'!E657</f>
        <v>7900</v>
      </c>
      <c r="E659" s="12" t="str">
        <f aca="false">'РПН 01.08 по МО'!F657</f>
        <v>г. Шымкент</v>
      </c>
      <c r="F659" s="13" t="n">
        <f aca="false">'РПН 01.08 по МО'!D657</f>
        <v>13732</v>
      </c>
      <c r="G659" s="14" t="n">
        <f aca="false">INDEX('Расчет Кплотн'!$K:$K,MATCH(D659,'Расчет Кплотн'!$A:$A,0))</f>
        <v>1</v>
      </c>
      <c r="H659" s="14" t="n">
        <f aca="false">INDEX('Расчет Кплотн'!$J:$J,MATCH(D659,'Расчет Кплотн'!$A:$A,0))</f>
        <v>1</v>
      </c>
      <c r="I659" s="3" t="n">
        <f aca="false">F659*Моделирование!$F$3*M659*G659/1000</f>
        <v>277853.83728</v>
      </c>
      <c r="J659" s="3" t="n">
        <f aca="false">F659*Моделирование!$F$3*M659*H659/1000</f>
        <v>277853.83728</v>
      </c>
      <c r="K659" s="3" t="n">
        <f aca="false">J659-I659</f>
        <v>0</v>
      </c>
      <c r="L659" s="4" t="n">
        <f aca="false">IFERROR(K659/I659,0)</f>
        <v>0</v>
      </c>
      <c r="M659" s="15" t="n">
        <f aca="false">IF(INDEX('Расчет Кплотн'!$D:$D,MATCH(D659,'Расчет Кплотн'!$A:$A,0))="район",IFERROR(VLOOKUP(INDEX('Расчет Кплотн'!$B:$B,MATCH(D659,'Расчет Кплотн'!$A:$A,0)),'БКПН (приказ 170)'!$A$4:$C$10,3,FALSE()),Моделирование!$F$2),Моделирование!$F$2)</f>
        <v>1686.17</v>
      </c>
    </row>
    <row r="660" customFormat="false" ht="15" hidden="false" customHeight="false" outlineLevel="0" collapsed="false">
      <c r="A660" s="12" t="n">
        <v>655</v>
      </c>
      <c r="B660" s="12" t="str">
        <f aca="false">'РПН 01.08 по МО'!B658</f>
        <v>ШЫМКЕНТ</v>
      </c>
      <c r="C660" s="12" t="str">
        <f aca="false">'РПН 01.08 по МО'!C658</f>
        <v>ТОО "NURDAUA"</v>
      </c>
      <c r="D660" s="12" t="str">
        <f aca="false">'РПН 01.08 по МО'!E658</f>
        <v>7900</v>
      </c>
      <c r="E660" s="12" t="str">
        <f aca="false">'РПН 01.08 по МО'!F658</f>
        <v>г. Шымкент</v>
      </c>
      <c r="F660" s="13" t="n">
        <f aca="false">'РПН 01.08 по МО'!D658</f>
        <v>2826</v>
      </c>
      <c r="G660" s="14" t="n">
        <f aca="false">INDEX('Расчет Кплотн'!$K:$K,MATCH(D660,'Расчет Кплотн'!$A:$A,0))</f>
        <v>1</v>
      </c>
      <c r="H660" s="14" t="n">
        <f aca="false">INDEX('Расчет Кплотн'!$J:$J,MATCH(D660,'Расчет Кплотн'!$A:$A,0))</f>
        <v>1</v>
      </c>
      <c r="I660" s="3" t="n">
        <f aca="false">F660*Моделирование!$F$3*M660*G660/1000</f>
        <v>57181.39704</v>
      </c>
      <c r="J660" s="3" t="n">
        <f aca="false">F660*Моделирование!$F$3*M660*H660/1000</f>
        <v>57181.39704</v>
      </c>
      <c r="K660" s="3" t="n">
        <f aca="false">J660-I660</f>
        <v>0</v>
      </c>
      <c r="L660" s="4" t="n">
        <f aca="false">IFERROR(K660/I660,0)</f>
        <v>0</v>
      </c>
      <c r="M660" s="15" t="n">
        <f aca="false">IF(INDEX('Расчет Кплотн'!$D:$D,MATCH(D660,'Расчет Кплотн'!$A:$A,0))="район",IFERROR(VLOOKUP(INDEX('Расчет Кплотн'!$B:$B,MATCH(D660,'Расчет Кплотн'!$A:$A,0)),'БКПН (приказ 170)'!$A$4:$C$10,3,FALSE()),Моделирование!$F$2),Моделирование!$F$2)</f>
        <v>1686.17</v>
      </c>
    </row>
    <row r="661" customFormat="false" ht="15" hidden="false" customHeight="false" outlineLevel="0" collapsed="false">
      <c r="A661" s="12" t="n">
        <v>656</v>
      </c>
      <c r="B661" s="12" t="str">
        <f aca="false">'РПН 01.08 по МО'!B659</f>
        <v>ШЫМКЕНТ</v>
      </c>
      <c r="C661" s="12" t="str">
        <f aca="false">'РПН 01.08 по МО'!C659</f>
        <v>ТОО "Медицинский центр "Алтын Тұмар"</v>
      </c>
      <c r="D661" s="12" t="str">
        <f aca="false">'РПН 01.08 по МО'!E659</f>
        <v>7900</v>
      </c>
      <c r="E661" s="12" t="str">
        <f aca="false">'РПН 01.08 по МО'!F659</f>
        <v>г. Шымкент</v>
      </c>
      <c r="F661" s="13" t="n">
        <f aca="false">'РПН 01.08 по МО'!D659</f>
        <v>4285</v>
      </c>
      <c r="G661" s="14" t="n">
        <f aca="false">INDEX('Расчет Кплотн'!$K:$K,MATCH(D661,'Расчет Кплотн'!$A:$A,0))</f>
        <v>1</v>
      </c>
      <c r="H661" s="14" t="n">
        <f aca="false">INDEX('Расчет Кплотн'!$J:$J,MATCH(D661,'Расчет Кплотн'!$A:$A,0))</f>
        <v>1</v>
      </c>
      <c r="I661" s="3" t="n">
        <f aca="false">F661*Моделирование!$F$3*M661*G661/1000</f>
        <v>86702.8614</v>
      </c>
      <c r="J661" s="3" t="n">
        <f aca="false">F661*Моделирование!$F$3*M661*H661/1000</f>
        <v>86702.8614</v>
      </c>
      <c r="K661" s="3" t="n">
        <f aca="false">J661-I661</f>
        <v>0</v>
      </c>
      <c r="L661" s="4" t="n">
        <f aca="false">IFERROR(K661/I661,0)</f>
        <v>0</v>
      </c>
      <c r="M661" s="15" t="n">
        <f aca="false">IF(INDEX('Расчет Кплотн'!$D:$D,MATCH(D661,'Расчет Кплотн'!$A:$A,0))="район",IFERROR(VLOOKUP(INDEX('Расчет Кплотн'!$B:$B,MATCH(D661,'Расчет Кплотн'!$A:$A,0)),'БКПН (приказ 170)'!$A$4:$C$10,3,FALSE()),Моделирование!$F$2),Моделирование!$F$2)</f>
        <v>1686.17</v>
      </c>
    </row>
    <row r="662" customFormat="false" ht="15" hidden="false" customHeight="false" outlineLevel="0" collapsed="false">
      <c r="A662" s="12" t="n">
        <v>657</v>
      </c>
      <c r="B662" s="12" t="str">
        <f aca="false">'РПН 01.08 по МО'!B660</f>
        <v>ШЫМКЕНТ</v>
      </c>
      <c r="C662" s="12" t="str">
        <f aca="false">'РПН 01.08 по МО'!C660</f>
        <v>ТОО "Medical City"</v>
      </c>
      <c r="D662" s="12" t="str">
        <f aca="false">'РПН 01.08 по МО'!E660</f>
        <v>7900</v>
      </c>
      <c r="E662" s="12" t="str">
        <f aca="false">'РПН 01.08 по МО'!F660</f>
        <v>г. Шымкент</v>
      </c>
      <c r="F662" s="13" t="n">
        <f aca="false">'РПН 01.08 по МО'!D660</f>
        <v>2488</v>
      </c>
      <c r="G662" s="14" t="n">
        <f aca="false">INDEX('Расчет Кплотн'!$K:$K,MATCH(D662,'Расчет Кплотн'!$A:$A,0))</f>
        <v>1</v>
      </c>
      <c r="H662" s="14" t="n">
        <f aca="false">INDEX('Расчет Кплотн'!$J:$J,MATCH(D662,'Расчет Кплотн'!$A:$A,0))</f>
        <v>1</v>
      </c>
      <c r="I662" s="3" t="n">
        <f aca="false">F662*Моделирование!$F$3*M662*G662/1000</f>
        <v>50342.29152</v>
      </c>
      <c r="J662" s="3" t="n">
        <f aca="false">F662*Моделирование!$F$3*M662*H662/1000</f>
        <v>50342.29152</v>
      </c>
      <c r="K662" s="3" t="n">
        <f aca="false">J662-I662</f>
        <v>0</v>
      </c>
      <c r="L662" s="4" t="n">
        <f aca="false">IFERROR(K662/I662,0)</f>
        <v>0</v>
      </c>
      <c r="M662" s="15" t="n">
        <f aca="false">IF(INDEX('Расчет Кплотн'!$D:$D,MATCH(D662,'Расчет Кплотн'!$A:$A,0))="район",IFERROR(VLOOKUP(INDEX('Расчет Кплотн'!$B:$B,MATCH(D662,'Расчет Кплотн'!$A:$A,0)),'БКПН (приказ 170)'!$A$4:$C$10,3,FALSE()),Моделирование!$F$2),Моделирование!$F$2)</f>
        <v>1686.17</v>
      </c>
    </row>
    <row r="663" customFormat="false" ht="15" hidden="false" customHeight="false" outlineLevel="0" collapsed="false">
      <c r="A663" s="12" t="n">
        <v>658</v>
      </c>
      <c r="B663" s="12" t="str">
        <f aca="false">'РПН 01.08 по МО'!B661</f>
        <v>ШЫМКЕНТ</v>
      </c>
      <c r="C663" s="12" t="str">
        <f aca="false">'РПН 01.08 по МО'!C661</f>
        <v>Государственное коммунальное предприятие на праве хозяйственного ведения "Городская поликлиника №10" управления здравоохранения города Шымкент</v>
      </c>
      <c r="D663" s="12" t="str">
        <f aca="false">'РПН 01.08 по МО'!E661</f>
        <v>7900</v>
      </c>
      <c r="E663" s="12" t="str">
        <f aca="false">'РПН 01.08 по МО'!F661</f>
        <v>г. Шымкент</v>
      </c>
      <c r="F663" s="13" t="n">
        <f aca="false">'РПН 01.08 по МО'!D661</f>
        <v>35761</v>
      </c>
      <c r="G663" s="14" t="n">
        <f aca="false">INDEX('Расчет Кплотн'!$K:$K,MATCH(D663,'Расчет Кплотн'!$A:$A,0))</f>
        <v>1</v>
      </c>
      <c r="H663" s="14" t="n">
        <f aca="false">INDEX('Расчет Кплотн'!$J:$J,MATCH(D663,'Расчет Кплотн'!$A:$A,0))</f>
        <v>1</v>
      </c>
      <c r="I663" s="3" t="n">
        <f aca="false">F663*Моделирование!$F$3*M663*G663/1000</f>
        <v>723589.50444</v>
      </c>
      <c r="J663" s="3" t="n">
        <f aca="false">F663*Моделирование!$F$3*M663*H663/1000</f>
        <v>723589.50444</v>
      </c>
      <c r="K663" s="3" t="n">
        <f aca="false">J663-I663</f>
        <v>0</v>
      </c>
      <c r="L663" s="4" t="n">
        <f aca="false">IFERROR(K663/I663,0)</f>
        <v>0</v>
      </c>
      <c r="M663" s="15" t="n">
        <f aca="false">IF(INDEX('Расчет Кплотн'!$D:$D,MATCH(D663,'Расчет Кплотн'!$A:$A,0))="район",IFERROR(VLOOKUP(INDEX('Расчет Кплотн'!$B:$B,MATCH(D663,'Расчет Кплотн'!$A:$A,0)),'БКПН (приказ 170)'!$A$4:$C$10,3,FALSE()),Моделирование!$F$2),Моделирование!$F$2)</f>
        <v>1686.17</v>
      </c>
    </row>
    <row r="664" customFormat="false" ht="15" hidden="false" customHeight="false" outlineLevel="0" collapsed="false">
      <c r="A664" s="12" t="n">
        <v>659</v>
      </c>
      <c r="B664" s="12" t="str">
        <f aca="false">'РПН 01.08 по МО'!B662</f>
        <v>ШЫМКЕНТ</v>
      </c>
      <c r="C664" s="12" t="str">
        <f aca="false">'РПН 01.08 по МО'!C662</f>
        <v>ТОО "Klinika Qazygurt"</v>
      </c>
      <c r="D664" s="12" t="str">
        <f aca="false">'РПН 01.08 по МО'!E662</f>
        <v>7900</v>
      </c>
      <c r="E664" s="12" t="str">
        <f aca="false">'РПН 01.08 по МО'!F662</f>
        <v>г. Шымкент</v>
      </c>
      <c r="F664" s="13" t="n">
        <f aca="false">'РПН 01.08 по МО'!D662</f>
        <v>16876</v>
      </c>
      <c r="G664" s="14" t="n">
        <f aca="false">INDEX('Расчет Кплотн'!$K:$K,MATCH(D664,'Расчет Кплотн'!$A:$A,0))</f>
        <v>1</v>
      </c>
      <c r="H664" s="14" t="n">
        <f aca="false">INDEX('Расчет Кплотн'!$J:$J,MATCH(D664,'Расчет Кплотн'!$A:$A,0))</f>
        <v>1</v>
      </c>
      <c r="I664" s="3" t="n">
        <f aca="false">F664*Моделирование!$F$3*M664*G664/1000</f>
        <v>341469.65904</v>
      </c>
      <c r="J664" s="3" t="n">
        <f aca="false">F664*Моделирование!$F$3*M664*H664/1000</f>
        <v>341469.65904</v>
      </c>
      <c r="K664" s="3" t="n">
        <f aca="false">J664-I664</f>
        <v>0</v>
      </c>
      <c r="L664" s="4" t="n">
        <f aca="false">IFERROR(K664/I664,0)</f>
        <v>0</v>
      </c>
      <c r="M664" s="15" t="n">
        <f aca="false">IF(INDEX('Расчет Кплотн'!$D:$D,MATCH(D664,'Расчет Кплотн'!$A:$A,0))="район",IFERROR(VLOOKUP(INDEX('Расчет Кплотн'!$B:$B,MATCH(D664,'Расчет Кплотн'!$A:$A,0)),'БКПН (приказ 170)'!$A$4:$C$10,3,FALSE()),Моделирование!$F$2),Моделирование!$F$2)</f>
        <v>1686.17</v>
      </c>
    </row>
    <row r="665" customFormat="false" ht="15" hidden="false" customHeight="false" outlineLevel="0" collapsed="false">
      <c r="A665" s="12" t="n">
        <v>660</v>
      </c>
      <c r="B665" s="12" t="str">
        <f aca="false">'РПН 01.08 по МО'!B663</f>
        <v>ШЫМКЕНТ</v>
      </c>
      <c r="C665" s="12" t="str">
        <f aca="false">'РПН 01.08 по МО'!C663</f>
        <v>ТОО "Эскулап-Vita"</v>
      </c>
      <c r="D665" s="12" t="str">
        <f aca="false">'РПН 01.08 по МО'!E663</f>
        <v>7900</v>
      </c>
      <c r="E665" s="12" t="str">
        <f aca="false">'РПН 01.08 по МО'!F663</f>
        <v>г. Шымкент</v>
      </c>
      <c r="F665" s="13" t="n">
        <f aca="false">'РПН 01.08 по МО'!D663</f>
        <v>13081</v>
      </c>
      <c r="G665" s="14" t="n">
        <f aca="false">INDEX('Расчет Кплотн'!$K:$K,MATCH(D665,'Расчет Кплотн'!$A:$A,0))</f>
        <v>1</v>
      </c>
      <c r="H665" s="14" t="n">
        <f aca="false">INDEX('Расчет Кплотн'!$J:$J,MATCH(D665,'Расчет Кплотн'!$A:$A,0))</f>
        <v>1</v>
      </c>
      <c r="I665" s="3" t="n">
        <f aca="false">F665*Моделирование!$F$3*M665*G665/1000</f>
        <v>264681.47724</v>
      </c>
      <c r="J665" s="3" t="n">
        <f aca="false">F665*Моделирование!$F$3*M665*H665/1000</f>
        <v>264681.47724</v>
      </c>
      <c r="K665" s="3" t="n">
        <f aca="false">J665-I665</f>
        <v>0</v>
      </c>
      <c r="L665" s="4" t="n">
        <f aca="false">IFERROR(K665/I665,0)</f>
        <v>0</v>
      </c>
      <c r="M665" s="15" t="n">
        <f aca="false">IF(INDEX('Расчет Кплотн'!$D:$D,MATCH(D665,'Расчет Кплотн'!$A:$A,0))="район",IFERROR(VLOOKUP(INDEX('Расчет Кплотн'!$B:$B,MATCH(D665,'Расчет Кплотн'!$A:$A,0)),'БКПН (приказ 170)'!$A$4:$C$10,3,FALSE()),Моделирование!$F$2),Моделирование!$F$2)</f>
        <v>1686.17</v>
      </c>
    </row>
    <row r="666" customFormat="false" ht="15" hidden="false" customHeight="false" outlineLevel="0" collapsed="false">
      <c r="A666" s="12" t="n">
        <v>661</v>
      </c>
      <c r="B666" s="12" t="str">
        <f aca="false">'РПН 01.08 по МО'!B664</f>
        <v>ШЫМКЕНТ</v>
      </c>
      <c r="C666" s="12" t="str">
        <f aca="false">'РПН 01.08 по МО'!C664</f>
        <v>ГКП на праве хозяйственного ведения "Городская поликлиника №1" управления здравоохранения города Шымкент</v>
      </c>
      <c r="D666" s="12" t="str">
        <f aca="false">'РПН 01.08 по МО'!E664</f>
        <v>7900</v>
      </c>
      <c r="E666" s="12" t="str">
        <f aca="false">'РПН 01.08 по МО'!F664</f>
        <v>г. Шымкент</v>
      </c>
      <c r="F666" s="13" t="n">
        <f aca="false">'РПН 01.08 по МО'!D664</f>
        <v>38205</v>
      </c>
      <c r="G666" s="14" t="n">
        <f aca="false">INDEX('Расчет Кплотн'!$K:$K,MATCH(D666,'Расчет Кплотн'!$A:$A,0))</f>
        <v>1</v>
      </c>
      <c r="H666" s="14" t="n">
        <f aca="false">INDEX('Расчет Кплотн'!$J:$J,MATCH(D666,'Расчет Кплотн'!$A:$A,0))</f>
        <v>1</v>
      </c>
      <c r="I666" s="3" t="n">
        <f aca="false">F666*Моделирование!$F$3*M666*G666/1000</f>
        <v>773041.4982</v>
      </c>
      <c r="J666" s="3" t="n">
        <f aca="false">F666*Моделирование!$F$3*M666*H666/1000</f>
        <v>773041.4982</v>
      </c>
      <c r="K666" s="3" t="n">
        <f aca="false">J666-I666</f>
        <v>0</v>
      </c>
      <c r="L666" s="4" t="n">
        <f aca="false">IFERROR(K666/I666,0)</f>
        <v>0</v>
      </c>
      <c r="M666" s="15" t="n">
        <f aca="false">IF(INDEX('Расчет Кплотн'!$D:$D,MATCH(D666,'Расчет Кплотн'!$A:$A,0))="район",IFERROR(VLOOKUP(INDEX('Расчет Кплотн'!$B:$B,MATCH(D666,'Расчет Кплотн'!$A:$A,0)),'БКПН (приказ 170)'!$A$4:$C$10,3,FALSE()),Моделирование!$F$2),Моделирование!$F$2)</f>
        <v>1686.17</v>
      </c>
    </row>
    <row r="667" customFormat="false" ht="15" hidden="false" customHeight="false" outlineLevel="0" collapsed="false">
      <c r="A667" s="12" t="n">
        <v>662</v>
      </c>
      <c r="B667" s="12" t="str">
        <f aca="false">'РПН 01.08 по МО'!B665</f>
        <v>ШЫМКЕНТ</v>
      </c>
      <c r="C667" s="12" t="str">
        <f aca="false">'РПН 01.08 по МО'!C665</f>
        <v>Государственное коммунальное предприятие на праве хозяйственного ведения "Городская больница №2" управления здравоохранения города Шымкента</v>
      </c>
      <c r="D667" s="12" t="str">
        <f aca="false">'РПН 01.08 по МО'!E665</f>
        <v>7900</v>
      </c>
      <c r="E667" s="12" t="str">
        <f aca="false">'РПН 01.08 по МО'!F665</f>
        <v>г. Шымкент</v>
      </c>
      <c r="F667" s="13" t="n">
        <f aca="false">'РПН 01.08 по МО'!D665</f>
        <v>30393</v>
      </c>
      <c r="G667" s="14" t="n">
        <f aca="false">INDEX('Расчет Кплотн'!$K:$K,MATCH(D667,'Расчет Кплотн'!$A:$A,0))</f>
        <v>1</v>
      </c>
      <c r="H667" s="14" t="n">
        <f aca="false">INDEX('Расчет Кплотн'!$J:$J,MATCH(D667,'Расчет Кплотн'!$A:$A,0))</f>
        <v>1</v>
      </c>
      <c r="I667" s="3" t="n">
        <f aca="false">F667*Моделирование!$F$3*M667*G667/1000</f>
        <v>614973.17772</v>
      </c>
      <c r="J667" s="3" t="n">
        <f aca="false">F667*Моделирование!$F$3*M667*H667/1000</f>
        <v>614973.17772</v>
      </c>
      <c r="K667" s="3" t="n">
        <f aca="false">J667-I667</f>
        <v>0</v>
      </c>
      <c r="L667" s="4" t="n">
        <f aca="false">IFERROR(K667/I667,0)</f>
        <v>0</v>
      </c>
      <c r="M667" s="15" t="n">
        <f aca="false">IF(INDEX('Расчет Кплотн'!$D:$D,MATCH(D667,'Расчет Кплотн'!$A:$A,0))="район",IFERROR(VLOOKUP(INDEX('Расчет Кплотн'!$B:$B,MATCH(D667,'Расчет Кплотн'!$A:$A,0)),'БКПН (приказ 170)'!$A$4:$C$10,3,FALSE()),Моделирование!$F$2),Моделирование!$F$2)</f>
        <v>1686.17</v>
      </c>
    </row>
    <row r="668" customFormat="false" ht="15" hidden="false" customHeight="false" outlineLevel="0" collapsed="false">
      <c r="A668" s="12" t="n">
        <v>663</v>
      </c>
      <c r="B668" s="12" t="str">
        <f aca="false">'РПН 01.08 по МО'!B666</f>
        <v>ШЫМКЕНТ</v>
      </c>
      <c r="C668" s="12" t="str">
        <f aca="false">'РПН 01.08 по МО'!C666</f>
        <v>Государственное коммунальное предприятие на праве хозяйственного ведения "Городская поликлиника № 2" управления здравоохранения города Шымкент</v>
      </c>
      <c r="D668" s="12" t="str">
        <f aca="false">'РПН 01.08 по МО'!E666</f>
        <v>7900</v>
      </c>
      <c r="E668" s="12" t="str">
        <f aca="false">'РПН 01.08 по МО'!F666</f>
        <v>г. Шымкент</v>
      </c>
      <c r="F668" s="13" t="n">
        <f aca="false">'РПН 01.08 по МО'!D666</f>
        <v>54548</v>
      </c>
      <c r="G668" s="14" t="n">
        <f aca="false">INDEX('Расчет Кплотн'!$K:$K,MATCH(D668,'Расчет Кплотн'!$A:$A,0))</f>
        <v>1</v>
      </c>
      <c r="H668" s="14" t="n">
        <f aca="false">INDEX('Расчет Кплотн'!$J:$J,MATCH(D668,'Расчет Кплотн'!$A:$A,0))</f>
        <v>1</v>
      </c>
      <c r="I668" s="3" t="n">
        <f aca="false">F668*Моделирование!$F$3*M668*G668/1000</f>
        <v>1103726.41392</v>
      </c>
      <c r="J668" s="3" t="n">
        <f aca="false">F668*Моделирование!$F$3*M668*H668/1000</f>
        <v>1103726.41392</v>
      </c>
      <c r="K668" s="3" t="n">
        <f aca="false">J668-I668</f>
        <v>0</v>
      </c>
      <c r="L668" s="4" t="n">
        <f aca="false">IFERROR(K668/I668,0)</f>
        <v>0</v>
      </c>
      <c r="M668" s="15" t="n">
        <f aca="false">IF(INDEX('Расчет Кплотн'!$D:$D,MATCH(D668,'Расчет Кплотн'!$A:$A,0))="район",IFERROR(VLOOKUP(INDEX('Расчет Кплотн'!$B:$B,MATCH(D668,'Расчет Кплотн'!$A:$A,0)),'БКПН (приказ 170)'!$A$4:$C$10,3,FALSE()),Моделирование!$F$2),Моделирование!$F$2)</f>
        <v>1686.17</v>
      </c>
    </row>
    <row r="669" customFormat="false" ht="15" hidden="false" customHeight="false" outlineLevel="0" collapsed="false">
      <c r="A669" s="12" t="n">
        <v>664</v>
      </c>
      <c r="B669" s="12" t="str">
        <f aca="false">'РПН 01.08 по МО'!B667</f>
        <v>ШЫМКЕНТ</v>
      </c>
      <c r="C669" s="12" t="str">
        <f aca="false">'РПН 01.08 по МО'!C667</f>
        <v>Государственное коммунальное предприятие на праве хозяйственного ведения "Городская поликлиника №12" управления здравоохранения города Шымкент</v>
      </c>
      <c r="D669" s="12" t="str">
        <f aca="false">'РПН 01.08 по МО'!E667</f>
        <v>7900</v>
      </c>
      <c r="E669" s="12" t="str">
        <f aca="false">'РПН 01.08 по МО'!F667</f>
        <v>г. Шымкент</v>
      </c>
      <c r="F669" s="13" t="n">
        <f aca="false">'РПН 01.08 по МО'!D667</f>
        <v>62071</v>
      </c>
      <c r="G669" s="14" t="n">
        <f aca="false">INDEX('Расчет Кплотн'!$K:$K,MATCH(D669,'Расчет Кплотн'!$A:$A,0))</f>
        <v>1</v>
      </c>
      <c r="H669" s="14" t="n">
        <f aca="false">INDEX('Расчет Кплотн'!$J:$J,MATCH(D669,'Расчет Кплотн'!$A:$A,0))</f>
        <v>1</v>
      </c>
      <c r="I669" s="3" t="n">
        <f aca="false">F669*Моделирование!$F$3*M669*G669/1000</f>
        <v>1255947.09684</v>
      </c>
      <c r="J669" s="3" t="n">
        <f aca="false">F669*Моделирование!$F$3*M669*H669/1000</f>
        <v>1255947.09684</v>
      </c>
      <c r="K669" s="3" t="n">
        <f aca="false">J669-I669</f>
        <v>0</v>
      </c>
      <c r="L669" s="4" t="n">
        <f aca="false">IFERROR(K669/I669,0)</f>
        <v>0</v>
      </c>
      <c r="M669" s="15" t="n">
        <f aca="false">IF(INDEX('Расчет Кплотн'!$D:$D,MATCH(D669,'Расчет Кплотн'!$A:$A,0))="район",IFERROR(VLOOKUP(INDEX('Расчет Кплотн'!$B:$B,MATCH(D669,'Расчет Кплотн'!$A:$A,0)),'БКПН (приказ 170)'!$A$4:$C$10,3,FALSE()),Моделирование!$F$2),Моделирование!$F$2)</f>
        <v>1686.17</v>
      </c>
    </row>
    <row r="670" customFormat="false" ht="15" hidden="false" customHeight="false" outlineLevel="0" collapsed="false">
      <c r="A670" s="12" t="n">
        <v>665</v>
      </c>
      <c r="B670" s="12" t="str">
        <f aca="false">'РПН 01.08 по МО'!B668</f>
        <v>ШЫМКЕНТ</v>
      </c>
      <c r="C670" s="12" t="str">
        <f aca="false">'РПН 01.08 по МО'!C668</f>
        <v>Государственное коммунальное предприятие на праве хозяйственного ведения "Городская поликлиника №3" управления здравоохранения города Шымкент</v>
      </c>
      <c r="D670" s="12" t="str">
        <f aca="false">'РПН 01.08 по МО'!E668</f>
        <v>7900</v>
      </c>
      <c r="E670" s="12" t="str">
        <f aca="false">'РПН 01.08 по МО'!F668</f>
        <v>г. Шымкент</v>
      </c>
      <c r="F670" s="13" t="n">
        <f aca="false">'РПН 01.08 по МО'!D668</f>
        <v>55688</v>
      </c>
      <c r="G670" s="14" t="n">
        <f aca="false">INDEX('Расчет Кплотн'!$K:$K,MATCH(D670,'Расчет Кплотн'!$A:$A,0))</f>
        <v>1</v>
      </c>
      <c r="H670" s="14" t="n">
        <f aca="false">INDEX('Расчет Кплотн'!$J:$J,MATCH(D670,'Расчет Кплотн'!$A:$A,0))</f>
        <v>1</v>
      </c>
      <c r="I670" s="3" t="n">
        <f aca="false">F670*Моделирование!$F$3*M670*G670/1000</f>
        <v>1126793.21952</v>
      </c>
      <c r="J670" s="3" t="n">
        <f aca="false">F670*Моделирование!$F$3*M670*H670/1000</f>
        <v>1126793.21952</v>
      </c>
      <c r="K670" s="3" t="n">
        <f aca="false">J670-I670</f>
        <v>0</v>
      </c>
      <c r="L670" s="4" t="n">
        <f aca="false">IFERROR(K670/I670,0)</f>
        <v>0</v>
      </c>
      <c r="M670" s="15" t="n">
        <f aca="false">IF(INDEX('Расчет Кплотн'!$D:$D,MATCH(D670,'Расчет Кплотн'!$A:$A,0))="район",IFERROR(VLOOKUP(INDEX('Расчет Кплотн'!$B:$B,MATCH(D670,'Расчет Кплотн'!$A:$A,0)),'БКПН (приказ 170)'!$A$4:$C$10,3,FALSE()),Моделирование!$F$2),Моделирование!$F$2)</f>
        <v>1686.17</v>
      </c>
    </row>
    <row r="671" customFormat="false" ht="15" hidden="false" customHeight="false" outlineLevel="0" collapsed="false">
      <c r="A671" s="12" t="n">
        <v>666</v>
      </c>
      <c r="B671" s="12" t="str">
        <f aca="false">'РПН 01.08 по МО'!B669</f>
        <v>ШЫМКЕНТ</v>
      </c>
      <c r="C671" s="12" t="str">
        <f aca="false">'РПН 01.08 по МО'!C669</f>
        <v>Государственное коммунальное предприятие на праве хозяйственного ведения "Городская поликлиника №4" управления здравоохранения города Шымкент</v>
      </c>
      <c r="D671" s="12" t="str">
        <f aca="false">'РПН 01.08 по МО'!E669</f>
        <v>7900</v>
      </c>
      <c r="E671" s="12" t="str">
        <f aca="false">'РПН 01.08 по МО'!F669</f>
        <v>г. Шымкент</v>
      </c>
      <c r="F671" s="13" t="n">
        <f aca="false">'РПН 01.08 по МО'!D669</f>
        <v>34933</v>
      </c>
      <c r="G671" s="14" t="n">
        <f aca="false">INDEX('Расчет Кплотн'!$K:$K,MATCH(D671,'Расчет Кплотн'!$A:$A,0))</f>
        <v>1</v>
      </c>
      <c r="H671" s="14" t="n">
        <f aca="false">INDEX('Расчет Кплотн'!$J:$J,MATCH(D671,'Расчет Кплотн'!$A:$A,0))</f>
        <v>1</v>
      </c>
      <c r="I671" s="3" t="n">
        <f aca="false">F671*Моделирование!$F$3*M671*G671/1000</f>
        <v>706835.71932</v>
      </c>
      <c r="J671" s="3" t="n">
        <f aca="false">F671*Моделирование!$F$3*M671*H671/1000</f>
        <v>706835.71932</v>
      </c>
      <c r="K671" s="3" t="n">
        <f aca="false">J671-I671</f>
        <v>0</v>
      </c>
      <c r="L671" s="4" t="n">
        <f aca="false">IFERROR(K671/I671,0)</f>
        <v>0</v>
      </c>
      <c r="M671" s="15" t="n">
        <f aca="false">IF(INDEX('Расчет Кплотн'!$D:$D,MATCH(D671,'Расчет Кплотн'!$A:$A,0))="район",IFERROR(VLOOKUP(INDEX('Расчет Кплотн'!$B:$B,MATCH(D671,'Расчет Кплотн'!$A:$A,0)),'БКПН (приказ 170)'!$A$4:$C$10,3,FALSE()),Моделирование!$F$2),Моделирование!$F$2)</f>
        <v>1686.17</v>
      </c>
    </row>
    <row r="672" customFormat="false" ht="15" hidden="false" customHeight="false" outlineLevel="0" collapsed="false">
      <c r="A672" s="12" t="n">
        <v>667</v>
      </c>
      <c r="B672" s="12" t="str">
        <f aca="false">'РПН 01.08 по МО'!B670</f>
        <v>ШЫМКЕНТ</v>
      </c>
      <c r="C672" s="12" t="str">
        <f aca="false">'РПН 01.08 по МО'!C670</f>
        <v>Государственное коммунальное предприятие на праве хозяйственного ведения "Городская поликлиника №5" управления здравоохранения города Шымкент</v>
      </c>
      <c r="D672" s="12" t="str">
        <f aca="false">'РПН 01.08 по МО'!E670</f>
        <v>7900</v>
      </c>
      <c r="E672" s="12" t="str">
        <f aca="false">'РПН 01.08 по МО'!F670</f>
        <v>г. Шымкент</v>
      </c>
      <c r="F672" s="13" t="n">
        <f aca="false">'РПН 01.08 по МО'!D670</f>
        <v>55169</v>
      </c>
      <c r="G672" s="14" t="n">
        <f aca="false">INDEX('Расчет Кплотн'!$K:$K,MATCH(D672,'Расчет Кплотн'!$A:$A,0))</f>
        <v>1</v>
      </c>
      <c r="H672" s="14" t="n">
        <f aca="false">INDEX('Расчет Кплотн'!$J:$J,MATCH(D672,'Расчет Кплотн'!$A:$A,0))</f>
        <v>1</v>
      </c>
      <c r="I672" s="3" t="n">
        <f aca="false">F672*Моделирование!$F$3*M672*G672/1000</f>
        <v>1116291.75276</v>
      </c>
      <c r="J672" s="3" t="n">
        <f aca="false">F672*Моделирование!$F$3*M672*H672/1000</f>
        <v>1116291.75276</v>
      </c>
      <c r="K672" s="3" t="n">
        <f aca="false">J672-I672</f>
        <v>0</v>
      </c>
      <c r="L672" s="4" t="n">
        <f aca="false">IFERROR(K672/I672,0)</f>
        <v>0</v>
      </c>
      <c r="M672" s="15" t="n">
        <f aca="false">IF(INDEX('Расчет Кплотн'!$D:$D,MATCH(D672,'Расчет Кплотн'!$A:$A,0))="район",IFERROR(VLOOKUP(INDEX('Расчет Кплотн'!$B:$B,MATCH(D672,'Расчет Кплотн'!$A:$A,0)),'БКПН (приказ 170)'!$A$4:$C$10,3,FALSE()),Моделирование!$F$2),Моделирование!$F$2)</f>
        <v>1686.17</v>
      </c>
    </row>
    <row r="673" customFormat="false" ht="15" hidden="false" customHeight="false" outlineLevel="0" collapsed="false">
      <c r="A673" s="12" t="n">
        <v>668</v>
      </c>
      <c r="B673" s="12" t="str">
        <f aca="false">'РПН 01.08 по МО'!B671</f>
        <v>ШЫМКЕНТ</v>
      </c>
      <c r="C673" s="12" t="str">
        <f aca="false">'РПН 01.08 по МО'!C671</f>
        <v>Государственное коммунальное предприятие на праве хозяйственного ведения "Городская поликлиника №6" управления здравоохранения города Шымкент</v>
      </c>
      <c r="D673" s="12" t="str">
        <f aca="false">'РПН 01.08 по МО'!E671</f>
        <v>7900</v>
      </c>
      <c r="E673" s="12" t="str">
        <f aca="false">'РПН 01.08 по МО'!F671</f>
        <v>г. Шымкент</v>
      </c>
      <c r="F673" s="13" t="n">
        <f aca="false">'РПН 01.08 по МО'!D671</f>
        <v>61012</v>
      </c>
      <c r="G673" s="14" t="n">
        <f aca="false">INDEX('Расчет Кплотн'!$K:$K,MATCH(D673,'Расчет Кплотн'!$A:$A,0))</f>
        <v>1</v>
      </c>
      <c r="H673" s="14" t="n">
        <f aca="false">INDEX('Расчет Кплотн'!$J:$J,MATCH(D673,'Расчет Кплотн'!$A:$A,0))</f>
        <v>1</v>
      </c>
      <c r="I673" s="3" t="n">
        <f aca="false">F673*Моделирование!$F$3*M673*G673/1000</f>
        <v>1234519.24848</v>
      </c>
      <c r="J673" s="3" t="n">
        <f aca="false">F673*Моделирование!$F$3*M673*H673/1000</f>
        <v>1234519.24848</v>
      </c>
      <c r="K673" s="3" t="n">
        <f aca="false">J673-I673</f>
        <v>0</v>
      </c>
      <c r="L673" s="4" t="n">
        <f aca="false">IFERROR(K673/I673,0)</f>
        <v>0</v>
      </c>
      <c r="M673" s="15" t="n">
        <f aca="false">IF(INDEX('Расчет Кплотн'!$D:$D,MATCH(D673,'Расчет Кплотн'!$A:$A,0))="район",IFERROR(VLOOKUP(INDEX('Расчет Кплотн'!$B:$B,MATCH(D673,'Расчет Кплотн'!$A:$A,0)),'БКПН (приказ 170)'!$A$4:$C$10,3,FALSE()),Моделирование!$F$2),Моделирование!$F$2)</f>
        <v>1686.17</v>
      </c>
    </row>
    <row r="674" customFormat="false" ht="15" hidden="false" customHeight="false" outlineLevel="0" collapsed="false">
      <c r="A674" s="12" t="n">
        <v>669</v>
      </c>
      <c r="B674" s="12" t="str">
        <f aca="false">'РПН 01.08 по МО'!B672</f>
        <v>ШЫМКЕНТ</v>
      </c>
      <c r="C674" s="12" t="str">
        <f aca="false">'РПН 01.08 по МО'!C672</f>
        <v>Государственное коммунальное предприятие на праве хозяйственного ведения "Городская поликлиника №7" управления здравоохранения города Шымкент"</v>
      </c>
      <c r="D674" s="12" t="str">
        <f aca="false">'РПН 01.08 по МО'!E672</f>
        <v>7900</v>
      </c>
      <c r="E674" s="12" t="str">
        <f aca="false">'РПН 01.08 по МО'!F672</f>
        <v>г. Шымкент</v>
      </c>
      <c r="F674" s="13" t="n">
        <f aca="false">'РПН 01.08 по МО'!D672</f>
        <v>41773</v>
      </c>
      <c r="G674" s="14" t="n">
        <f aca="false">INDEX('Расчет Кплотн'!$K:$K,MATCH(D674,'Расчет Кплотн'!$A:$A,0))</f>
        <v>1</v>
      </c>
      <c r="H674" s="14" t="n">
        <f aca="false">INDEX('Расчет Кплотн'!$J:$J,MATCH(D674,'Расчет Кплотн'!$A:$A,0))</f>
        <v>1</v>
      </c>
      <c r="I674" s="3" t="n">
        <f aca="false">F674*Моделирование!$F$3*M674*G674/1000</f>
        <v>845236.55292</v>
      </c>
      <c r="J674" s="3" t="n">
        <f aca="false">F674*Моделирование!$F$3*M674*H674/1000</f>
        <v>845236.55292</v>
      </c>
      <c r="K674" s="3" t="n">
        <f aca="false">J674-I674</f>
        <v>0</v>
      </c>
      <c r="L674" s="4" t="n">
        <f aca="false">IFERROR(K674/I674,0)</f>
        <v>0</v>
      </c>
      <c r="M674" s="15" t="n">
        <f aca="false">IF(INDEX('Расчет Кплотн'!$D:$D,MATCH(D674,'Расчет Кплотн'!$A:$A,0))="район",IFERROR(VLOOKUP(INDEX('Расчет Кплотн'!$B:$B,MATCH(D674,'Расчет Кплотн'!$A:$A,0)),'БКПН (приказ 170)'!$A$4:$C$10,3,FALSE()),Моделирование!$F$2),Моделирование!$F$2)</f>
        <v>1686.17</v>
      </c>
    </row>
    <row r="675" customFormat="false" ht="15" hidden="false" customHeight="false" outlineLevel="0" collapsed="false">
      <c r="A675" s="12" t="n">
        <v>670</v>
      </c>
      <c r="B675" s="12" t="str">
        <f aca="false">'РПН 01.08 по МО'!B673</f>
        <v>ШЫМКЕНТ</v>
      </c>
      <c r="C675" s="12" t="str">
        <f aca="false">'РПН 01.08 по МО'!C673</f>
        <v>Государственное коммунальное предприятие на праве хозяйственного ведения "Городская поликлиника №9" управления здравоохранения города Шымкент</v>
      </c>
      <c r="D675" s="12" t="str">
        <f aca="false">'РПН 01.08 по МО'!E673</f>
        <v>7900</v>
      </c>
      <c r="E675" s="12" t="str">
        <f aca="false">'РПН 01.08 по МО'!F673</f>
        <v>г. Шымкент</v>
      </c>
      <c r="F675" s="13" t="n">
        <f aca="false">'РПН 01.08 по МО'!D673</f>
        <v>26622</v>
      </c>
      <c r="G675" s="14" t="n">
        <f aca="false">INDEX('Расчет Кплотн'!$K:$K,MATCH(D675,'Расчет Кплотн'!$A:$A,0))</f>
        <v>1</v>
      </c>
      <c r="H675" s="14" t="n">
        <f aca="false">INDEX('Расчет Кплотн'!$J:$J,MATCH(D675,'Расчет Кплотн'!$A:$A,0))</f>
        <v>1</v>
      </c>
      <c r="I675" s="3" t="n">
        <f aca="false">F675*Моделирование!$F$3*M675*G675/1000</f>
        <v>538670.61288</v>
      </c>
      <c r="J675" s="3" t="n">
        <f aca="false">F675*Моделирование!$F$3*M675*H675/1000</f>
        <v>538670.61288</v>
      </c>
      <c r="K675" s="3" t="n">
        <f aca="false">J675-I675</f>
        <v>0</v>
      </c>
      <c r="L675" s="4" t="n">
        <f aca="false">IFERROR(K675/I675,0)</f>
        <v>0</v>
      </c>
      <c r="M675" s="15" t="n">
        <f aca="false">IF(INDEX('Расчет Кплотн'!$D:$D,MATCH(D675,'Расчет Кплотн'!$A:$A,0))="район",IFERROR(VLOOKUP(INDEX('Расчет Кплотн'!$B:$B,MATCH(D675,'Расчет Кплотн'!$A:$A,0)),'БКПН (приказ 170)'!$A$4:$C$10,3,FALSE()),Моделирование!$F$2),Моделирование!$F$2)</f>
        <v>1686.17</v>
      </c>
    </row>
    <row r="676" customFormat="false" ht="15" hidden="false" customHeight="false" outlineLevel="0" collapsed="false">
      <c r="A676" s="12" t="n">
        <v>671</v>
      </c>
      <c r="B676" s="12" t="str">
        <f aca="false">'РПН 01.08 по МО'!B674</f>
        <v>ШЫМКЕНТ</v>
      </c>
      <c r="C676" s="12" t="str">
        <f aca="false">'РПН 01.08 по МО'!C674</f>
        <v>Государственное коммунальное предприятие на праве хозяйственного ведения "Городская поликлиника№8" управления здравоохранения города Шымкент</v>
      </c>
      <c r="D676" s="12" t="str">
        <f aca="false">'РПН 01.08 по МО'!E674</f>
        <v>7900</v>
      </c>
      <c r="E676" s="12" t="str">
        <f aca="false">'РПН 01.08 по МО'!F674</f>
        <v>г. Шымкент</v>
      </c>
      <c r="F676" s="13" t="n">
        <f aca="false">'РПН 01.08 по МО'!D674</f>
        <v>30682</v>
      </c>
      <c r="G676" s="14" t="n">
        <f aca="false">INDEX('Расчет Кплотн'!$K:$K,MATCH(D676,'Расчет Кплотн'!$A:$A,0))</f>
        <v>1</v>
      </c>
      <c r="H676" s="14" t="n">
        <f aca="false">INDEX('Расчет Кплотн'!$J:$J,MATCH(D676,'Расчет Кплотн'!$A:$A,0))</f>
        <v>1</v>
      </c>
      <c r="I676" s="3" t="n">
        <f aca="false">F676*Моделирование!$F$3*M676*G676/1000</f>
        <v>620820.81528</v>
      </c>
      <c r="J676" s="3" t="n">
        <f aca="false">F676*Моделирование!$F$3*M676*H676/1000</f>
        <v>620820.81528</v>
      </c>
      <c r="K676" s="3" t="n">
        <f aca="false">J676-I676</f>
        <v>0</v>
      </c>
      <c r="L676" s="4" t="n">
        <f aca="false">IFERROR(K676/I676,0)</f>
        <v>0</v>
      </c>
      <c r="M676" s="15" t="n">
        <f aca="false">IF(INDEX('Расчет Кплотн'!$D:$D,MATCH(D676,'Расчет Кплотн'!$A:$A,0))="район",IFERROR(VLOOKUP(INDEX('Расчет Кплотн'!$B:$B,MATCH(D676,'Расчет Кплотн'!$A:$A,0)),'БКПН (приказ 170)'!$A$4:$C$10,3,FALSE()),Моделирование!$F$2),Моделирование!$F$2)</f>
        <v>1686.17</v>
      </c>
    </row>
    <row r="677" customFormat="false" ht="15" hidden="false" customHeight="false" outlineLevel="0" collapsed="false">
      <c r="A677" s="12" t="n">
        <v>672</v>
      </c>
      <c r="B677" s="12" t="str">
        <f aca="false">'РПН 01.08 по МО'!B675</f>
        <v>ШЫМКЕНТ</v>
      </c>
      <c r="C677" s="12" t="str">
        <f aca="false">'РПН 01.08 по МО'!C675</f>
        <v>ТОО "MEDICAL CENTER SHUBARSU (МЕДИКАЛ ЦЕНТР ШУБАРСУ)"</v>
      </c>
      <c r="D677" s="12" t="str">
        <f aca="false">'РПН 01.08 по МО'!E675</f>
        <v>7900</v>
      </c>
      <c r="E677" s="12" t="str">
        <f aca="false">'РПН 01.08 по МО'!F675</f>
        <v>г. Шымкент</v>
      </c>
      <c r="F677" s="13" t="n">
        <f aca="false">'РПН 01.08 по МО'!D675</f>
        <v>22982</v>
      </c>
      <c r="G677" s="14" t="n">
        <f aca="false">INDEX('Расчет Кплотн'!$K:$K,MATCH(D677,'Расчет Кплотн'!$A:$A,0))</f>
        <v>1</v>
      </c>
      <c r="H677" s="14" t="n">
        <f aca="false">INDEX('Расчет Кплотн'!$J:$J,MATCH(D677,'Расчет Кплотн'!$A:$A,0))</f>
        <v>1</v>
      </c>
      <c r="I677" s="3" t="n">
        <f aca="false">F677*Моделирование!$F$3*M677*G677/1000</f>
        <v>465018.70728</v>
      </c>
      <c r="J677" s="3" t="n">
        <f aca="false">F677*Моделирование!$F$3*M677*H677/1000</f>
        <v>465018.70728</v>
      </c>
      <c r="K677" s="3" t="n">
        <f aca="false">J677-I677</f>
        <v>0</v>
      </c>
      <c r="L677" s="4" t="n">
        <f aca="false">IFERROR(K677/I677,0)</f>
        <v>0</v>
      </c>
      <c r="M677" s="15" t="n">
        <f aca="false">IF(INDEX('Расчет Кплотн'!$D:$D,MATCH(D677,'Расчет Кплотн'!$A:$A,0))="район",IFERROR(VLOOKUP(INDEX('Расчет Кплотн'!$B:$B,MATCH(D677,'Расчет Кплотн'!$A:$A,0)),'БКПН (приказ 170)'!$A$4:$C$10,3,FALSE()),Моделирование!$F$2),Моделирование!$F$2)</f>
        <v>1686.17</v>
      </c>
    </row>
    <row r="678" customFormat="false" ht="15" hidden="false" customHeight="false" outlineLevel="0" collapsed="false">
      <c r="A678" s="12" t="n">
        <v>673</v>
      </c>
      <c r="B678" s="12" t="str">
        <f aca="false">'РПН 01.08 по МО'!B676</f>
        <v>ШЫМКЕНТ</v>
      </c>
      <c r="C678" s="12" t="str">
        <f aca="false">'РПН 01.08 по МО'!C676</f>
        <v>Государственное коммунальное предриятие на праве хозяйственного ведения "Городская поликлиника №11" управления здравоохранения города Шымкент</v>
      </c>
      <c r="D678" s="12" t="str">
        <f aca="false">'РПН 01.08 по МО'!E676</f>
        <v>7900</v>
      </c>
      <c r="E678" s="12" t="str">
        <f aca="false">'РПН 01.08 по МО'!F676</f>
        <v>г. Шымкент</v>
      </c>
      <c r="F678" s="13" t="n">
        <f aca="false">'РПН 01.08 по МО'!D676</f>
        <v>25573</v>
      </c>
      <c r="G678" s="14" t="n">
        <f aca="false">INDEX('Расчет Кплотн'!$K:$K,MATCH(D678,'Расчет Кплотн'!$A:$A,0))</f>
        <v>1</v>
      </c>
      <c r="H678" s="14" t="n">
        <f aca="false">INDEX('Расчет Кплотн'!$J:$J,MATCH(D678,'Расчет Кплотн'!$A:$A,0))</f>
        <v>1</v>
      </c>
      <c r="I678" s="3" t="n">
        <f aca="false">F678*Моделирование!$F$3*M678*G678/1000</f>
        <v>517445.10492</v>
      </c>
      <c r="J678" s="3" t="n">
        <f aca="false">F678*Моделирование!$F$3*M678*H678/1000</f>
        <v>517445.10492</v>
      </c>
      <c r="K678" s="3" t="n">
        <f aca="false">J678-I678</f>
        <v>0</v>
      </c>
      <c r="L678" s="4" t="n">
        <f aca="false">IFERROR(K678/I678,0)</f>
        <v>0</v>
      </c>
      <c r="M678" s="15" t="n">
        <f aca="false">IF(INDEX('Расчет Кплотн'!$D:$D,MATCH(D678,'Расчет Кплотн'!$A:$A,0))="район",IFERROR(VLOOKUP(INDEX('Расчет Кплотн'!$B:$B,MATCH(D678,'Расчет Кплотн'!$A:$A,0)),'БКПН (приказ 170)'!$A$4:$C$10,3,FALSE()),Моделирование!$F$2),Моделирование!$F$2)</f>
        <v>1686.17</v>
      </c>
    </row>
    <row r="679" customFormat="false" ht="15" hidden="false" customHeight="false" outlineLevel="0" collapsed="false">
      <c r="A679" s="12" t="n">
        <v>674</v>
      </c>
      <c r="B679" s="12" t="str">
        <f aca="false">'РПН 01.08 по МО'!B677</f>
        <v>ШЫМКЕНТ</v>
      </c>
      <c r="C679" s="12" t="str">
        <f aca="false">'РПН 01.08 по МО'!C677</f>
        <v>ПрК "Поликлиника Чапаевка"</v>
      </c>
      <c r="D679" s="12" t="str">
        <f aca="false">'РПН 01.08 по МО'!E677</f>
        <v>7900</v>
      </c>
      <c r="E679" s="12" t="str">
        <f aca="false">'РПН 01.08 по МО'!F677</f>
        <v>г. Шымкент</v>
      </c>
      <c r="F679" s="13" t="n">
        <f aca="false">'РПН 01.08 по МО'!D677</f>
        <v>19835</v>
      </c>
      <c r="G679" s="14" t="n">
        <f aca="false">INDEX('Расчет Кплотн'!$K:$K,MATCH(D679,'Расчет Кплотн'!$A:$A,0))</f>
        <v>1</v>
      </c>
      <c r="H679" s="14" t="n">
        <f aca="false">INDEX('Расчет Кплотн'!$J:$J,MATCH(D679,'Расчет Кплотн'!$A:$A,0))</f>
        <v>1</v>
      </c>
      <c r="I679" s="3" t="n">
        <f aca="false">F679*Моделирование!$F$3*M679*G679/1000</f>
        <v>401342.1834</v>
      </c>
      <c r="J679" s="3" t="n">
        <f aca="false">F679*Моделирование!$F$3*M679*H679/1000</f>
        <v>401342.1834</v>
      </c>
      <c r="K679" s="3" t="n">
        <f aca="false">J679-I679</f>
        <v>0</v>
      </c>
      <c r="L679" s="4" t="n">
        <f aca="false">IFERROR(K679/I679,0)</f>
        <v>0</v>
      </c>
      <c r="M679" s="15" t="n">
        <f aca="false">IF(INDEX('Расчет Кплотн'!$D:$D,MATCH(D679,'Расчет Кплотн'!$A:$A,0))="район",IFERROR(VLOOKUP(INDEX('Расчет Кплотн'!$B:$B,MATCH(D679,'Расчет Кплотн'!$A:$A,0)),'БКПН (приказ 170)'!$A$4:$C$10,3,FALSE()),Моделирование!$F$2),Моделирование!$F$2)</f>
        <v>1686.17</v>
      </c>
    </row>
    <row r="680" customFormat="false" ht="15" hidden="false" customHeight="false" outlineLevel="0" collapsed="false">
      <c r="A680" s="12" t="n">
        <v>675</v>
      </c>
      <c r="B680" s="12" t="str">
        <f aca="false">'РПН 01.08 по МО'!B678</f>
        <v>ШЫМКЕНТ</v>
      </c>
      <c r="C680" s="12" t="str">
        <f aca="false">'РПН 01.08 по МО'!C678</f>
        <v>Товарищество с ограниченной ответственностью "Sunkar Premium"</v>
      </c>
      <c r="D680" s="12" t="str">
        <f aca="false">'РПН 01.08 по МО'!E678</f>
        <v>7900</v>
      </c>
      <c r="E680" s="12" t="str">
        <f aca="false">'РПН 01.08 по МО'!F678</f>
        <v>г. Шымкент</v>
      </c>
      <c r="F680" s="13" t="n">
        <f aca="false">'РПН 01.08 по МО'!D678</f>
        <v>16137</v>
      </c>
      <c r="G680" s="14" t="n">
        <f aca="false">INDEX('Расчет Кплотн'!$K:$K,MATCH(D680,'Расчет Кплотн'!$A:$A,0))</f>
        <v>1</v>
      </c>
      <c r="H680" s="14" t="n">
        <f aca="false">INDEX('Расчет Кплотн'!$J:$J,MATCH(D680,'Расчет Кплотн'!$A:$A,0))</f>
        <v>1</v>
      </c>
      <c r="I680" s="3" t="n">
        <f aca="false">F680*Моделирование!$F$3*M680*G680/1000</f>
        <v>326516.70348</v>
      </c>
      <c r="J680" s="3" t="n">
        <f aca="false">F680*Моделирование!$F$3*M680*H680/1000</f>
        <v>326516.70348</v>
      </c>
      <c r="K680" s="3" t="n">
        <f aca="false">J680-I680</f>
        <v>0</v>
      </c>
      <c r="L680" s="4" t="n">
        <f aca="false">IFERROR(K680/I680,0)</f>
        <v>0</v>
      </c>
      <c r="M680" s="15" t="n">
        <f aca="false">IF(INDEX('Расчет Кплотн'!$D:$D,MATCH(D680,'Расчет Кплотн'!$A:$A,0))="район",IFERROR(VLOOKUP(INDEX('Расчет Кплотн'!$B:$B,MATCH(D680,'Расчет Кплотн'!$A:$A,0)),'БКПН (приказ 170)'!$A$4:$C$10,3,FALSE()),Моделирование!$F$2),Моделирование!$F$2)</f>
        <v>1686.17</v>
      </c>
    </row>
    <row r="681" customFormat="false" ht="15" hidden="false" customHeight="false" outlineLevel="0" collapsed="false">
      <c r="A681" s="12" t="n">
        <v>676</v>
      </c>
      <c r="B681" s="12" t="str">
        <f aca="false">'РПН 01.08 по МО'!B679</f>
        <v>ШЫМКЕНТ</v>
      </c>
      <c r="C681" s="12" t="str">
        <f aca="false">'РПН 01.08 по МО'!C679</f>
        <v>Товарищество с ограниченной ответственностью "АЛИНУР и К"</v>
      </c>
      <c r="D681" s="12" t="str">
        <f aca="false">'РПН 01.08 по МО'!E679</f>
        <v>7900</v>
      </c>
      <c r="E681" s="12" t="str">
        <f aca="false">'РПН 01.08 по МО'!F679</f>
        <v>г. Шымкент</v>
      </c>
      <c r="F681" s="13" t="n">
        <f aca="false">'РПН 01.08 по МО'!D679</f>
        <v>10138</v>
      </c>
      <c r="G681" s="14" t="n">
        <f aca="false">INDEX('Расчет Кплотн'!$K:$K,MATCH(D681,'Расчет Кплотн'!$A:$A,0))</f>
        <v>1</v>
      </c>
      <c r="H681" s="14" t="n">
        <f aca="false">INDEX('Расчет Кплотн'!$J:$J,MATCH(D681,'Расчет Кплотн'!$A:$A,0))</f>
        <v>1</v>
      </c>
      <c r="I681" s="3" t="n">
        <f aca="false">F681*Моделирование!$F$3*M681*G681/1000</f>
        <v>205132.69752</v>
      </c>
      <c r="J681" s="3" t="n">
        <f aca="false">F681*Моделирование!$F$3*M681*H681/1000</f>
        <v>205132.69752</v>
      </c>
      <c r="K681" s="3" t="n">
        <f aca="false">J681-I681</f>
        <v>0</v>
      </c>
      <c r="L681" s="4" t="n">
        <f aca="false">IFERROR(K681/I681,0)</f>
        <v>0</v>
      </c>
      <c r="M681" s="15" t="n">
        <f aca="false">IF(INDEX('Расчет Кплотн'!$D:$D,MATCH(D681,'Расчет Кплотн'!$A:$A,0))="район",IFERROR(VLOOKUP(INDEX('Расчет Кплотн'!$B:$B,MATCH(D681,'Расчет Кплотн'!$A:$A,0)),'БКПН (приказ 170)'!$A$4:$C$10,3,FALSE()),Моделирование!$F$2),Моделирование!$F$2)</f>
        <v>1686.17</v>
      </c>
    </row>
    <row r="682" customFormat="false" ht="15" hidden="false" customHeight="false" outlineLevel="0" collapsed="false">
      <c r="A682" s="12" t="n">
        <v>677</v>
      </c>
      <c r="B682" s="12" t="str">
        <f aca="false">'РПН 01.08 по МО'!B680</f>
        <v>ШЫМКЕНТ</v>
      </c>
      <c r="C682" s="12" t="str">
        <f aca="false">'РПН 01.08 по МО'!C680</f>
        <v>Товарищество с ограниченной ответственностью "М.Ф.К. Хаят"</v>
      </c>
      <c r="D682" s="12" t="str">
        <f aca="false">'РПН 01.08 по МО'!E680</f>
        <v>7900</v>
      </c>
      <c r="E682" s="12" t="str">
        <f aca="false">'РПН 01.08 по МО'!F680</f>
        <v>г. Шымкент</v>
      </c>
      <c r="F682" s="13" t="n">
        <f aca="false">'РПН 01.08 по МО'!D680</f>
        <v>6062</v>
      </c>
      <c r="G682" s="14" t="n">
        <f aca="false">INDEX('Расчет Кплотн'!$K:$K,MATCH(D682,'Расчет Кплотн'!$A:$A,0))</f>
        <v>1</v>
      </c>
      <c r="H682" s="14" t="n">
        <f aca="false">INDEX('Расчет Кплотн'!$J:$J,MATCH(D682,'Расчет Кплотн'!$A:$A,0))</f>
        <v>1</v>
      </c>
      <c r="I682" s="3" t="n">
        <f aca="false">F682*Моделирование!$F$3*M682*G682/1000</f>
        <v>122658.75048</v>
      </c>
      <c r="J682" s="3" t="n">
        <f aca="false">F682*Моделирование!$F$3*M682*H682/1000</f>
        <v>122658.75048</v>
      </c>
      <c r="K682" s="3" t="n">
        <f aca="false">J682-I682</f>
        <v>0</v>
      </c>
      <c r="L682" s="4" t="n">
        <f aca="false">IFERROR(K682/I682,0)</f>
        <v>0</v>
      </c>
      <c r="M682" s="15" t="n">
        <f aca="false">IF(INDEX('Расчет Кплотн'!$D:$D,MATCH(D682,'Расчет Кплотн'!$A:$A,0))="район",IFERROR(VLOOKUP(INDEX('Расчет Кплотн'!$B:$B,MATCH(D682,'Расчет Кплотн'!$A:$A,0)),'БКПН (приказ 170)'!$A$4:$C$10,3,FALSE()),Моделирование!$F$2),Моделирование!$F$2)</f>
        <v>1686.17</v>
      </c>
    </row>
    <row r="683" customFormat="false" ht="15" hidden="false" customHeight="false" outlineLevel="0" collapsed="false">
      <c r="A683" s="12" t="n">
        <v>678</v>
      </c>
      <c r="B683" s="12" t="str">
        <f aca="false">'РПН 01.08 по МО'!B681</f>
        <v>ШЫМКЕНТ</v>
      </c>
      <c r="C683" s="12" t="str">
        <f aca="false">'РПН 01.08 по МО'!C681</f>
        <v>Товарищество с ограниченной ответственностью "Поликлиника "Дау-Мед"</v>
      </c>
      <c r="D683" s="12" t="str">
        <f aca="false">'РПН 01.08 по МО'!E681</f>
        <v>7900</v>
      </c>
      <c r="E683" s="12" t="str">
        <f aca="false">'РПН 01.08 по МО'!F681</f>
        <v>г. Шымкент</v>
      </c>
      <c r="F683" s="13" t="n">
        <f aca="false">'РПН 01.08 по МО'!D681</f>
        <v>29864</v>
      </c>
      <c r="G683" s="14" t="n">
        <f aca="false">INDEX('Расчет Кплотн'!$K:$K,MATCH(D683,'Расчет Кплотн'!$A:$A,0))</f>
        <v>1</v>
      </c>
      <c r="H683" s="14" t="n">
        <f aca="false">INDEX('Расчет Кплотн'!$J:$J,MATCH(D683,'Расчет Кплотн'!$A:$A,0))</f>
        <v>1</v>
      </c>
      <c r="I683" s="3" t="n">
        <f aca="false">F683*Моделирование!$F$3*M683*G683/1000</f>
        <v>604269.37056</v>
      </c>
      <c r="J683" s="3" t="n">
        <f aca="false">F683*Моделирование!$F$3*M683*H683/1000</f>
        <v>604269.37056</v>
      </c>
      <c r="K683" s="3" t="n">
        <f aca="false">J683-I683</f>
        <v>0</v>
      </c>
      <c r="L683" s="4" t="n">
        <f aca="false">IFERROR(K683/I683,0)</f>
        <v>0</v>
      </c>
      <c r="M683" s="15" t="n">
        <f aca="false">IF(INDEX('Расчет Кплотн'!$D:$D,MATCH(D683,'Расчет Кплотн'!$A:$A,0))="район",IFERROR(VLOOKUP(INDEX('Расчет Кплотн'!$B:$B,MATCH(D683,'Расчет Кплотн'!$A:$A,0)),'БКПН (приказ 170)'!$A$4:$C$10,3,FALSE()),Моделирование!$F$2),Моделирование!$F$2)</f>
        <v>1686.17</v>
      </c>
    </row>
    <row r="684" customFormat="false" ht="15" hidden="false" customHeight="false" outlineLevel="0" collapsed="false">
      <c r="A684" s="12" t="n">
        <v>679</v>
      </c>
      <c r="B684" s="12" t="str">
        <f aca="false">'РПН 01.08 по МО'!B682</f>
        <v>ШЫМКЕНТ</v>
      </c>
      <c r="C684" s="12" t="str">
        <f aca="false">'РПН 01.08 по МО'!C682</f>
        <v>ТОО "Alfa Med (Альфа Мед)"</v>
      </c>
      <c r="D684" s="12" t="str">
        <f aca="false">'РПН 01.08 по МО'!E682</f>
        <v>7900</v>
      </c>
      <c r="E684" s="12" t="str">
        <f aca="false">'РПН 01.08 по МО'!F682</f>
        <v>г. Шымкент</v>
      </c>
      <c r="F684" s="13" t="n">
        <f aca="false">'РПН 01.08 по МО'!D682</f>
        <v>6688</v>
      </c>
      <c r="G684" s="14" t="n">
        <f aca="false">INDEX('Расчет Кплотн'!$K:$K,MATCH(D684,'Расчет Кплотн'!$A:$A,0))</f>
        <v>1</v>
      </c>
      <c r="H684" s="14" t="n">
        <f aca="false">INDEX('Расчет Кплотн'!$J:$J,MATCH(D684,'Расчет Кплотн'!$A:$A,0))</f>
        <v>1</v>
      </c>
      <c r="I684" s="3" t="n">
        <f aca="false">F684*Моделирование!$F$3*M684*G684/1000</f>
        <v>135325.25952</v>
      </c>
      <c r="J684" s="3" t="n">
        <f aca="false">F684*Моделирование!$F$3*M684*H684/1000</f>
        <v>135325.25952</v>
      </c>
      <c r="K684" s="3" t="n">
        <f aca="false">J684-I684</f>
        <v>0</v>
      </c>
      <c r="L684" s="4" t="n">
        <f aca="false">IFERROR(K684/I684,0)</f>
        <v>0</v>
      </c>
      <c r="M684" s="15" t="n">
        <f aca="false">IF(INDEX('Расчет Кплотн'!$D:$D,MATCH(D684,'Расчет Кплотн'!$A:$A,0))="район",IFERROR(VLOOKUP(INDEX('Расчет Кплотн'!$B:$B,MATCH(D684,'Расчет Кплотн'!$A:$A,0)),'БКПН (приказ 170)'!$A$4:$C$10,3,FALSE()),Моделирование!$F$2),Моделирование!$F$2)</f>
        <v>1686.17</v>
      </c>
    </row>
    <row r="685" customFormat="false" ht="15" hidden="false" customHeight="false" outlineLevel="0" collapsed="false">
      <c r="A685" s="12" t="n">
        <v>680</v>
      </c>
      <c r="B685" s="12" t="str">
        <f aca="false">'РПН 01.08 по МО'!B683</f>
        <v>ШЫМКЕНТ</v>
      </c>
      <c r="C685" s="12" t="str">
        <f aca="false">'РПН 01.08 по МО'!C683</f>
        <v>ТОО "ALẎA MED"</v>
      </c>
      <c r="D685" s="12" t="str">
        <f aca="false">'РПН 01.08 по МО'!E683</f>
        <v>7900</v>
      </c>
      <c r="E685" s="12" t="str">
        <f aca="false">'РПН 01.08 по МО'!F683</f>
        <v>г. Шымкент</v>
      </c>
      <c r="F685" s="13" t="n">
        <f aca="false">'РПН 01.08 по МО'!D683</f>
        <v>10661</v>
      </c>
      <c r="G685" s="14" t="n">
        <f aca="false">INDEX('Расчет Кплотн'!$K:$K,MATCH(D685,'Расчет Кплотн'!$A:$A,0))</f>
        <v>1</v>
      </c>
      <c r="H685" s="14" t="n">
        <f aca="false">INDEX('Расчет Кплотн'!$J:$J,MATCH(D685,'Расчет Кплотн'!$A:$A,0))</f>
        <v>1</v>
      </c>
      <c r="I685" s="3" t="n">
        <f aca="false">F685*Моделирование!$F$3*M685*G685/1000</f>
        <v>215715.10044</v>
      </c>
      <c r="J685" s="3" t="n">
        <f aca="false">F685*Моделирование!$F$3*M685*H685/1000</f>
        <v>215715.10044</v>
      </c>
      <c r="K685" s="3" t="n">
        <f aca="false">J685-I685</f>
        <v>0</v>
      </c>
      <c r="L685" s="4" t="n">
        <f aca="false">IFERROR(K685/I685,0)</f>
        <v>0</v>
      </c>
      <c r="M685" s="15" t="n">
        <f aca="false">IF(INDEX('Расчет Кплотн'!$D:$D,MATCH(D685,'Расчет Кплотн'!$A:$A,0))="район",IFERROR(VLOOKUP(INDEX('Расчет Кплотн'!$B:$B,MATCH(D685,'Расчет Кплотн'!$A:$A,0)),'БКПН (приказ 170)'!$A$4:$C$10,3,FALSE()),Моделирование!$F$2),Моделирование!$F$2)</f>
        <v>1686.17</v>
      </c>
    </row>
    <row r="686" customFormat="false" ht="15" hidden="false" customHeight="false" outlineLevel="0" collapsed="false">
      <c r="A686" s="12" t="n">
        <v>681</v>
      </c>
      <c r="B686" s="12" t="str">
        <f aca="false">'РПН 01.08 по МО'!B684</f>
        <v>ШЫМКЕНТ</v>
      </c>
      <c r="C686" s="12" t="str">
        <f aca="false">'РПН 01.08 по МО'!C684</f>
        <v>ТОО "AQBOLAT medicinalyq ortalygy"</v>
      </c>
      <c r="D686" s="12" t="str">
        <f aca="false">'РПН 01.08 по МО'!E684</f>
        <v>7900</v>
      </c>
      <c r="E686" s="12" t="str">
        <f aca="false">'РПН 01.08 по МО'!F684</f>
        <v>г. Шымкент</v>
      </c>
      <c r="F686" s="13" t="n">
        <f aca="false">'РПН 01.08 по МО'!D684</f>
        <v>4374</v>
      </c>
      <c r="G686" s="14" t="n">
        <f aca="false">INDEX('Расчет Кплотн'!$K:$K,MATCH(D686,'Расчет Кплотн'!$A:$A,0))</f>
        <v>1</v>
      </c>
      <c r="H686" s="14" t="n">
        <f aca="false">INDEX('Расчет Кплотн'!$J:$J,MATCH(D686,'Расчет Кплотн'!$A:$A,0))</f>
        <v>1</v>
      </c>
      <c r="I686" s="3" t="n">
        <f aca="false">F686*Моделирование!$F$3*M686*G686/1000</f>
        <v>88503.69096</v>
      </c>
      <c r="J686" s="3" t="n">
        <f aca="false">F686*Моделирование!$F$3*M686*H686/1000</f>
        <v>88503.69096</v>
      </c>
      <c r="K686" s="3" t="n">
        <f aca="false">J686-I686</f>
        <v>0</v>
      </c>
      <c r="L686" s="4" t="n">
        <f aca="false">IFERROR(K686/I686,0)</f>
        <v>0</v>
      </c>
      <c r="M686" s="15" t="n">
        <f aca="false">IF(INDEX('Расчет Кплотн'!$D:$D,MATCH(D686,'Расчет Кплотн'!$A:$A,0))="район",IFERROR(VLOOKUP(INDEX('Расчет Кплотн'!$B:$B,MATCH(D686,'Расчет Кплотн'!$A:$A,0)),'БКПН (приказ 170)'!$A$4:$C$10,3,FALSE()),Моделирование!$F$2),Моделирование!$F$2)</f>
        <v>1686.17</v>
      </c>
    </row>
    <row r="687" customFormat="false" ht="15" hidden="false" customHeight="false" outlineLevel="0" collapsed="false">
      <c r="A687" s="12" t="n">
        <v>682</v>
      </c>
      <c r="B687" s="12" t="str">
        <f aca="false">'РПН 01.08 по МО'!B685</f>
        <v>ШЫМКЕНТ</v>
      </c>
      <c r="C687" s="12" t="str">
        <f aca="false">'РПН 01.08 по МО'!C685</f>
        <v>ТОО "ASEM MEDICAL"</v>
      </c>
      <c r="D687" s="12" t="str">
        <f aca="false">'РПН 01.08 по МО'!E685</f>
        <v>7900</v>
      </c>
      <c r="E687" s="12" t="str">
        <f aca="false">'РПН 01.08 по МО'!F685</f>
        <v>г. Шымкент</v>
      </c>
      <c r="F687" s="13" t="n">
        <f aca="false">'РПН 01.08 по МО'!D685</f>
        <v>23602</v>
      </c>
      <c r="G687" s="14" t="n">
        <f aca="false">INDEX('Расчет Кплотн'!$K:$K,MATCH(D687,'Расчет Кплотн'!$A:$A,0))</f>
        <v>1</v>
      </c>
      <c r="H687" s="14" t="n">
        <f aca="false">INDEX('Расчет Кплотн'!$J:$J,MATCH(D687,'Расчет Кплотн'!$A:$A,0))</f>
        <v>1</v>
      </c>
      <c r="I687" s="3" t="n">
        <f aca="false">F687*Моделирование!$F$3*M687*G687/1000</f>
        <v>477563.81208</v>
      </c>
      <c r="J687" s="3" t="n">
        <f aca="false">F687*Моделирование!$F$3*M687*H687/1000</f>
        <v>477563.81208</v>
      </c>
      <c r="K687" s="3" t="n">
        <f aca="false">J687-I687</f>
        <v>0</v>
      </c>
      <c r="L687" s="4" t="n">
        <f aca="false">IFERROR(K687/I687,0)</f>
        <v>0</v>
      </c>
      <c r="M687" s="15" t="n">
        <f aca="false">IF(INDEX('Расчет Кплотн'!$D:$D,MATCH(D687,'Расчет Кплотн'!$A:$A,0))="район",IFERROR(VLOOKUP(INDEX('Расчет Кплотн'!$B:$B,MATCH(D687,'Расчет Кплотн'!$A:$A,0)),'БКПН (приказ 170)'!$A$4:$C$10,3,FALSE()),Моделирование!$F$2),Моделирование!$F$2)</f>
        <v>1686.17</v>
      </c>
    </row>
    <row r="688" customFormat="false" ht="15" hidden="false" customHeight="false" outlineLevel="0" collapsed="false">
      <c r="A688" s="12" t="n">
        <v>683</v>
      </c>
      <c r="B688" s="12" t="str">
        <f aca="false">'РПН 01.08 по МО'!B686</f>
        <v>ШЫМКЕНТ</v>
      </c>
      <c r="C688" s="12" t="str">
        <f aca="false">'РПН 01.08 по МО'!C686</f>
        <v>ТОО "CLINICA 77"</v>
      </c>
      <c r="D688" s="12" t="str">
        <f aca="false">'РПН 01.08 по МО'!E686</f>
        <v>7900</v>
      </c>
      <c r="E688" s="12" t="str">
        <f aca="false">'РПН 01.08 по МО'!F686</f>
        <v>г. Шымкент</v>
      </c>
      <c r="F688" s="13" t="n">
        <f aca="false">'РПН 01.08 по МО'!D686</f>
        <v>5856</v>
      </c>
      <c r="G688" s="14" t="n">
        <f aca="false">INDEX('Расчет Кплотн'!$K:$K,MATCH(D688,'Расчет Кплотн'!$A:$A,0))</f>
        <v>1</v>
      </c>
      <c r="H688" s="14" t="n">
        <f aca="false">INDEX('Расчет Кплотн'!$J:$J,MATCH(D688,'Расчет Кплотн'!$A:$A,0))</f>
        <v>1</v>
      </c>
      <c r="I688" s="3" t="n">
        <f aca="false">F688*Моделирование!$F$3*M688*G688/1000</f>
        <v>118490.53824</v>
      </c>
      <c r="J688" s="3" t="n">
        <f aca="false">F688*Моделирование!$F$3*M688*H688/1000</f>
        <v>118490.53824</v>
      </c>
      <c r="K688" s="3" t="n">
        <f aca="false">J688-I688</f>
        <v>0</v>
      </c>
      <c r="L688" s="4" t="n">
        <f aca="false">IFERROR(K688/I688,0)</f>
        <v>0</v>
      </c>
      <c r="M688" s="15" t="n">
        <f aca="false">IF(INDEX('Расчет Кплотн'!$D:$D,MATCH(D688,'Расчет Кплотн'!$A:$A,0))="район",IFERROR(VLOOKUP(INDEX('Расчет Кплотн'!$B:$B,MATCH(D688,'Расчет Кплотн'!$A:$A,0)),'БКПН (приказ 170)'!$A$4:$C$10,3,FALSE()),Моделирование!$F$2),Моделирование!$F$2)</f>
        <v>1686.17</v>
      </c>
    </row>
    <row r="689" customFormat="false" ht="15" hidden="false" customHeight="false" outlineLevel="0" collapsed="false">
      <c r="A689" s="12" t="n">
        <v>684</v>
      </c>
      <c r="B689" s="12" t="str">
        <f aca="false">'РПН 01.08 по МО'!B687</f>
        <v>ШЫМКЕНТ</v>
      </c>
      <c r="C689" s="12" t="str">
        <f aca="false">'РПН 01.08 по МО'!C687</f>
        <v>ТОО "KANSMED"</v>
      </c>
      <c r="D689" s="12" t="str">
        <f aca="false">'РПН 01.08 по МО'!E687</f>
        <v>7900</v>
      </c>
      <c r="E689" s="12" t="str">
        <f aca="false">'РПН 01.08 по МО'!F687</f>
        <v>г. Шымкент</v>
      </c>
      <c r="F689" s="13" t="n">
        <f aca="false">'РПН 01.08 по МО'!D687</f>
        <v>4472</v>
      </c>
      <c r="G689" s="14" t="n">
        <f aca="false">INDEX('Расчет Кплотн'!$K:$K,MATCH(D689,'Расчет Кплотн'!$A:$A,0))</f>
        <v>1</v>
      </c>
      <c r="H689" s="14" t="n">
        <f aca="false">INDEX('Расчет Кплотн'!$J:$J,MATCH(D689,'Расчет Кплотн'!$A:$A,0))</f>
        <v>1</v>
      </c>
      <c r="I689" s="3" t="n">
        <f aca="false">F689*Моделирование!$F$3*M689*G689/1000</f>
        <v>90486.62688</v>
      </c>
      <c r="J689" s="3" t="n">
        <f aca="false">F689*Моделирование!$F$3*M689*H689/1000</f>
        <v>90486.62688</v>
      </c>
      <c r="K689" s="3" t="n">
        <f aca="false">J689-I689</f>
        <v>0</v>
      </c>
      <c r="L689" s="4" t="n">
        <f aca="false">IFERROR(K689/I689,0)</f>
        <v>0</v>
      </c>
      <c r="M689" s="15" t="n">
        <f aca="false">IF(INDEX('Расчет Кплотн'!$D:$D,MATCH(D689,'Расчет Кплотн'!$A:$A,0))="район",IFERROR(VLOOKUP(INDEX('Расчет Кплотн'!$B:$B,MATCH(D689,'Расчет Кплотн'!$A:$A,0)),'БКПН (приказ 170)'!$A$4:$C$10,3,FALSE()),Моделирование!$F$2),Моделирование!$F$2)</f>
        <v>1686.17</v>
      </c>
    </row>
    <row r="690" customFormat="false" ht="15" hidden="false" customHeight="false" outlineLevel="0" collapsed="false">
      <c r="A690" s="12" t="n">
        <v>685</v>
      </c>
      <c r="B690" s="12" t="str">
        <f aca="false">'РПН 01.08 по МО'!B688</f>
        <v>ШЫМКЕНТ</v>
      </c>
      <c r="C690" s="12" t="str">
        <f aca="false">'РПН 01.08 по МО'!C688</f>
        <v>ТОО "Klinika Aqbura"</v>
      </c>
      <c r="D690" s="12" t="str">
        <f aca="false">'РПН 01.08 по МО'!E688</f>
        <v>7900</v>
      </c>
      <c r="E690" s="12" t="str">
        <f aca="false">'РПН 01.08 по МО'!F688</f>
        <v>г. Шымкент</v>
      </c>
      <c r="F690" s="13" t="n">
        <f aca="false">'РПН 01.08 по МО'!D688</f>
        <v>6710</v>
      </c>
      <c r="G690" s="14" t="n">
        <f aca="false">INDEX('Расчет Кплотн'!$K:$K,MATCH(D690,'Расчет Кплотн'!$A:$A,0))</f>
        <v>1</v>
      </c>
      <c r="H690" s="14" t="n">
        <f aca="false">INDEX('Расчет Кплотн'!$J:$J,MATCH(D690,'Расчет Кплотн'!$A:$A,0))</f>
        <v>1</v>
      </c>
      <c r="I690" s="3" t="n">
        <f aca="false">F690*Моделирование!$F$3*M690*G690/1000</f>
        <v>135770.4084</v>
      </c>
      <c r="J690" s="3" t="n">
        <f aca="false">F690*Моделирование!$F$3*M690*H690/1000</f>
        <v>135770.4084</v>
      </c>
      <c r="K690" s="3" t="n">
        <f aca="false">J690-I690</f>
        <v>0</v>
      </c>
      <c r="L690" s="4" t="n">
        <f aca="false">IFERROR(K690/I690,0)</f>
        <v>0</v>
      </c>
      <c r="M690" s="15" t="n">
        <f aca="false">IF(INDEX('Расчет Кплотн'!$D:$D,MATCH(D690,'Расчет Кплотн'!$A:$A,0))="район",IFERROR(VLOOKUP(INDEX('Расчет Кплотн'!$B:$B,MATCH(D690,'Расчет Кплотн'!$A:$A,0)),'БКПН (приказ 170)'!$A$4:$C$10,3,FALSE()),Моделирование!$F$2),Моделирование!$F$2)</f>
        <v>1686.17</v>
      </c>
    </row>
    <row r="691" customFormat="false" ht="15" hidden="false" customHeight="false" outlineLevel="0" collapsed="false">
      <c r="A691" s="12" t="n">
        <v>686</v>
      </c>
      <c r="B691" s="12" t="str">
        <f aca="false">'РПН 01.08 по МО'!B689</f>
        <v>ШЫМКЕНТ</v>
      </c>
      <c r="C691" s="12" t="str">
        <f aca="false">'РПН 01.08 по МО'!C689</f>
        <v>Государственное коммунальное предриятие на праве хозяйственного ведения "Городская поликлиника №13" управления здравоохранения города Шымкент</v>
      </c>
      <c r="D691" s="12" t="str">
        <f aca="false">'РПН 01.08 по МО'!E689</f>
        <v>7900</v>
      </c>
      <c r="E691" s="12" t="str">
        <f aca="false">'РПН 01.08 по МО'!F689</f>
        <v>г. Шымкент</v>
      </c>
      <c r="F691" s="13" t="n">
        <f aca="false">'РПН 01.08 по МО'!D689</f>
        <v>43177</v>
      </c>
      <c r="G691" s="14" t="n">
        <f aca="false">INDEX('Расчет Кплотн'!$K:$K,MATCH(D691,'Расчет Кплотн'!$A:$A,0))</f>
        <v>1</v>
      </c>
      <c r="H691" s="14" t="n">
        <f aca="false">INDEX('Расчет Кплотн'!$J:$J,MATCH(D691,'Расчет Кплотн'!$A:$A,0))</f>
        <v>1</v>
      </c>
      <c r="I691" s="3" t="n">
        <f aca="false">F691*Моделирование!$F$3*M691*G691/1000</f>
        <v>873645.14508</v>
      </c>
      <c r="J691" s="3" t="n">
        <f aca="false">F691*Моделирование!$F$3*M691*H691/1000</f>
        <v>873645.14508</v>
      </c>
      <c r="K691" s="3" t="n">
        <f aca="false">J691-I691</f>
        <v>0</v>
      </c>
      <c r="L691" s="4" t="n">
        <f aca="false">IFERROR(K691/I691,0)</f>
        <v>0</v>
      </c>
      <c r="M691" s="15" t="n">
        <f aca="false">IF(INDEX('Расчет Кплотн'!$D:$D,MATCH(D691,'Расчет Кплотн'!$A:$A,0))="район",IFERROR(VLOOKUP(INDEX('Расчет Кплотн'!$B:$B,MATCH(D691,'Расчет Кплотн'!$A:$A,0)),'БКПН (приказ 170)'!$A$4:$C$10,3,FALSE()),Моделирование!$F$2),Моделирование!$F$2)</f>
        <v>1686.17</v>
      </c>
    </row>
    <row r="692" customFormat="false" ht="15" hidden="false" customHeight="false" outlineLevel="0" collapsed="false">
      <c r="A692" s="12" t="n">
        <v>687</v>
      </c>
      <c r="B692" s="12" t="str">
        <f aca="false">'РПН 01.08 по МО'!B690</f>
        <v>ШЫМКЕНТ</v>
      </c>
      <c r="C692" s="12" t="str">
        <f aca="false">'РПН 01.08 по МО'!C690</f>
        <v>Частное учреждение "Семейно-врачебная амбулатория Интертич города Шымкент"</v>
      </c>
      <c r="D692" s="12" t="str">
        <f aca="false">'РПН 01.08 по МО'!E690</f>
        <v>7900</v>
      </c>
      <c r="E692" s="12" t="str">
        <f aca="false">'РПН 01.08 по МО'!F690</f>
        <v>г. Шымкент</v>
      </c>
      <c r="F692" s="13" t="n">
        <f aca="false">'РПН 01.08 по МО'!D690</f>
        <v>3397</v>
      </c>
      <c r="G692" s="14" t="n">
        <f aca="false">INDEX('Расчет Кплотн'!$K:$K,MATCH(D692,'Расчет Кплотн'!$A:$A,0))</f>
        <v>1</v>
      </c>
      <c r="H692" s="14" t="n">
        <f aca="false">INDEX('Расчет Кплотн'!$J:$J,MATCH(D692,'Расчет Кплотн'!$A:$A,0))</f>
        <v>1</v>
      </c>
      <c r="I692" s="3" t="n">
        <f aca="false">F692*Моделирование!$F$3*M692*G692/1000</f>
        <v>68735.03388</v>
      </c>
      <c r="J692" s="3" t="n">
        <f aca="false">F692*Моделирование!$F$3*M692*H692/1000</f>
        <v>68735.03388</v>
      </c>
      <c r="K692" s="3" t="n">
        <f aca="false">J692-I692</f>
        <v>0</v>
      </c>
      <c r="L692" s="4" t="n">
        <f aca="false">IFERROR(K692/I692,0)</f>
        <v>0</v>
      </c>
      <c r="M692" s="15" t="n">
        <f aca="false">IF(INDEX('Расчет Кплотн'!$D:$D,MATCH(D692,'Расчет Кплотн'!$A:$A,0))="район",IFERROR(VLOOKUP(INDEX('Расчет Кплотн'!$B:$B,MATCH(D692,'Расчет Кплотн'!$A:$A,0)),'БКПН (приказ 170)'!$A$4:$C$10,3,FALSE()),Моделирование!$F$2),Моделирование!$F$2)</f>
        <v>1686.17</v>
      </c>
    </row>
    <row r="694" customFormat="false" ht="15" hidden="false" customHeight="false" outlineLevel="0" collapsed="false">
      <c r="A694" s="16" t="s">
        <v>42</v>
      </c>
      <c r="E694" s="16" t="n">
        <f aca="false">COUNTIF(K6:K692,"&gt;0.5")</f>
        <v>182</v>
      </c>
    </row>
    <row r="695" customFormat="false" ht="15" hidden="false" customHeight="false" outlineLevel="0" collapsed="false">
      <c r="A695" s="16" t="s">
        <v>43</v>
      </c>
      <c r="E695" s="16" t="n">
        <f aca="false">COUNTIF(K6:K692,"&lt;=0.5")-COUNTIF(K6:K692,"&lt;-0.5")</f>
        <v>505</v>
      </c>
    </row>
    <row r="696" customFormat="false" ht="15" hidden="false" customHeight="false" outlineLevel="0" collapsed="false">
      <c r="A696" s="16" t="s">
        <v>44</v>
      </c>
      <c r="E696" s="16" t="n">
        <f aca="false">COUNTIF(K6:K692,"&lt;-0.5")</f>
        <v>0</v>
      </c>
    </row>
  </sheetData>
  <autoFilter ref="A4:L6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7" min="6" style="0" width="11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2" min="12" style="0" width="12"/>
  </cols>
  <sheetData>
    <row r="1" customFormat="false" ht="15.75" hidden="false" customHeight="true" outlineLevel="0" collapsed="false">
      <c r="A1" s="1" t="s">
        <v>45</v>
      </c>
    </row>
    <row r="2" customFormat="false" ht="15" hidden="false" customHeight="false" outlineLevel="0" collapsed="false">
      <c r="A2" s="17" t="s">
        <v>46</v>
      </c>
      <c r="F2" s="18" t="n">
        <v>1686.17</v>
      </c>
    </row>
    <row r="3" customFormat="false" ht="15" hidden="false" customHeight="false" outlineLevel="0" collapsed="false">
      <c r="A3" s="17" t="s">
        <v>47</v>
      </c>
      <c r="F3" s="19" t="n">
        <v>12</v>
      </c>
    </row>
    <row r="4" customFormat="false" ht="15" hidden="false" customHeight="false" outlineLevel="0" collapsed="false">
      <c r="A4" s="7" t="s">
        <v>48</v>
      </c>
    </row>
    <row r="6" customFormat="false" ht="69.75" hidden="false" customHeight="true" outlineLevel="0" collapsed="false">
      <c r="A6" s="2" t="s">
        <v>36</v>
      </c>
      <c r="B6" s="2" t="s">
        <v>1</v>
      </c>
      <c r="C6" s="2" t="s">
        <v>37</v>
      </c>
      <c r="D6" s="2" t="s">
        <v>49</v>
      </c>
      <c r="E6" s="2" t="s">
        <v>38</v>
      </c>
      <c r="F6" s="2" t="s">
        <v>39</v>
      </c>
      <c r="G6" s="2" t="s">
        <v>40</v>
      </c>
      <c r="H6" s="2" t="s">
        <v>3</v>
      </c>
      <c r="I6" s="2" t="s">
        <v>4</v>
      </c>
      <c r="J6" s="2" t="s">
        <v>5</v>
      </c>
      <c r="K6" s="2" t="s">
        <v>6</v>
      </c>
      <c r="L6" s="2" t="s">
        <v>41</v>
      </c>
    </row>
    <row r="7" customFormat="false" ht="15" hidden="false" customHeight="false" outlineLevel="0" collapsed="false">
      <c r="A7" s="8"/>
      <c r="B7" s="8"/>
      <c r="C7" s="8" t="s">
        <v>27</v>
      </c>
      <c r="D7" s="8"/>
      <c r="E7" s="9" t="n">
        <f aca="false">SUM(E8:E219)</f>
        <v>20477854</v>
      </c>
      <c r="F7" s="10" t="n">
        <f aca="false">SUMPRODUCT(E8:E219,F8:F219)/E7</f>
        <v>1.17930692925147</v>
      </c>
      <c r="G7" s="10" t="n">
        <f aca="false">SUMPRODUCT(E8:E219,G8:G219)/E7</f>
        <v>1.25175418747492</v>
      </c>
      <c r="H7" s="5" t="n">
        <f aca="false">SUM(H8:H219)</f>
        <v>498146718.769272</v>
      </c>
      <c r="I7" s="5" t="n">
        <f aca="false">SUM(I8:I219)</f>
        <v>529605531.98227</v>
      </c>
      <c r="J7" s="5" t="n">
        <f aca="false">SUM(J8:J219)</f>
        <v>31458813.2129977</v>
      </c>
      <c r="K7" s="6" t="n">
        <f aca="false">IFERROR(J7/H7,0)</f>
        <v>0.0631517021545787</v>
      </c>
      <c r="L7" s="11"/>
    </row>
    <row r="8" customFormat="false" ht="15" hidden="false" customHeight="false" outlineLevel="0" collapsed="false">
      <c r="A8" s="20" t="s">
        <v>50</v>
      </c>
      <c r="B8" s="20" t="s">
        <v>21</v>
      </c>
      <c r="C8" s="20" t="str">
        <f aca="false">'Расчет Кплотн'!C8</f>
        <v>Семей</v>
      </c>
      <c r="D8" s="20" t="str">
        <f aca="false">'Расчет Кплотн'!D8</f>
        <v>областной центр</v>
      </c>
      <c r="E8" s="21" t="n">
        <f aca="false">SUMIFS('РПН 01.08 по МО'!$D:$D,'РПН 01.08 по МО'!$E:$E,A8)</f>
        <v>362985</v>
      </c>
      <c r="F8" s="22" t="n">
        <f aca="false">'Расчет Кплотн'!K8</f>
        <v>1</v>
      </c>
      <c r="G8" s="22" t="n">
        <f aca="false">'Расчет Кплотн'!J8</f>
        <v>1</v>
      </c>
      <c r="H8" s="23" t="n">
        <f aca="false">E8*$F$3*L8*F8/1000</f>
        <v>7344653.0094</v>
      </c>
      <c r="I8" s="23" t="n">
        <f aca="false">E8*$F$3*L8*G8/1000</f>
        <v>7344653.0094</v>
      </c>
      <c r="J8" s="23" t="n">
        <f aca="false">I8-H8</f>
        <v>0</v>
      </c>
      <c r="K8" s="24" t="n">
        <f aca="false">IFERROR(J8/H8,0)</f>
        <v>0</v>
      </c>
      <c r="L8" s="25" t="n">
        <f aca="false">IF(D8="район",IFERROR(VLOOKUP(B8,'БКПН (приказ 170)'!$A$4:$C$10,3,FALSE()),$F$2),$F$2)</f>
        <v>1686.17</v>
      </c>
    </row>
    <row r="9" customFormat="false" ht="15" hidden="false" customHeight="false" outlineLevel="0" collapsed="false">
      <c r="A9" s="20" t="s">
        <v>51</v>
      </c>
      <c r="B9" s="20" t="s">
        <v>21</v>
      </c>
      <c r="C9" s="20" t="str">
        <f aca="false">'Расчет Кплотн'!C9</f>
        <v>Курчатов</v>
      </c>
      <c r="D9" s="20" t="str">
        <f aca="false">'Расчет Кплотн'!D9</f>
        <v>моногород / малый город</v>
      </c>
      <c r="E9" s="21" t="n">
        <f aca="false">SUMIFS('РПН 01.08 по МО'!$D:$D,'РПН 01.08 по МО'!$E:$E,A9)</f>
        <v>9897</v>
      </c>
      <c r="F9" s="22" t="n">
        <f aca="false">'Расчет Кплотн'!K9</f>
        <v>1.5</v>
      </c>
      <c r="G9" s="22" t="n">
        <f aca="false">'Расчет Кплотн'!J9</f>
        <v>1.5</v>
      </c>
      <c r="H9" s="23" t="n">
        <f aca="false">E9*$F$3*L9*F9/1000</f>
        <v>300384.44082</v>
      </c>
      <c r="I9" s="23" t="n">
        <f aca="false">E9*$F$3*L9*G9/1000</f>
        <v>300384.44082</v>
      </c>
      <c r="J9" s="23" t="n">
        <f aca="false">I9-H9</f>
        <v>0</v>
      </c>
      <c r="K9" s="24" t="n">
        <f aca="false">IFERROR(J9/H9,0)</f>
        <v>0</v>
      </c>
      <c r="L9" s="25" t="n">
        <f aca="false">IF(D9="район",IFERROR(VLOOKUP(B9,'БКПН (приказ 170)'!$A$4:$C$10,3,FALSE()),$F$2),$F$2)</f>
        <v>1686.17</v>
      </c>
    </row>
    <row r="10" customFormat="false" ht="15" hidden="false" customHeight="false" outlineLevel="0" collapsed="false">
      <c r="A10" s="20" t="s">
        <v>52</v>
      </c>
      <c r="B10" s="20" t="s">
        <v>21</v>
      </c>
      <c r="C10" s="20" t="str">
        <f aca="false">'Расчет Кплотн'!C10</f>
        <v>Абайский район</v>
      </c>
      <c r="D10" s="20" t="str">
        <f aca="false">'Расчет Кплотн'!D10</f>
        <v>район</v>
      </c>
      <c r="E10" s="21" t="n">
        <f aca="false">SUMIFS('РПН 01.08 по МО'!$D:$D,'РПН 01.08 по МО'!$E:$E,A10)</f>
        <v>10794</v>
      </c>
      <c r="F10" s="22" t="n">
        <f aca="false">'Расчет Кплотн'!K10</f>
        <v>2</v>
      </c>
      <c r="G10" s="22" t="n">
        <f aca="false">'Расчет Кплотн'!J10</f>
        <v>2</v>
      </c>
      <c r="H10" s="23" t="n">
        <f aca="false">E10*$F$3*L10*F10/1000</f>
        <v>495291.75696</v>
      </c>
      <c r="I10" s="23" t="n">
        <f aca="false">E10*$F$3*L10*G10/1000</f>
        <v>495291.75696</v>
      </c>
      <c r="J10" s="23" t="n">
        <f aca="false">I10-H10</f>
        <v>0</v>
      </c>
      <c r="K10" s="24" t="n">
        <f aca="false">IFERROR(J10/H10,0)</f>
        <v>0</v>
      </c>
      <c r="L10" s="25" t="n">
        <f aca="false">IF(D10="район",IFERROR(VLOOKUP(B10,'БКПН (приказ 170)'!$A$4:$C$10,3,FALSE()),$F$2),$F$2)</f>
        <v>1911.91</v>
      </c>
    </row>
    <row r="11" customFormat="false" ht="15" hidden="false" customHeight="false" outlineLevel="0" collapsed="false">
      <c r="A11" s="20" t="s">
        <v>53</v>
      </c>
      <c r="B11" s="20" t="s">
        <v>21</v>
      </c>
      <c r="C11" s="20" t="str">
        <f aca="false">'Расчет Кплотн'!C11</f>
        <v>район Ақсуат</v>
      </c>
      <c r="D11" s="20" t="str">
        <f aca="false">'Расчет Кплотн'!D11</f>
        <v>район</v>
      </c>
      <c r="E11" s="21" t="n">
        <f aca="false">SUMIFS('РПН 01.08 по МО'!$D:$D,'РПН 01.08 по МО'!$E:$E,A11)</f>
        <v>16574</v>
      </c>
      <c r="F11" s="22" t="n">
        <f aca="false">'Расчет Кплотн'!K11</f>
        <v>2</v>
      </c>
      <c r="G11" s="22" t="n">
        <f aca="false">'Расчет Кплотн'!J11</f>
        <v>2</v>
      </c>
      <c r="H11" s="23" t="n">
        <f aca="false">E11*$F$3*L11*F11/1000</f>
        <v>760511.91216</v>
      </c>
      <c r="I11" s="23" t="n">
        <f aca="false">E11*$F$3*L11*G11/1000</f>
        <v>760511.91216</v>
      </c>
      <c r="J11" s="23" t="n">
        <f aca="false">I11-H11</f>
        <v>0</v>
      </c>
      <c r="K11" s="24" t="n">
        <f aca="false">IFERROR(J11/H11,0)</f>
        <v>0</v>
      </c>
      <c r="L11" s="25" t="n">
        <f aca="false">IF(D11="район",IFERROR(VLOOKUP(B11,'БКПН (приказ 170)'!$A$4:$C$10,3,FALSE()),$F$2),$F$2)</f>
        <v>1911.91</v>
      </c>
    </row>
    <row r="12" customFormat="false" ht="15" hidden="false" customHeight="false" outlineLevel="0" collapsed="false">
      <c r="A12" s="20" t="s">
        <v>54</v>
      </c>
      <c r="B12" s="20" t="s">
        <v>21</v>
      </c>
      <c r="C12" s="20" t="str">
        <f aca="false">'Расчет Кплотн'!C12</f>
        <v>Аягозский район</v>
      </c>
      <c r="D12" s="20" t="str">
        <f aca="false">'Расчет Кплотн'!D12</f>
        <v>район</v>
      </c>
      <c r="E12" s="21" t="n">
        <f aca="false">SUMIFS('РПН 01.08 по МО'!$D:$D,'РПН 01.08 по МО'!$E:$E,A12)</f>
        <v>60975</v>
      </c>
      <c r="F12" s="22" t="n">
        <f aca="false">'Расчет Кплотн'!K12</f>
        <v>2</v>
      </c>
      <c r="G12" s="22" t="n">
        <f aca="false">'Расчет Кплотн'!J12</f>
        <v>2</v>
      </c>
      <c r="H12" s="23" t="n">
        <f aca="false">E12*$F$3*L12*F12/1000</f>
        <v>2797889.094</v>
      </c>
      <c r="I12" s="23" t="n">
        <f aca="false">E12*$F$3*L12*G12/1000</f>
        <v>2797889.094</v>
      </c>
      <c r="J12" s="23" t="n">
        <f aca="false">I12-H12</f>
        <v>0</v>
      </c>
      <c r="K12" s="24" t="n">
        <f aca="false">IFERROR(J12/H12,0)</f>
        <v>0</v>
      </c>
      <c r="L12" s="25" t="n">
        <f aca="false">IF(D12="район",IFERROR(VLOOKUP(B12,'БКПН (приказ 170)'!$A$4:$C$10,3,FALSE()),$F$2),$F$2)</f>
        <v>1911.91</v>
      </c>
    </row>
    <row r="13" customFormat="false" ht="15" hidden="false" customHeight="false" outlineLevel="0" collapsed="false">
      <c r="A13" s="20" t="s">
        <v>55</v>
      </c>
      <c r="B13" s="20" t="s">
        <v>21</v>
      </c>
      <c r="C13" s="20" t="str">
        <f aca="false">'Расчет Кплотн'!C13</f>
        <v>Бескарагайский район</v>
      </c>
      <c r="D13" s="20" t="str">
        <f aca="false">'Расчет Кплотн'!D13</f>
        <v>район</v>
      </c>
      <c r="E13" s="21" t="n">
        <f aca="false">SUMIFS('РПН 01.08 по МО'!$D:$D,'РПН 01.08 по МО'!$E:$E,A13)</f>
        <v>13938</v>
      </c>
      <c r="F13" s="22" t="n">
        <f aca="false">'Расчет Кплотн'!K13</f>
        <v>2</v>
      </c>
      <c r="G13" s="22" t="n">
        <f aca="false">'Расчет Кплотн'!J13</f>
        <v>2</v>
      </c>
      <c r="H13" s="23" t="n">
        <f aca="false">E13*$F$3*L13*F13/1000</f>
        <v>639556.83792</v>
      </c>
      <c r="I13" s="23" t="n">
        <f aca="false">E13*$F$3*L13*G13/1000</f>
        <v>639556.83792</v>
      </c>
      <c r="J13" s="23" t="n">
        <f aca="false">I13-H13</f>
        <v>0</v>
      </c>
      <c r="K13" s="24" t="n">
        <f aca="false">IFERROR(J13/H13,0)</f>
        <v>0</v>
      </c>
      <c r="L13" s="25" t="n">
        <f aca="false">IF(D13="район",IFERROR(VLOOKUP(B13,'БКПН (приказ 170)'!$A$4:$C$10,3,FALSE()),$F$2),$F$2)</f>
        <v>1911.91</v>
      </c>
    </row>
    <row r="14" customFormat="false" ht="15" hidden="false" customHeight="false" outlineLevel="0" collapsed="false">
      <c r="A14" s="20" t="s">
        <v>56</v>
      </c>
      <c r="B14" s="20" t="s">
        <v>21</v>
      </c>
      <c r="C14" s="20" t="str">
        <f aca="false">'Расчет Кплотн'!C14</f>
        <v>Бородулихинский район</v>
      </c>
      <c r="D14" s="20" t="str">
        <f aca="false">'Расчет Кплотн'!D14</f>
        <v>район</v>
      </c>
      <c r="E14" s="21" t="n">
        <f aca="false">SUMIFS('РПН 01.08 по МО'!$D:$D,'РПН 01.08 по МО'!$E:$E,A14)</f>
        <v>28085</v>
      </c>
      <c r="F14" s="22" t="n">
        <f aca="false">'Расчет Кплотн'!K14</f>
        <v>1.4339</v>
      </c>
      <c r="G14" s="22" t="n">
        <f aca="false">'Расчет Кплотн'!J14</f>
        <v>2</v>
      </c>
      <c r="H14" s="23" t="n">
        <f aca="false">E14*$F$3*L14*F14/1000</f>
        <v>923936.20116798</v>
      </c>
      <c r="I14" s="23" t="n">
        <f aca="false">E14*$F$3*L14*G14/1000</f>
        <v>1288703.8164</v>
      </c>
      <c r="J14" s="23" t="n">
        <f aca="false">I14-H14</f>
        <v>364767.61523202</v>
      </c>
      <c r="K14" s="24" t="n">
        <f aca="false">IFERROR(J14/H14,0)</f>
        <v>0.394797405676825</v>
      </c>
      <c r="L14" s="25" t="n">
        <f aca="false">IF(D14="район",IFERROR(VLOOKUP(B14,'БКПН (приказ 170)'!$A$4:$C$10,3,FALSE()),$F$2),$F$2)</f>
        <v>1911.91</v>
      </c>
    </row>
    <row r="15" customFormat="false" ht="15" hidden="false" customHeight="false" outlineLevel="0" collapsed="false">
      <c r="A15" s="20" t="s">
        <v>57</v>
      </c>
      <c r="B15" s="20" t="s">
        <v>21</v>
      </c>
      <c r="C15" s="20" t="str">
        <f aca="false">'Расчет Кплотн'!C15</f>
        <v>район Жаңасемей</v>
      </c>
      <c r="D15" s="20" t="str">
        <f aca="false">'Расчет Кплотн'!D15</f>
        <v>район</v>
      </c>
      <c r="E15" s="21" t="n">
        <f aca="false">SUMIFS('РПН 01.08 по МО'!$D:$D,'РПН 01.08 по МО'!$E:$E,A15)</f>
        <v>6327</v>
      </c>
      <c r="F15" s="22" t="n">
        <f aca="false">'Расчет Кплотн'!K15</f>
        <v>1</v>
      </c>
      <c r="G15" s="22" t="n">
        <f aca="false">'Расчет Кплотн'!J15</f>
        <v>2</v>
      </c>
      <c r="H15" s="23" t="n">
        <f aca="false">E15*$F$3*L15*F15/1000</f>
        <v>145159.85484</v>
      </c>
      <c r="I15" s="23" t="n">
        <f aca="false">E15*$F$3*L15*G15/1000</f>
        <v>290319.70968</v>
      </c>
      <c r="J15" s="23" t="n">
        <f aca="false">I15-H15</f>
        <v>145159.85484</v>
      </c>
      <c r="K15" s="24" t="n">
        <f aca="false">IFERROR(J15/H15,0)</f>
        <v>1</v>
      </c>
      <c r="L15" s="25" t="n">
        <f aca="false">IF(D15="район",IFERROR(VLOOKUP(B15,'БКПН (приказ 170)'!$A$4:$C$10,3,FALSE()),$F$2),$F$2)</f>
        <v>1911.91</v>
      </c>
    </row>
    <row r="16" customFormat="false" ht="15" hidden="false" customHeight="false" outlineLevel="0" collapsed="false">
      <c r="A16" s="20" t="s">
        <v>58</v>
      </c>
      <c r="B16" s="20" t="s">
        <v>21</v>
      </c>
      <c r="C16" s="20" t="str">
        <f aca="false">'Расчет Кплотн'!C16</f>
        <v>Жарминский район</v>
      </c>
      <c r="D16" s="20" t="str">
        <f aca="false">'Расчет Кплотн'!D16</f>
        <v>район</v>
      </c>
      <c r="E16" s="21" t="n">
        <f aca="false">SUMIFS('РПН 01.08 по МО'!$D:$D,'РПН 01.08 по МО'!$E:$E,A16)</f>
        <v>31813</v>
      </c>
      <c r="F16" s="22" t="n">
        <f aca="false">'Расчет Кплотн'!K16</f>
        <v>2</v>
      </c>
      <c r="G16" s="22" t="n">
        <f aca="false">'Расчет Кплотн'!J16</f>
        <v>2</v>
      </c>
      <c r="H16" s="23" t="n">
        <f aca="false">E16*$F$3*L16*F16/1000</f>
        <v>1459766.22792</v>
      </c>
      <c r="I16" s="23" t="n">
        <f aca="false">E16*$F$3*L16*G16/1000</f>
        <v>1459766.22792</v>
      </c>
      <c r="J16" s="23" t="n">
        <f aca="false">I16-H16</f>
        <v>0</v>
      </c>
      <c r="K16" s="24" t="n">
        <f aca="false">IFERROR(J16/H16,0)</f>
        <v>0</v>
      </c>
      <c r="L16" s="25" t="n">
        <f aca="false">IF(D16="район",IFERROR(VLOOKUP(B16,'БКПН (приказ 170)'!$A$4:$C$10,3,FALSE()),$F$2),$F$2)</f>
        <v>1911.91</v>
      </c>
    </row>
    <row r="17" customFormat="false" ht="15" hidden="false" customHeight="false" outlineLevel="0" collapsed="false">
      <c r="A17" s="20" t="s">
        <v>59</v>
      </c>
      <c r="B17" s="20" t="s">
        <v>21</v>
      </c>
      <c r="C17" s="20" t="str">
        <f aca="false">'Расчет Кплотн'!C17</f>
        <v>Кокпектинский район</v>
      </c>
      <c r="D17" s="20" t="str">
        <f aca="false">'Расчет Кплотн'!D17</f>
        <v>район</v>
      </c>
      <c r="E17" s="21" t="n">
        <f aca="false">SUMIFS('РПН 01.08 по МО'!$D:$D,'РПН 01.08 по МО'!$E:$E,A17)</f>
        <v>11539</v>
      </c>
      <c r="F17" s="22" t="n">
        <f aca="false">'Расчет Кплотн'!K17</f>
        <v>2</v>
      </c>
      <c r="G17" s="22" t="n">
        <f aca="false">'Расчет Кплотн'!J17</f>
        <v>2</v>
      </c>
      <c r="H17" s="23" t="n">
        <f aca="false">E17*$F$3*L17*F17/1000</f>
        <v>529476.70776</v>
      </c>
      <c r="I17" s="23" t="n">
        <f aca="false">E17*$F$3*L17*G17/1000</f>
        <v>529476.70776</v>
      </c>
      <c r="J17" s="23" t="n">
        <f aca="false">I17-H17</f>
        <v>0</v>
      </c>
      <c r="K17" s="24" t="n">
        <f aca="false">IFERROR(J17/H17,0)</f>
        <v>0</v>
      </c>
      <c r="L17" s="25" t="n">
        <f aca="false">IF(D17="район",IFERROR(VLOOKUP(B17,'БКПН (приказ 170)'!$A$4:$C$10,3,FALSE()),$F$2),$F$2)</f>
        <v>1911.91</v>
      </c>
    </row>
    <row r="18" customFormat="false" ht="15" hidden="false" customHeight="false" outlineLevel="0" collapsed="false">
      <c r="A18" s="20" t="s">
        <v>60</v>
      </c>
      <c r="B18" s="20" t="s">
        <v>21</v>
      </c>
      <c r="C18" s="20" t="str">
        <f aca="false">'Расчет Кплотн'!C18</f>
        <v>район Мақаншы</v>
      </c>
      <c r="D18" s="20" t="str">
        <f aca="false">'Расчет Кплотн'!D18</f>
        <v>район</v>
      </c>
      <c r="E18" s="21" t="n">
        <f aca="false">SUMIFS('РПН 01.08 по МО'!$D:$D,'РПН 01.08 по МО'!$E:$E,A18)</f>
        <v>22985</v>
      </c>
      <c r="F18" s="22" t="n">
        <f aca="false">'Расчет Кплотн'!K18</f>
        <v>1.6934</v>
      </c>
      <c r="G18" s="22" t="n">
        <f aca="false">'Расчет Кплотн'!J18</f>
        <v>2</v>
      </c>
      <c r="H18" s="23" t="n">
        <f aca="false">E18*$F$3*L18*F18/1000</f>
        <v>893002.66363308</v>
      </c>
      <c r="I18" s="23" t="n">
        <f aca="false">E18*$F$3*L18*G18/1000</f>
        <v>1054686.0324</v>
      </c>
      <c r="J18" s="23" t="n">
        <f aca="false">I18-H18</f>
        <v>161683.36876692</v>
      </c>
      <c r="K18" s="24" t="n">
        <f aca="false">IFERROR(J18/H18,0)</f>
        <v>0.181055863942365</v>
      </c>
      <c r="L18" s="25" t="n">
        <f aca="false">IF(D18="район",IFERROR(VLOOKUP(B18,'БКПН (приказ 170)'!$A$4:$C$10,3,FALSE()),$F$2),$F$2)</f>
        <v>1911.91</v>
      </c>
    </row>
    <row r="19" customFormat="false" ht="15" hidden="false" customHeight="false" outlineLevel="0" collapsed="false">
      <c r="A19" s="20" t="s">
        <v>61</v>
      </c>
      <c r="B19" s="20" t="s">
        <v>21</v>
      </c>
      <c r="C19" s="20" t="str">
        <f aca="false">'Расчет Кплотн'!C19</f>
        <v>Урджарский район</v>
      </c>
      <c r="D19" s="20" t="str">
        <f aca="false">'Расчет Кплотн'!D19</f>
        <v>район</v>
      </c>
      <c r="E19" s="21" t="n">
        <f aca="false">SUMIFS('РПН 01.08 по МО'!$D:$D,'РПН 01.08 по МО'!$E:$E,A19)</f>
        <v>34454</v>
      </c>
      <c r="F19" s="22" t="n">
        <f aca="false">'Расчет Кплотн'!K19</f>
        <v>1.6934</v>
      </c>
      <c r="G19" s="22" t="n">
        <f aca="false">'Расчет Кплотн'!J19</f>
        <v>2</v>
      </c>
      <c r="H19" s="23" t="n">
        <f aca="false">E19*$F$3*L19*F19/1000</f>
        <v>1338590.98424251</v>
      </c>
      <c r="I19" s="23" t="n">
        <f aca="false">E19*$F$3*L19*G19/1000</f>
        <v>1580950.73136</v>
      </c>
      <c r="J19" s="23" t="n">
        <f aca="false">I19-H19</f>
        <v>242359.747117488</v>
      </c>
      <c r="K19" s="24" t="n">
        <f aca="false">IFERROR(J19/H19,0)</f>
        <v>0.181055863942364</v>
      </c>
      <c r="L19" s="25" t="n">
        <f aca="false">IF(D19="район",IFERROR(VLOOKUP(B19,'БКПН (приказ 170)'!$A$4:$C$10,3,FALSE()),$F$2),$F$2)</f>
        <v>1911.91</v>
      </c>
    </row>
    <row r="20" customFormat="false" ht="15" hidden="false" customHeight="false" outlineLevel="0" collapsed="false">
      <c r="A20" s="20" t="s">
        <v>62</v>
      </c>
      <c r="B20" s="20" t="s">
        <v>7</v>
      </c>
      <c r="C20" s="20" t="str">
        <f aca="false">'Расчет Кплотн'!C20</f>
        <v>Кокшетау</v>
      </c>
      <c r="D20" s="20" t="str">
        <f aca="false">'Расчет Кплотн'!D20</f>
        <v>областной центр</v>
      </c>
      <c r="E20" s="21" t="n">
        <f aca="false">SUMIFS('РПН 01.08 по МО'!$D:$D,'РПН 01.08 по МО'!$E:$E,A20)</f>
        <v>292137</v>
      </c>
      <c r="F20" s="22" t="n">
        <f aca="false">'Расчет Кплотн'!K20</f>
        <v>1</v>
      </c>
      <c r="G20" s="22" t="n">
        <f aca="false">'Расчет Кплотн'!J20</f>
        <v>1</v>
      </c>
      <c r="H20" s="23" t="n">
        <f aca="false">E20*$F$3*L20*F20/1000</f>
        <v>5911111.74348</v>
      </c>
      <c r="I20" s="23" t="n">
        <f aca="false">E20*$F$3*L20*G20/1000</f>
        <v>5911111.74348</v>
      </c>
      <c r="J20" s="23" t="n">
        <f aca="false">I20-H20</f>
        <v>0</v>
      </c>
      <c r="K20" s="24" t="n">
        <f aca="false">IFERROR(J20/H20,0)</f>
        <v>0</v>
      </c>
      <c r="L20" s="25" t="n">
        <f aca="false">IF(D20="район",IFERROR(VLOOKUP(B20,'БКПН (приказ 170)'!$A$4:$C$10,3,FALSE()),$F$2),$F$2)</f>
        <v>1686.17</v>
      </c>
    </row>
    <row r="21" customFormat="false" ht="15" hidden="false" customHeight="false" outlineLevel="0" collapsed="false">
      <c r="A21" s="20" t="s">
        <v>63</v>
      </c>
      <c r="B21" s="20" t="s">
        <v>7</v>
      </c>
      <c r="C21" s="20" t="str">
        <f aca="false">'Расчет Кплотн'!C21</f>
        <v>Косшы</v>
      </c>
      <c r="D21" s="20" t="str">
        <f aca="false">'Расчет Кплотн'!D21</f>
        <v>моногород / малый город</v>
      </c>
      <c r="E21" s="21" t="n">
        <f aca="false">SUMIFS('РПН 01.08 по МО'!$D:$D,'РПН 01.08 по МО'!$E:$E,A21)</f>
        <v>51083</v>
      </c>
      <c r="F21" s="22" t="n">
        <f aca="false">'Расчет Кплотн'!K21</f>
        <v>1.5</v>
      </c>
      <c r="G21" s="22" t="n">
        <f aca="false">'Расчет Кплотн'!J21</f>
        <v>1.5</v>
      </c>
      <c r="H21" s="23" t="n">
        <f aca="false">E21*$F$3*L21*F21/1000</f>
        <v>1550423.19798</v>
      </c>
      <c r="I21" s="23" t="n">
        <f aca="false">E21*$F$3*L21*G21/1000</f>
        <v>1550423.19798</v>
      </c>
      <c r="J21" s="23" t="n">
        <f aca="false">I21-H21</f>
        <v>0</v>
      </c>
      <c r="K21" s="24" t="n">
        <f aca="false">IFERROR(J21/H21,0)</f>
        <v>0</v>
      </c>
      <c r="L21" s="25" t="n">
        <f aca="false">IF(D21="район",IFERROR(VLOOKUP(B21,'БКПН (приказ 170)'!$A$4:$C$10,3,FALSE()),$F$2),$F$2)</f>
        <v>1686.17</v>
      </c>
    </row>
    <row r="22" customFormat="false" ht="15" hidden="false" customHeight="false" outlineLevel="0" collapsed="false">
      <c r="A22" s="20" t="s">
        <v>64</v>
      </c>
      <c r="B22" s="20" t="s">
        <v>7</v>
      </c>
      <c r="C22" s="20" t="str">
        <f aca="false">'Расчет Кплотн'!C22</f>
        <v>Степногорск</v>
      </c>
      <c r="D22" s="20" t="str">
        <f aca="false">'Расчет Кплотн'!D22</f>
        <v>моногород / малый город</v>
      </c>
      <c r="E22" s="21" t="n">
        <f aca="false">SUMIFS('РПН 01.08 по МО'!$D:$D,'РПН 01.08 по МО'!$E:$E,A22)</f>
        <v>5043</v>
      </c>
      <c r="F22" s="22" t="n">
        <f aca="false">'Расчет Кплотн'!K22</f>
        <v>1.5</v>
      </c>
      <c r="G22" s="22" t="n">
        <f aca="false">'Расчет Кплотн'!J22</f>
        <v>1.5</v>
      </c>
      <c r="H22" s="23" t="n">
        <f aca="false">E22*$F$3*L22*F22/1000</f>
        <v>153060.39558</v>
      </c>
      <c r="I22" s="23" t="n">
        <f aca="false">E22*$F$3*L22*G22/1000</f>
        <v>153060.39558</v>
      </c>
      <c r="J22" s="23" t="n">
        <f aca="false">I22-H22</f>
        <v>0</v>
      </c>
      <c r="K22" s="24" t="n">
        <f aca="false">IFERROR(J22/H22,0)</f>
        <v>0</v>
      </c>
      <c r="L22" s="25" t="n">
        <f aca="false">IF(D22="район",IFERROR(VLOOKUP(B22,'БКПН (приказ 170)'!$A$4:$C$10,3,FALSE()),$F$2),$F$2)</f>
        <v>1686.17</v>
      </c>
    </row>
    <row r="23" customFormat="false" ht="15" hidden="false" customHeight="false" outlineLevel="0" collapsed="false">
      <c r="A23" s="20" t="s">
        <v>65</v>
      </c>
      <c r="B23" s="20" t="s">
        <v>7</v>
      </c>
      <c r="C23" s="20" t="str">
        <f aca="false">'Расчет Кплотн'!C23</f>
        <v>Аккольский район</v>
      </c>
      <c r="D23" s="20" t="str">
        <f aca="false">'Расчет Кплотн'!D23</f>
        <v>район</v>
      </c>
      <c r="E23" s="21" t="n">
        <f aca="false">SUMIFS('РПН 01.08 по МО'!$D:$D,'РПН 01.08 по МО'!$E:$E,A23)</f>
        <v>22231</v>
      </c>
      <c r="F23" s="22" t="n">
        <f aca="false">'Расчет Кплотн'!K23</f>
        <v>1.6873</v>
      </c>
      <c r="G23" s="22" t="n">
        <f aca="false">'Расчет Кплотн'!J23</f>
        <v>2</v>
      </c>
      <c r="H23" s="23" t="n">
        <f aca="false">E23*$F$3*L23*F23/1000</f>
        <v>758986.252128852</v>
      </c>
      <c r="I23" s="23" t="n">
        <f aca="false">E23*$F$3*L23*G23/1000</f>
        <v>899645.88648</v>
      </c>
      <c r="J23" s="23" t="n">
        <f aca="false">I23-H23</f>
        <v>140659.634351148</v>
      </c>
      <c r="K23" s="24" t="n">
        <f aca="false">IFERROR(J23/H23,0)</f>
        <v>0.185325668227345</v>
      </c>
      <c r="L23" s="25" t="n">
        <f aca="false">IF(D23="район",IFERROR(VLOOKUP(B23,'БКПН (приказ 170)'!$A$4:$C$10,3,FALSE()),$F$2),$F$2)</f>
        <v>1686.17</v>
      </c>
    </row>
    <row r="24" customFormat="false" ht="15" hidden="false" customHeight="false" outlineLevel="0" collapsed="false">
      <c r="A24" s="20" t="s">
        <v>66</v>
      </c>
      <c r="B24" s="20" t="s">
        <v>7</v>
      </c>
      <c r="C24" s="20" t="str">
        <f aca="false">'Расчет Кплотн'!C24</f>
        <v>Аршалынский район</v>
      </c>
      <c r="D24" s="20" t="str">
        <f aca="false">'Расчет Кплотн'!D24</f>
        <v>район</v>
      </c>
      <c r="E24" s="21" t="n">
        <f aca="false">SUMIFS('РПН 01.08 по МО'!$D:$D,'РПН 01.08 по МО'!$E:$E,A24)</f>
        <v>25201</v>
      </c>
      <c r="F24" s="22" t="n">
        <f aca="false">'Расчет Кплотн'!K24</f>
        <v>1.4783</v>
      </c>
      <c r="G24" s="22" t="n">
        <f aca="false">'Расчет Кплотн'!J24</f>
        <v>2</v>
      </c>
      <c r="H24" s="23" t="n">
        <f aca="false">E24*$F$3*L24*F24/1000</f>
        <v>753811.841547732</v>
      </c>
      <c r="I24" s="23" t="n">
        <f aca="false">E24*$F$3*L24*G24/1000</f>
        <v>1019836.08408</v>
      </c>
      <c r="J24" s="23" t="n">
        <f aca="false">I24-H24</f>
        <v>266024.242532268</v>
      </c>
      <c r="K24" s="24" t="n">
        <f aca="false">IFERROR(J24/H24,0)</f>
        <v>0.352905364269769</v>
      </c>
      <c r="L24" s="25" t="n">
        <f aca="false">IF(D24="район",IFERROR(VLOOKUP(B24,'БКПН (приказ 170)'!$A$4:$C$10,3,FALSE()),$F$2),$F$2)</f>
        <v>1686.17</v>
      </c>
    </row>
    <row r="25" customFormat="false" ht="15" hidden="false" customHeight="false" outlineLevel="0" collapsed="false">
      <c r="A25" s="20" t="s">
        <v>67</v>
      </c>
      <c r="B25" s="20" t="s">
        <v>7</v>
      </c>
      <c r="C25" s="20" t="str">
        <f aca="false">'Расчет Кплотн'!C25</f>
        <v>Астраханский район</v>
      </c>
      <c r="D25" s="20" t="str">
        <f aca="false">'Расчет Кплотн'!D25</f>
        <v>район</v>
      </c>
      <c r="E25" s="21" t="n">
        <f aca="false">SUMIFS('РПН 01.08 по МО'!$D:$D,'РПН 01.08 по МО'!$E:$E,A25)</f>
        <v>18163</v>
      </c>
      <c r="F25" s="22" t="n">
        <f aca="false">'Расчет Кплотн'!K25</f>
        <v>1.7655</v>
      </c>
      <c r="G25" s="22" t="n">
        <f aca="false">'Расчет Кплотн'!J25</f>
        <v>2</v>
      </c>
      <c r="H25" s="23" t="n">
        <f aca="false">E25*$F$3*L25*F25/1000</f>
        <v>648840.43837206</v>
      </c>
      <c r="I25" s="23" t="n">
        <f aca="false">E25*$F$3*L25*G25/1000</f>
        <v>735021.73704</v>
      </c>
      <c r="J25" s="23" t="n">
        <f aca="false">I25-H25</f>
        <v>86181.29866794</v>
      </c>
      <c r="K25" s="24" t="n">
        <f aca="false">IFERROR(J25/H25,0)</f>
        <v>0.132823562730105</v>
      </c>
      <c r="L25" s="25" t="n">
        <f aca="false">IF(D25="район",IFERROR(VLOOKUP(B25,'БКПН (приказ 170)'!$A$4:$C$10,3,FALSE()),$F$2),$F$2)</f>
        <v>1686.17</v>
      </c>
    </row>
    <row r="26" customFormat="false" ht="15" hidden="false" customHeight="false" outlineLevel="0" collapsed="false">
      <c r="A26" s="20" t="s">
        <v>68</v>
      </c>
      <c r="B26" s="20" t="s">
        <v>7</v>
      </c>
      <c r="C26" s="20" t="str">
        <f aca="false">'Расчет Кплотн'!C26</f>
        <v>Атбасарский район</v>
      </c>
      <c r="D26" s="20" t="str">
        <f aca="false">'Расчет Кплотн'!D26</f>
        <v>район</v>
      </c>
      <c r="E26" s="21" t="n">
        <f aca="false">SUMIFS('РПН 01.08 по МО'!$D:$D,'РПН 01.08 по МО'!$E:$E,A26)</f>
        <v>42746</v>
      </c>
      <c r="F26" s="22" t="n">
        <f aca="false">'Расчет Кплотн'!K26</f>
        <v>1.5024</v>
      </c>
      <c r="G26" s="22" t="n">
        <f aca="false">'Расчет Кплотн'!J26</f>
        <v>2</v>
      </c>
      <c r="H26" s="23" t="n">
        <f aca="false">E26*$F$3*L26*F26/1000</f>
        <v>1299462.22901722</v>
      </c>
      <c r="I26" s="23" t="n">
        <f aca="false">E26*$F$3*L26*G26/1000</f>
        <v>1729848.54768</v>
      </c>
      <c r="J26" s="23" t="n">
        <f aca="false">I26-H26</f>
        <v>430386.318662784</v>
      </c>
      <c r="K26" s="24" t="n">
        <f aca="false">IFERROR(J26/H26,0)</f>
        <v>0.331203407880724</v>
      </c>
      <c r="L26" s="25" t="n">
        <f aca="false">IF(D26="район",IFERROR(VLOOKUP(B26,'БКПН (приказ 170)'!$A$4:$C$10,3,FALSE()),$F$2),$F$2)</f>
        <v>1686.17</v>
      </c>
    </row>
    <row r="27" customFormat="false" ht="15" hidden="false" customHeight="false" outlineLevel="0" collapsed="false">
      <c r="A27" s="20" t="s">
        <v>69</v>
      </c>
      <c r="B27" s="20" t="s">
        <v>7</v>
      </c>
      <c r="C27" s="20" t="str">
        <f aca="false">'Расчет Кплотн'!C27</f>
        <v>Буландынский район</v>
      </c>
      <c r="D27" s="20" t="str">
        <f aca="false">'Расчет Кплотн'!D27</f>
        <v>район</v>
      </c>
      <c r="E27" s="21" t="n">
        <f aca="false">SUMIFS('РПН 01.08 по МО'!$D:$D,'РПН 01.08 по МО'!$E:$E,A27)</f>
        <v>27274</v>
      </c>
      <c r="F27" s="22" t="n">
        <f aca="false">'Расчет Кплотн'!K27</f>
        <v>1.3585</v>
      </c>
      <c r="G27" s="22" t="n">
        <f aca="false">'Расчет Кплотн'!J27</f>
        <v>1.95</v>
      </c>
      <c r="H27" s="23" t="n">
        <f aca="false">E27*$F$3*L27*F27/1000</f>
        <v>749706.16665516</v>
      </c>
      <c r="I27" s="23" t="n">
        <f aca="false">E27*$F$3*L27*G27/1000</f>
        <v>1076133.253572</v>
      </c>
      <c r="J27" s="23" t="n">
        <f aca="false">I27-H27</f>
        <v>326427.08691684</v>
      </c>
      <c r="K27" s="24" t="n">
        <f aca="false">IFERROR(J27/H27,0)</f>
        <v>0.435406698564593</v>
      </c>
      <c r="L27" s="25" t="n">
        <f aca="false">IF(D27="район",IFERROR(VLOOKUP(B27,'БКПН (приказ 170)'!$A$4:$C$10,3,FALSE()),$F$2),$F$2)</f>
        <v>1686.17</v>
      </c>
    </row>
    <row r="28" customFormat="false" ht="15" hidden="false" customHeight="false" outlineLevel="0" collapsed="false">
      <c r="A28" s="20" t="s">
        <v>70</v>
      </c>
      <c r="B28" s="20" t="s">
        <v>7</v>
      </c>
      <c r="C28" s="20" t="str">
        <f aca="false">'Расчет Кплотн'!C28</f>
        <v>Егиндыкольский район</v>
      </c>
      <c r="D28" s="20" t="str">
        <f aca="false">'Расчет Кплотн'!D28</f>
        <v>район</v>
      </c>
      <c r="E28" s="21" t="n">
        <f aca="false">SUMIFS('РПН 01.08 по МО'!$D:$D,'РПН 01.08 по МО'!$E:$E,A28)</f>
        <v>4887</v>
      </c>
      <c r="F28" s="22" t="n">
        <f aca="false">'Расчет Кплотн'!K28</f>
        <v>2</v>
      </c>
      <c r="G28" s="22" t="n">
        <f aca="false">'Расчет Кплотн'!J28</f>
        <v>2</v>
      </c>
      <c r="H28" s="23" t="n">
        <f aca="false">E28*$F$3*L28*F28/1000</f>
        <v>197767.50696</v>
      </c>
      <c r="I28" s="23" t="n">
        <f aca="false">E28*$F$3*L28*G28/1000</f>
        <v>197767.50696</v>
      </c>
      <c r="J28" s="23" t="n">
        <f aca="false">I28-H28</f>
        <v>0</v>
      </c>
      <c r="K28" s="24" t="n">
        <f aca="false">IFERROR(J28/H28,0)</f>
        <v>0</v>
      </c>
      <c r="L28" s="25" t="n">
        <f aca="false">IF(D28="район",IFERROR(VLOOKUP(B28,'БКПН (приказ 170)'!$A$4:$C$10,3,FALSE()),$F$2),$F$2)</f>
        <v>1686.17</v>
      </c>
    </row>
    <row r="29" customFormat="false" ht="15" hidden="false" customHeight="false" outlineLevel="0" collapsed="false">
      <c r="A29" s="20" t="s">
        <v>71</v>
      </c>
      <c r="B29" s="20" t="s">
        <v>7</v>
      </c>
      <c r="C29" s="20" t="str">
        <f aca="false">'Расчет Кплотн'!C29</f>
        <v>район Биржан сал</v>
      </c>
      <c r="D29" s="20" t="str">
        <f aca="false">'Расчет Кплотн'!D29</f>
        <v>район</v>
      </c>
      <c r="E29" s="21" t="n">
        <f aca="false">SUMIFS('РПН 01.08 по МО'!$D:$D,'РПН 01.08 по МО'!$E:$E,A29)</f>
        <v>10526</v>
      </c>
      <c r="F29" s="22" t="n">
        <f aca="false">'Расчет Кплотн'!K29</f>
        <v>2</v>
      </c>
      <c r="G29" s="22" t="n">
        <f aca="false">'Расчет Кплотн'!J29</f>
        <v>2</v>
      </c>
      <c r="H29" s="23" t="n">
        <f aca="false">E29*$F$3*L29*F29/1000</f>
        <v>425967.01008</v>
      </c>
      <c r="I29" s="23" t="n">
        <f aca="false">E29*$F$3*L29*G29/1000</f>
        <v>425967.01008</v>
      </c>
      <c r="J29" s="23" t="n">
        <f aca="false">I29-H29</f>
        <v>0</v>
      </c>
      <c r="K29" s="24" t="n">
        <f aca="false">IFERROR(J29/H29,0)</f>
        <v>0</v>
      </c>
      <c r="L29" s="25" t="n">
        <f aca="false">IF(D29="район",IFERROR(VLOOKUP(B29,'БКПН (приказ 170)'!$A$4:$C$10,3,FALSE()),$F$2),$F$2)</f>
        <v>1686.17</v>
      </c>
    </row>
    <row r="30" customFormat="false" ht="15" hidden="false" customHeight="false" outlineLevel="0" collapsed="false">
      <c r="A30" s="20" t="s">
        <v>72</v>
      </c>
      <c r="B30" s="20" t="s">
        <v>7</v>
      </c>
      <c r="C30" s="20" t="str">
        <f aca="false">'Расчет Кплотн'!C30</f>
        <v>Ерейментауский район</v>
      </c>
      <c r="D30" s="20" t="str">
        <f aca="false">'Расчет Кплотн'!D30</f>
        <v>район</v>
      </c>
      <c r="E30" s="21" t="n">
        <f aca="false">SUMIFS('РПН 01.08 по МО'!$D:$D,'РПН 01.08 по МО'!$E:$E,A30)</f>
        <v>21673</v>
      </c>
      <c r="F30" s="22" t="n">
        <f aca="false">'Расчет Кплотн'!K30</f>
        <v>2</v>
      </c>
      <c r="G30" s="22" t="n">
        <f aca="false">'Расчет Кплотн'!J30</f>
        <v>2</v>
      </c>
      <c r="H30" s="23" t="n">
        <f aca="false">E30*$F$3*L30*F30/1000</f>
        <v>877064.69784</v>
      </c>
      <c r="I30" s="23" t="n">
        <f aca="false">E30*$F$3*L30*G30/1000</f>
        <v>877064.69784</v>
      </c>
      <c r="J30" s="23" t="n">
        <f aca="false">I30-H30</f>
        <v>0</v>
      </c>
      <c r="K30" s="24" t="n">
        <f aca="false">IFERROR(J30/H30,0)</f>
        <v>0</v>
      </c>
      <c r="L30" s="25" t="n">
        <f aca="false">IF(D30="район",IFERROR(VLOOKUP(B30,'БКПН (приказ 170)'!$A$4:$C$10,3,FALSE()),$F$2),$F$2)</f>
        <v>1686.17</v>
      </c>
    </row>
    <row r="31" customFormat="false" ht="15" hidden="false" customHeight="false" outlineLevel="0" collapsed="false">
      <c r="A31" s="20" t="s">
        <v>73</v>
      </c>
      <c r="B31" s="20" t="s">
        <v>7</v>
      </c>
      <c r="C31" s="20" t="str">
        <f aca="false">'Расчет Кплотн'!C31</f>
        <v>Есильский район</v>
      </c>
      <c r="D31" s="20" t="str">
        <f aca="false">'Расчет Кплотн'!D31</f>
        <v>район</v>
      </c>
      <c r="E31" s="21" t="n">
        <f aca="false">SUMIFS('РПН 01.08 по МО'!$D:$D,'РПН 01.08 по МО'!$E:$E,A31)</f>
        <v>19774</v>
      </c>
      <c r="F31" s="22" t="n">
        <f aca="false">'Расчет Кплотн'!K31</f>
        <v>1.7914</v>
      </c>
      <c r="G31" s="22" t="n">
        <f aca="false">'Расчет Кплотн'!J31</f>
        <v>2</v>
      </c>
      <c r="H31" s="23" t="n">
        <f aca="false">E31*$F$3*L31*F31/1000</f>
        <v>716753.304528144</v>
      </c>
      <c r="I31" s="23" t="n">
        <f aca="false">E31*$F$3*L31*G31/1000</f>
        <v>800215.81392</v>
      </c>
      <c r="J31" s="23" t="n">
        <f aca="false">I31-H31</f>
        <v>83462.509391856</v>
      </c>
      <c r="K31" s="24" t="n">
        <f aca="false">IFERROR(J31/H31,0)</f>
        <v>0.116445238361058</v>
      </c>
      <c r="L31" s="25" t="n">
        <f aca="false">IF(D31="район",IFERROR(VLOOKUP(B31,'БКПН (приказ 170)'!$A$4:$C$10,3,FALSE()),$F$2),$F$2)</f>
        <v>1686.17</v>
      </c>
    </row>
    <row r="32" customFormat="false" ht="15" hidden="false" customHeight="false" outlineLevel="0" collapsed="false">
      <c r="A32" s="20" t="s">
        <v>74</v>
      </c>
      <c r="B32" s="20" t="s">
        <v>7</v>
      </c>
      <c r="C32" s="20" t="str">
        <f aca="false">'Расчет Кплотн'!C32</f>
        <v>Жаксынский район</v>
      </c>
      <c r="D32" s="20" t="str">
        <f aca="false">'Расчет Кплотн'!D32</f>
        <v>район</v>
      </c>
      <c r="E32" s="21" t="n">
        <f aca="false">SUMIFS('РПН 01.08 по МО'!$D:$D,'РПН 01.08 по МО'!$E:$E,A32)</f>
        <v>14211</v>
      </c>
      <c r="F32" s="22" t="n">
        <f aca="false">'Расчет Кплотн'!K32</f>
        <v>2</v>
      </c>
      <c r="G32" s="22" t="n">
        <f aca="false">'Расчет Кплотн'!J32</f>
        <v>2</v>
      </c>
      <c r="H32" s="23" t="n">
        <f aca="false">E32*$F$3*L32*F32/1000</f>
        <v>575091.88488</v>
      </c>
      <c r="I32" s="23" t="n">
        <f aca="false">E32*$F$3*L32*G32/1000</f>
        <v>575091.88488</v>
      </c>
      <c r="J32" s="23" t="n">
        <f aca="false">I32-H32</f>
        <v>0</v>
      </c>
      <c r="K32" s="24" t="n">
        <f aca="false">IFERROR(J32/H32,0)</f>
        <v>0</v>
      </c>
      <c r="L32" s="25" t="n">
        <f aca="false">IF(D32="район",IFERROR(VLOOKUP(B32,'БКПН (приказ 170)'!$A$4:$C$10,3,FALSE()),$F$2),$F$2)</f>
        <v>1686.17</v>
      </c>
    </row>
    <row r="33" customFormat="false" ht="15" hidden="false" customHeight="false" outlineLevel="0" collapsed="false">
      <c r="A33" s="20" t="s">
        <v>75</v>
      </c>
      <c r="B33" s="20" t="s">
        <v>7</v>
      </c>
      <c r="C33" s="20" t="str">
        <f aca="false">'Расчет Кплотн'!C33</f>
        <v>Жаркаинский район</v>
      </c>
      <c r="D33" s="20" t="str">
        <f aca="false">'Расчет Кплотн'!D33</f>
        <v>район</v>
      </c>
      <c r="E33" s="21" t="n">
        <f aca="false">SUMIFS('РПН 01.08 по МО'!$D:$D,'РПН 01.08 по МО'!$E:$E,A33)</f>
        <v>11762</v>
      </c>
      <c r="F33" s="22" t="n">
        <f aca="false">'Расчет Кплотн'!K33</f>
        <v>2</v>
      </c>
      <c r="G33" s="22" t="n">
        <f aca="false">'Расчет Кплотн'!J33</f>
        <v>2</v>
      </c>
      <c r="H33" s="23" t="n">
        <f aca="false">E33*$F$3*L33*F33/1000</f>
        <v>475985.55696</v>
      </c>
      <c r="I33" s="23" t="n">
        <f aca="false">E33*$F$3*L33*G33/1000</f>
        <v>475985.55696</v>
      </c>
      <c r="J33" s="23" t="n">
        <f aca="false">I33-H33</f>
        <v>0</v>
      </c>
      <c r="K33" s="24" t="n">
        <f aca="false">IFERROR(J33/H33,0)</f>
        <v>0</v>
      </c>
      <c r="L33" s="25" t="n">
        <f aca="false">IF(D33="район",IFERROR(VLOOKUP(B33,'БКПН (приказ 170)'!$A$4:$C$10,3,FALSE()),$F$2),$F$2)</f>
        <v>1686.17</v>
      </c>
    </row>
    <row r="34" customFormat="false" ht="15" hidden="false" customHeight="false" outlineLevel="0" collapsed="false">
      <c r="A34" s="20" t="s">
        <v>76</v>
      </c>
      <c r="B34" s="20" t="s">
        <v>7</v>
      </c>
      <c r="C34" s="20" t="str">
        <f aca="false">'Расчет Кплотн'!C34</f>
        <v>Зерендинский район</v>
      </c>
      <c r="D34" s="20" t="str">
        <f aca="false">'Расчет Кплотн'!D34</f>
        <v>район</v>
      </c>
      <c r="E34" s="21" t="n">
        <f aca="false">SUMIFS('РПН 01.08 по МО'!$D:$D,'РПН 01.08 по МО'!$E:$E,A34)</f>
        <v>19891</v>
      </c>
      <c r="F34" s="22" t="n">
        <f aca="false">'Расчет Кплотн'!K34</f>
        <v>1.4584</v>
      </c>
      <c r="G34" s="22" t="n">
        <f aca="false">'Расчет Кплотн'!J34</f>
        <v>2</v>
      </c>
      <c r="H34" s="23" t="n">
        <f aca="false">E34*$F$3*L34*F34/1000</f>
        <v>586969.962410976</v>
      </c>
      <c r="I34" s="23" t="n">
        <f aca="false">E34*$F$3*L34*G34/1000</f>
        <v>804950.57928</v>
      </c>
      <c r="J34" s="23" t="n">
        <f aca="false">I34-H34</f>
        <v>217980.616869024</v>
      </c>
      <c r="K34" s="24" t="n">
        <f aca="false">IFERROR(J34/H34,0)</f>
        <v>0.371365880416895</v>
      </c>
      <c r="L34" s="25" t="n">
        <f aca="false">IF(D34="район",IFERROR(VLOOKUP(B34,'БКПН (приказ 170)'!$A$4:$C$10,3,FALSE()),$F$2),$F$2)</f>
        <v>1686.17</v>
      </c>
    </row>
    <row r="35" customFormat="false" ht="15" hidden="false" customHeight="false" outlineLevel="0" collapsed="false">
      <c r="A35" s="20" t="s">
        <v>77</v>
      </c>
      <c r="B35" s="20" t="s">
        <v>7</v>
      </c>
      <c r="C35" s="20" t="str">
        <f aca="false">'Расчет Кплотн'!C35</f>
        <v>Коргалжынский район</v>
      </c>
      <c r="D35" s="20" t="str">
        <f aca="false">'Расчет Кплотн'!D35</f>
        <v>район</v>
      </c>
      <c r="E35" s="21" t="n">
        <f aca="false">SUMIFS('РПН 01.08 по МО'!$D:$D,'РПН 01.08 по МО'!$E:$E,A35)</f>
        <v>6862</v>
      </c>
      <c r="F35" s="22" t="n">
        <f aca="false">'Расчет Кплотн'!K35</f>
        <v>2</v>
      </c>
      <c r="G35" s="22" t="n">
        <f aca="false">'Расчет Кплотн'!J35</f>
        <v>2</v>
      </c>
      <c r="H35" s="23" t="n">
        <f aca="false">E35*$F$3*L35*F35/1000</f>
        <v>277691.96496</v>
      </c>
      <c r="I35" s="23" t="n">
        <f aca="false">E35*$F$3*L35*G35/1000</f>
        <v>277691.96496</v>
      </c>
      <c r="J35" s="23" t="n">
        <f aca="false">I35-H35</f>
        <v>0</v>
      </c>
      <c r="K35" s="24" t="n">
        <f aca="false">IFERROR(J35/H35,0)</f>
        <v>0</v>
      </c>
      <c r="L35" s="25" t="n">
        <f aca="false">IF(D35="район",IFERROR(VLOOKUP(B35,'БКПН (приказ 170)'!$A$4:$C$10,3,FALSE()),$F$2),$F$2)</f>
        <v>1686.17</v>
      </c>
    </row>
    <row r="36" customFormat="false" ht="15" hidden="false" customHeight="false" outlineLevel="0" collapsed="false">
      <c r="A36" s="20" t="s">
        <v>78</v>
      </c>
      <c r="B36" s="20" t="s">
        <v>7</v>
      </c>
      <c r="C36" s="20" t="str">
        <f aca="false">'Расчет Кплотн'!C36</f>
        <v>Сандыктауский район</v>
      </c>
      <c r="D36" s="20" t="str">
        <f aca="false">'Расчет Кплотн'!D36</f>
        <v>район</v>
      </c>
      <c r="E36" s="21" t="n">
        <f aca="false">SUMIFS('РПН 01.08 по МО'!$D:$D,'РПН 01.08 по МО'!$E:$E,A36)</f>
        <v>17929</v>
      </c>
      <c r="F36" s="22" t="n">
        <f aca="false">'Расчет Кплотн'!K36</f>
        <v>1.7761</v>
      </c>
      <c r="G36" s="22" t="n">
        <f aca="false">'Расчет Кплотн'!J36</f>
        <v>2</v>
      </c>
      <c r="H36" s="23" t="n">
        <f aca="false">E36*$F$3*L36*F36/1000</f>
        <v>644326.636822476</v>
      </c>
      <c r="I36" s="23" t="n">
        <f aca="false">E36*$F$3*L36*G36/1000</f>
        <v>725552.20632</v>
      </c>
      <c r="J36" s="23" t="n">
        <f aca="false">I36-H36</f>
        <v>81225.569497524</v>
      </c>
      <c r="K36" s="24" t="n">
        <f aca="false">IFERROR(J36/H36,0)</f>
        <v>0.126062721693598</v>
      </c>
      <c r="L36" s="25" t="n">
        <f aca="false">IF(D36="район",IFERROR(VLOOKUP(B36,'БКПН (приказ 170)'!$A$4:$C$10,3,FALSE()),$F$2),$F$2)</f>
        <v>1686.17</v>
      </c>
    </row>
    <row r="37" customFormat="false" ht="15" hidden="false" customHeight="false" outlineLevel="0" collapsed="false">
      <c r="A37" s="20" t="s">
        <v>79</v>
      </c>
      <c r="B37" s="20" t="s">
        <v>7</v>
      </c>
      <c r="C37" s="20" t="str">
        <f aca="false">'Расчет Кплотн'!C37</f>
        <v>Целиноградский район</v>
      </c>
      <c r="D37" s="20" t="str">
        <f aca="false">'Расчет Кплотн'!D37</f>
        <v>район</v>
      </c>
      <c r="E37" s="21" t="n">
        <f aca="false">SUMIFS('РПН 01.08 по МО'!$D:$D,'РПН 01.08 по МО'!$E:$E,A37)</f>
        <v>67224</v>
      </c>
      <c r="F37" s="22" t="n">
        <f aca="false">'Расчет Кплотн'!K37</f>
        <v>1.1961</v>
      </c>
      <c r="G37" s="22" t="n">
        <f aca="false">'Расчет Кплотн'!J37</f>
        <v>1.5876</v>
      </c>
      <c r="H37" s="23" t="n">
        <f aca="false">E37*$F$3*L37*F37/1000</f>
        <v>1626950.89484266</v>
      </c>
      <c r="I37" s="23" t="n">
        <f aca="false">E37*$F$3*L37*G37/1000</f>
        <v>2159474.3254345</v>
      </c>
      <c r="J37" s="23" t="n">
        <f aca="false">I37-H37</f>
        <v>532523.43059184</v>
      </c>
      <c r="K37" s="24" t="n">
        <f aca="false">IFERROR(J37/H37,0)</f>
        <v>0.327313769751693</v>
      </c>
      <c r="L37" s="25" t="n">
        <f aca="false">IF(D37="район",IFERROR(VLOOKUP(B37,'БКПН (приказ 170)'!$A$4:$C$10,3,FALSE()),$F$2),$F$2)</f>
        <v>1686.17</v>
      </c>
    </row>
    <row r="38" customFormat="false" ht="15" hidden="false" customHeight="false" outlineLevel="0" collapsed="false">
      <c r="A38" s="20" t="s">
        <v>80</v>
      </c>
      <c r="B38" s="20" t="s">
        <v>7</v>
      </c>
      <c r="C38" s="20" t="str">
        <f aca="false">'Расчет Кплотн'!C38</f>
        <v>Шортандинский район</v>
      </c>
      <c r="D38" s="20" t="str">
        <f aca="false">'Расчет Кплотн'!D38</f>
        <v>район</v>
      </c>
      <c r="E38" s="21" t="n">
        <f aca="false">SUMIFS('РПН 01.08 по МО'!$D:$D,'РПН 01.08 по МО'!$E:$E,A38)</f>
        <v>26115</v>
      </c>
      <c r="F38" s="22" t="n">
        <f aca="false">'Расчет Кплотн'!K38</f>
        <v>1.3518</v>
      </c>
      <c r="G38" s="22" t="n">
        <f aca="false">'Расчет Кплотн'!J38</f>
        <v>1.9078</v>
      </c>
      <c r="H38" s="23" t="n">
        <f aca="false">E38*$F$3*L38*F38/1000</f>
        <v>714307.28022828</v>
      </c>
      <c r="I38" s="23" t="n">
        <f aca="false">E38*$F$3*L38*G38/1000</f>
        <v>1008104.32698588</v>
      </c>
      <c r="J38" s="23" t="n">
        <f aca="false">I38-H38</f>
        <v>293797.0467576</v>
      </c>
      <c r="K38" s="24" t="n">
        <f aca="false">IFERROR(J38/H38,0)</f>
        <v>0.411303447255511</v>
      </c>
      <c r="L38" s="25" t="n">
        <f aca="false">IF(D38="район",IFERROR(VLOOKUP(B38,'БКПН (приказ 170)'!$A$4:$C$10,3,FALSE()),$F$2),$F$2)</f>
        <v>1686.17</v>
      </c>
    </row>
    <row r="39" customFormat="false" ht="15" hidden="false" customHeight="false" outlineLevel="0" collapsed="false">
      <c r="A39" s="20" t="s">
        <v>81</v>
      </c>
      <c r="B39" s="20" t="s">
        <v>7</v>
      </c>
      <c r="C39" s="20" t="str">
        <f aca="false">'Расчет Кплотн'!C39</f>
        <v>Бурабайский район</v>
      </c>
      <c r="D39" s="20" t="str">
        <f aca="false">'Расчет Кплотн'!D39</f>
        <v>район</v>
      </c>
      <c r="E39" s="21" t="n">
        <f aca="false">SUMIFS('РПН 01.08 по МО'!$D:$D,'РПН 01.08 по МО'!$E:$E,A39)</f>
        <v>68779</v>
      </c>
      <c r="F39" s="22" t="n">
        <f aca="false">'Расчет Кплотн'!K39</f>
        <v>1.1703</v>
      </c>
      <c r="G39" s="22" t="n">
        <f aca="false">'Расчет Кплотн'!J39</f>
        <v>1.4336</v>
      </c>
      <c r="H39" s="23" t="n">
        <f aca="false">E39*$F$3*L39*F39/1000</f>
        <v>1628679.63658835</v>
      </c>
      <c r="I39" s="23" t="n">
        <f aca="false">E39*$F$3*L39*G39/1000</f>
        <v>1995108.20047258</v>
      </c>
      <c r="J39" s="23" t="n">
        <f aca="false">I39-H39</f>
        <v>366428.563884228</v>
      </c>
      <c r="K39" s="24" t="n">
        <f aca="false">IFERROR(J39/H39,0)</f>
        <v>0.224985046569256</v>
      </c>
      <c r="L39" s="25" t="n">
        <f aca="false">IF(D39="район",IFERROR(VLOOKUP(B39,'БКПН (приказ 170)'!$A$4:$C$10,3,FALSE()),$F$2),$F$2)</f>
        <v>1686.17</v>
      </c>
    </row>
    <row r="40" customFormat="false" ht="15" hidden="false" customHeight="false" outlineLevel="0" collapsed="false">
      <c r="A40" s="20" t="s">
        <v>82</v>
      </c>
      <c r="B40" s="20" t="s">
        <v>8</v>
      </c>
      <c r="C40" s="20" t="str">
        <f aca="false">'Расчет Кплотн'!C40</f>
        <v>Актобе</v>
      </c>
      <c r="D40" s="20" t="str">
        <f aca="false">'Расчет Кплотн'!D40</f>
        <v>областной центр</v>
      </c>
      <c r="E40" s="21" t="n">
        <f aca="false">SUMIFS('РПН 01.08 по МО'!$D:$D,'РПН 01.08 по МО'!$E:$E,A40)</f>
        <v>605738</v>
      </c>
      <c r="F40" s="22" t="n">
        <f aca="false">'Расчет Кплотн'!K40</f>
        <v>1</v>
      </c>
      <c r="G40" s="22" t="n">
        <f aca="false">'Расчет Кплотн'!J40</f>
        <v>1</v>
      </c>
      <c r="H40" s="23" t="n">
        <f aca="false">E40*$F$3*L40*F40/1000</f>
        <v>12256526.92152</v>
      </c>
      <c r="I40" s="23" t="n">
        <f aca="false">E40*$F$3*L40*G40/1000</f>
        <v>12256526.92152</v>
      </c>
      <c r="J40" s="23" t="n">
        <f aca="false">I40-H40</f>
        <v>0</v>
      </c>
      <c r="K40" s="24" t="n">
        <f aca="false">IFERROR(J40/H40,0)</f>
        <v>0</v>
      </c>
      <c r="L40" s="25" t="n">
        <f aca="false">IF(D40="район",IFERROR(VLOOKUP(B40,'БКПН (приказ 170)'!$A$4:$C$10,3,FALSE()),$F$2),$F$2)</f>
        <v>1686.17</v>
      </c>
    </row>
    <row r="41" customFormat="false" ht="15" hidden="false" customHeight="false" outlineLevel="0" collapsed="false">
      <c r="A41" s="20" t="s">
        <v>83</v>
      </c>
      <c r="B41" s="20" t="s">
        <v>8</v>
      </c>
      <c r="C41" s="20" t="str">
        <f aca="false">'Расчет Кплотн'!C41</f>
        <v>Алгинский район</v>
      </c>
      <c r="D41" s="20" t="str">
        <f aca="false">'Расчет Кплотн'!D41</f>
        <v>район</v>
      </c>
      <c r="E41" s="21" t="n">
        <f aca="false">SUMIFS('РПН 01.08 по МО'!$D:$D,'РПН 01.08 по МО'!$E:$E,A41)</f>
        <v>39247</v>
      </c>
      <c r="F41" s="22" t="n">
        <f aca="false">'Расчет Кплотн'!K41</f>
        <v>1.3553</v>
      </c>
      <c r="G41" s="22" t="n">
        <f aca="false">'Расчет Кплотн'!J41</f>
        <v>1.9856</v>
      </c>
      <c r="H41" s="23" t="n">
        <f aca="false">E41*$F$3*L41*F41/1000</f>
        <v>1076278.11108776</v>
      </c>
      <c r="I41" s="23" t="n">
        <f aca="false">E41*$F$3*L41*G41/1000</f>
        <v>1576815.33046253</v>
      </c>
      <c r="J41" s="23" t="n">
        <f aca="false">I41-H41</f>
        <v>500537.219374764</v>
      </c>
      <c r="K41" s="24" t="n">
        <f aca="false">IFERROR(J41/H41,0)</f>
        <v>0.465063085663691</v>
      </c>
      <c r="L41" s="25" t="n">
        <f aca="false">IF(D41="район",IFERROR(VLOOKUP(B41,'БКПН (приказ 170)'!$A$4:$C$10,3,FALSE()),$F$2),$F$2)</f>
        <v>1686.17</v>
      </c>
    </row>
    <row r="42" customFormat="false" ht="15" hidden="false" customHeight="false" outlineLevel="0" collapsed="false">
      <c r="A42" s="20" t="s">
        <v>84</v>
      </c>
      <c r="B42" s="20" t="s">
        <v>8</v>
      </c>
      <c r="C42" s="20" t="str">
        <f aca="false">'Расчет Кплотн'!C42</f>
        <v>Айтекебийский район</v>
      </c>
      <c r="D42" s="20" t="str">
        <f aca="false">'Расчет Кплотн'!D42</f>
        <v>район</v>
      </c>
      <c r="E42" s="21" t="n">
        <f aca="false">SUMIFS('РПН 01.08 по МО'!$D:$D,'РПН 01.08 по МО'!$E:$E,A42)</f>
        <v>18349</v>
      </c>
      <c r="F42" s="22" t="n">
        <f aca="false">'Расчет Кплотн'!K42</f>
        <v>2</v>
      </c>
      <c r="G42" s="22" t="n">
        <f aca="false">'Расчет Кплотн'!J42</f>
        <v>2</v>
      </c>
      <c r="H42" s="23" t="n">
        <f aca="false">E42*$F$3*L42*F42/1000</f>
        <v>742548.79992</v>
      </c>
      <c r="I42" s="23" t="n">
        <f aca="false">E42*$F$3*L42*G42/1000</f>
        <v>742548.79992</v>
      </c>
      <c r="J42" s="23" t="n">
        <f aca="false">I42-H42</f>
        <v>0</v>
      </c>
      <c r="K42" s="24" t="n">
        <f aca="false">IFERROR(J42/H42,0)</f>
        <v>0</v>
      </c>
      <c r="L42" s="25" t="n">
        <f aca="false">IF(D42="район",IFERROR(VLOOKUP(B42,'БКПН (приказ 170)'!$A$4:$C$10,3,FALSE()),$F$2),$F$2)</f>
        <v>1686.17</v>
      </c>
    </row>
    <row r="43" customFormat="false" ht="15" hidden="false" customHeight="false" outlineLevel="0" collapsed="false">
      <c r="A43" s="20" t="s">
        <v>85</v>
      </c>
      <c r="B43" s="20" t="s">
        <v>8</v>
      </c>
      <c r="C43" s="20" t="str">
        <f aca="false">'Расчет Кплотн'!C43</f>
        <v>Байганинский район</v>
      </c>
      <c r="D43" s="20" t="str">
        <f aca="false">'Расчет Кплотн'!D43</f>
        <v>район</v>
      </c>
      <c r="E43" s="21" t="n">
        <f aca="false">SUMIFS('РПН 01.08 по МО'!$D:$D,'РПН 01.08 по МО'!$E:$E,A43)</f>
        <v>20112</v>
      </c>
      <c r="F43" s="22" t="n">
        <f aca="false">'Расчет Кплотн'!K43</f>
        <v>2</v>
      </c>
      <c r="G43" s="22" t="n">
        <f aca="false">'Расчет Кплотн'!J43</f>
        <v>2</v>
      </c>
      <c r="H43" s="23" t="n">
        <f aca="false">E43*$F$3*L43*F43/1000</f>
        <v>813894.02496</v>
      </c>
      <c r="I43" s="23" t="n">
        <f aca="false">E43*$F$3*L43*G43/1000</f>
        <v>813894.02496</v>
      </c>
      <c r="J43" s="23" t="n">
        <f aca="false">I43-H43</f>
        <v>0</v>
      </c>
      <c r="K43" s="24" t="n">
        <f aca="false">IFERROR(J43/H43,0)</f>
        <v>0</v>
      </c>
      <c r="L43" s="25" t="n">
        <f aca="false">IF(D43="район",IFERROR(VLOOKUP(B43,'БКПН (приказ 170)'!$A$4:$C$10,3,FALSE()),$F$2),$F$2)</f>
        <v>1686.17</v>
      </c>
    </row>
    <row r="44" customFormat="false" ht="15" hidden="false" customHeight="false" outlineLevel="0" collapsed="false">
      <c r="A44" s="20" t="s">
        <v>86</v>
      </c>
      <c r="B44" s="20" t="s">
        <v>8</v>
      </c>
      <c r="C44" s="20" t="str">
        <f aca="false">'Расчет Кплотн'!C44</f>
        <v>Каргалинский район</v>
      </c>
      <c r="D44" s="20" t="str">
        <f aca="false">'Расчет Кплотн'!D44</f>
        <v>район</v>
      </c>
      <c r="E44" s="21" t="n">
        <f aca="false">SUMIFS('РПН 01.08 по МО'!$D:$D,'РПН 01.08 по МО'!$E:$E,A44)</f>
        <v>14282</v>
      </c>
      <c r="F44" s="22" t="n">
        <f aca="false">'Расчет Кплотн'!K44</f>
        <v>1.6673</v>
      </c>
      <c r="G44" s="22" t="n">
        <f aca="false">'Расчет Кплотн'!J44</f>
        <v>2</v>
      </c>
      <c r="H44" s="23" t="n">
        <f aca="false">E44*$F$3*L44*F44/1000</f>
        <v>481820.621087544</v>
      </c>
      <c r="I44" s="23" t="n">
        <f aca="false">E44*$F$3*L44*G44/1000</f>
        <v>577965.11856</v>
      </c>
      <c r="J44" s="23" t="n">
        <f aca="false">I44-H44</f>
        <v>96144.4974724561</v>
      </c>
      <c r="K44" s="24" t="n">
        <f aca="false">IFERROR(J44/H44,0)</f>
        <v>0.199544173214179</v>
      </c>
      <c r="L44" s="25" t="n">
        <f aca="false">IF(D44="район",IFERROR(VLOOKUP(B44,'БКПН (приказ 170)'!$A$4:$C$10,3,FALSE()),$F$2),$F$2)</f>
        <v>1686.17</v>
      </c>
    </row>
    <row r="45" customFormat="false" ht="15" hidden="false" customHeight="false" outlineLevel="0" collapsed="false">
      <c r="A45" s="20" t="s">
        <v>87</v>
      </c>
      <c r="B45" s="20" t="s">
        <v>8</v>
      </c>
      <c r="C45" s="20" t="str">
        <f aca="false">'Расчет Кплотн'!C45</f>
        <v>Хобдинский район</v>
      </c>
      <c r="D45" s="20" t="str">
        <f aca="false">'Расчет Кплотн'!D45</f>
        <v>район</v>
      </c>
      <c r="E45" s="21" t="n">
        <f aca="false">SUMIFS('РПН 01.08 по МО'!$D:$D,'РПН 01.08 по МО'!$E:$E,A45)</f>
        <v>14137</v>
      </c>
      <c r="F45" s="22" t="n">
        <f aca="false">'Расчет Кплотн'!K45</f>
        <v>2</v>
      </c>
      <c r="G45" s="22" t="n">
        <f aca="false">'Расчет Кплотн'!J45</f>
        <v>2</v>
      </c>
      <c r="H45" s="23" t="n">
        <f aca="false">E45*$F$3*L45*F45/1000</f>
        <v>572097.24696</v>
      </c>
      <c r="I45" s="23" t="n">
        <f aca="false">E45*$F$3*L45*G45/1000</f>
        <v>572097.24696</v>
      </c>
      <c r="J45" s="23" t="n">
        <f aca="false">I45-H45</f>
        <v>0</v>
      </c>
      <c r="K45" s="24" t="n">
        <f aca="false">IFERROR(J45/H45,0)</f>
        <v>0</v>
      </c>
      <c r="L45" s="25" t="n">
        <f aca="false">IF(D45="район",IFERROR(VLOOKUP(B45,'БКПН (приказ 170)'!$A$4:$C$10,3,FALSE()),$F$2),$F$2)</f>
        <v>1686.17</v>
      </c>
    </row>
    <row r="46" customFormat="false" ht="15" hidden="false" customHeight="false" outlineLevel="0" collapsed="false">
      <c r="A46" s="20" t="s">
        <v>88</v>
      </c>
      <c r="B46" s="20" t="s">
        <v>8</v>
      </c>
      <c r="C46" s="20" t="str">
        <f aca="false">'Расчет Кплотн'!C46</f>
        <v>Мартукский район</v>
      </c>
      <c r="D46" s="20" t="str">
        <f aca="false">'Расчет Кплотн'!D46</f>
        <v>район</v>
      </c>
      <c r="E46" s="21" t="n">
        <f aca="false">SUMIFS('РПН 01.08 по МО'!$D:$D,'РПН 01.08 по МО'!$E:$E,A46)</f>
        <v>27370</v>
      </c>
      <c r="F46" s="22" t="n">
        <f aca="false">'Расчет Кплотн'!K46</f>
        <v>1.4578</v>
      </c>
      <c r="G46" s="22" t="n">
        <f aca="false">'Расчет Кплотн'!J46</f>
        <v>2</v>
      </c>
      <c r="H46" s="23" t="n">
        <f aca="false">E46*$F$3*L46*F46/1000</f>
        <v>807337.91272344</v>
      </c>
      <c r="I46" s="23" t="n">
        <f aca="false">E46*$F$3*L46*G46/1000</f>
        <v>1107611.3496</v>
      </c>
      <c r="J46" s="23" t="n">
        <f aca="false">I46-H46</f>
        <v>300273.43687656</v>
      </c>
      <c r="K46" s="24" t="n">
        <f aca="false">IFERROR(J46/H46,0)</f>
        <v>0.371930305940458</v>
      </c>
      <c r="L46" s="25" t="n">
        <f aca="false">IF(D46="район",IFERROR(VLOOKUP(B46,'БКПН (приказ 170)'!$A$4:$C$10,3,FALSE()),$F$2),$F$2)</f>
        <v>1686.17</v>
      </c>
    </row>
    <row r="47" customFormat="false" ht="15" hidden="false" customHeight="false" outlineLevel="0" collapsed="false">
      <c r="A47" s="20" t="s">
        <v>89</v>
      </c>
      <c r="B47" s="20" t="s">
        <v>8</v>
      </c>
      <c r="C47" s="20" t="str">
        <f aca="false">'Расчет Кплотн'!C47</f>
        <v>Мугалжарский район</v>
      </c>
      <c r="D47" s="20" t="str">
        <f aca="false">'Расчет Кплотн'!D47</f>
        <v>район</v>
      </c>
      <c r="E47" s="21" t="n">
        <f aca="false">SUMIFS('РПН 01.08 по МО'!$D:$D,'РПН 01.08 по МО'!$E:$E,A47)</f>
        <v>58202</v>
      </c>
      <c r="F47" s="22" t="n">
        <f aca="false">'Расчет Кплотн'!K47</f>
        <v>1.8747</v>
      </c>
      <c r="G47" s="22" t="n">
        <f aca="false">'Расчет Кплотн'!J47</f>
        <v>2</v>
      </c>
      <c r="H47" s="23" t="n">
        <f aca="false">E47*$F$3*L47*F47/1000</f>
        <v>2207762.19417118</v>
      </c>
      <c r="I47" s="23" t="n">
        <f aca="false">E47*$F$3*L47*G47/1000</f>
        <v>2355323.19216</v>
      </c>
      <c r="J47" s="23" t="n">
        <f aca="false">I47-H47</f>
        <v>147560.997988824</v>
      </c>
      <c r="K47" s="24" t="n">
        <f aca="false">IFERROR(J47/H47,0)</f>
        <v>0.0668373606443697</v>
      </c>
      <c r="L47" s="25" t="n">
        <f aca="false">IF(D47="район",IFERROR(VLOOKUP(B47,'БКПН (приказ 170)'!$A$4:$C$10,3,FALSE()),$F$2),$F$2)</f>
        <v>1686.17</v>
      </c>
    </row>
    <row r="48" customFormat="false" ht="15" hidden="false" customHeight="false" outlineLevel="0" collapsed="false">
      <c r="A48" s="20" t="s">
        <v>90</v>
      </c>
      <c r="B48" s="20" t="s">
        <v>8</v>
      </c>
      <c r="C48" s="20" t="str">
        <f aca="false">'Расчет Кплотн'!C48</f>
        <v>Уилский район</v>
      </c>
      <c r="D48" s="20" t="str">
        <f aca="false">'Расчет Кплотн'!D48</f>
        <v>район</v>
      </c>
      <c r="E48" s="21" t="n">
        <f aca="false">SUMIFS('РПН 01.08 по МО'!$D:$D,'РПН 01.08 по МО'!$E:$E,A48)</f>
        <v>12885</v>
      </c>
      <c r="F48" s="22" t="n">
        <f aca="false">'Расчет Кплотн'!K48</f>
        <v>2</v>
      </c>
      <c r="G48" s="22" t="n">
        <f aca="false">'Расчет Кплотн'!J48</f>
        <v>2</v>
      </c>
      <c r="H48" s="23" t="n">
        <f aca="false">E48*$F$3*L48*F48/1000</f>
        <v>521431.2108</v>
      </c>
      <c r="I48" s="23" t="n">
        <f aca="false">E48*$F$3*L48*G48/1000</f>
        <v>521431.2108</v>
      </c>
      <c r="J48" s="23" t="n">
        <f aca="false">I48-H48</f>
        <v>0</v>
      </c>
      <c r="K48" s="24" t="n">
        <f aca="false">IFERROR(J48/H48,0)</f>
        <v>0</v>
      </c>
      <c r="L48" s="25" t="n">
        <f aca="false">IF(D48="район",IFERROR(VLOOKUP(B48,'БКПН (приказ 170)'!$A$4:$C$10,3,FALSE()),$F$2),$F$2)</f>
        <v>1686.17</v>
      </c>
    </row>
    <row r="49" customFormat="false" ht="15" hidden="false" customHeight="false" outlineLevel="0" collapsed="false">
      <c r="A49" s="20" t="s">
        <v>91</v>
      </c>
      <c r="B49" s="20" t="s">
        <v>8</v>
      </c>
      <c r="C49" s="20" t="str">
        <f aca="false">'Расчет Кплотн'!C49</f>
        <v>Темирский район</v>
      </c>
      <c r="D49" s="20" t="str">
        <f aca="false">'Расчет Кплотн'!D49</f>
        <v>район</v>
      </c>
      <c r="E49" s="21" t="n">
        <f aca="false">SUMIFS('РПН 01.08 по МО'!$D:$D,'РПН 01.08 по МО'!$E:$E,A49)</f>
        <v>31131</v>
      </c>
      <c r="F49" s="22" t="n">
        <f aca="false">'Расчет Кплотн'!K49</f>
        <v>1.7225</v>
      </c>
      <c r="G49" s="22" t="n">
        <f aca="false">'Расчет Кплотн'!J49</f>
        <v>2</v>
      </c>
      <c r="H49" s="23" t="n">
        <f aca="false">E49*$F$3*L49*F49/1000</f>
        <v>1085012.9114409</v>
      </c>
      <c r="I49" s="23" t="n">
        <f aca="false">E49*$F$3*L49*G49/1000</f>
        <v>1259811.79848</v>
      </c>
      <c r="J49" s="23" t="n">
        <f aca="false">I49-H49</f>
        <v>174798.8870391</v>
      </c>
      <c r="K49" s="24" t="n">
        <f aca="false">IFERROR(J49/H49,0)</f>
        <v>0.161103047895501</v>
      </c>
      <c r="L49" s="25" t="n">
        <f aca="false">IF(D49="район",IFERROR(VLOOKUP(B49,'БКПН (приказ 170)'!$A$4:$C$10,3,FALSE()),$F$2),$F$2)</f>
        <v>1686.17</v>
      </c>
    </row>
    <row r="50" customFormat="false" ht="15" hidden="false" customHeight="false" outlineLevel="0" collapsed="false">
      <c r="A50" s="20" t="s">
        <v>92</v>
      </c>
      <c r="B50" s="20" t="s">
        <v>8</v>
      </c>
      <c r="C50" s="20" t="str">
        <f aca="false">'Расчет Кплотн'!C50</f>
        <v>Хромтауский район</v>
      </c>
      <c r="D50" s="20" t="str">
        <f aca="false">'Расчет Кплотн'!D50</f>
        <v>район</v>
      </c>
      <c r="E50" s="21" t="n">
        <f aca="false">SUMIFS('РПН 01.08 по МО'!$D:$D,'РПН 01.08 по МО'!$E:$E,A50)</f>
        <v>45104</v>
      </c>
      <c r="F50" s="22" t="n">
        <f aca="false">'Расчет Кплотн'!K50</f>
        <v>1.5724</v>
      </c>
      <c r="G50" s="22" t="n">
        <f aca="false">'Расчет Кплотн'!J50</f>
        <v>2</v>
      </c>
      <c r="H50" s="23" t="n">
        <f aca="false">E50*$F$3*L50*F50/1000</f>
        <v>1435029.06678758</v>
      </c>
      <c r="I50" s="23" t="n">
        <f aca="false">E50*$F$3*L50*G50/1000</f>
        <v>1825272.28032</v>
      </c>
      <c r="J50" s="23" t="n">
        <f aca="false">I50-H50</f>
        <v>390243.213532416</v>
      </c>
      <c r="K50" s="24" t="n">
        <f aca="false">IFERROR(J50/H50,0)</f>
        <v>0.271940981938438</v>
      </c>
      <c r="L50" s="25" t="n">
        <f aca="false">IF(D50="район",IFERROR(VLOOKUP(B50,'БКПН (приказ 170)'!$A$4:$C$10,3,FALSE()),$F$2),$F$2)</f>
        <v>1686.17</v>
      </c>
    </row>
    <row r="51" customFormat="false" ht="15" hidden="false" customHeight="false" outlineLevel="0" collapsed="false">
      <c r="A51" s="20" t="s">
        <v>93</v>
      </c>
      <c r="B51" s="20" t="s">
        <v>8</v>
      </c>
      <c r="C51" s="20" t="str">
        <f aca="false">'Расчет Кплотн'!C51</f>
        <v>Шалкарский район</v>
      </c>
      <c r="D51" s="20" t="str">
        <f aca="false">'Расчет Кплотн'!D51</f>
        <v>район</v>
      </c>
      <c r="E51" s="21" t="n">
        <f aca="false">SUMIFS('РПН 01.08 по МО'!$D:$D,'РПН 01.08 по МО'!$E:$E,A51)</f>
        <v>38416</v>
      </c>
      <c r="F51" s="22" t="n">
        <f aca="false">'Расчет Кплотн'!K51</f>
        <v>2</v>
      </c>
      <c r="G51" s="22" t="n">
        <f aca="false">'Расчет Кплотн'!J51</f>
        <v>2</v>
      </c>
      <c r="H51" s="23" t="n">
        <f aca="false">E51*$F$3*L51*F51/1000</f>
        <v>1554621.76128</v>
      </c>
      <c r="I51" s="23" t="n">
        <f aca="false">E51*$F$3*L51*G51/1000</f>
        <v>1554621.76128</v>
      </c>
      <c r="J51" s="23" t="n">
        <f aca="false">I51-H51</f>
        <v>0</v>
      </c>
      <c r="K51" s="24" t="n">
        <f aca="false">IFERROR(J51/H51,0)</f>
        <v>0</v>
      </c>
      <c r="L51" s="25" t="n">
        <f aca="false">IF(D51="район",IFERROR(VLOOKUP(B51,'БКПН (приказ 170)'!$A$4:$C$10,3,FALSE()),$F$2),$F$2)</f>
        <v>1686.17</v>
      </c>
    </row>
    <row r="52" customFormat="false" ht="15" hidden="false" customHeight="false" outlineLevel="0" collapsed="false">
      <c r="A52" s="20" t="s">
        <v>94</v>
      </c>
      <c r="B52" s="20" t="s">
        <v>8</v>
      </c>
      <c r="C52" s="20" t="str">
        <f aca="false">'Расчет Кплотн'!C52</f>
        <v>Иргизский район</v>
      </c>
      <c r="D52" s="20" t="str">
        <f aca="false">'Расчет Кплотн'!D52</f>
        <v>район</v>
      </c>
      <c r="E52" s="21" t="n">
        <f aca="false">SUMIFS('РПН 01.08 по МО'!$D:$D,'РПН 01.08 по МО'!$E:$E,A52)</f>
        <v>12275</v>
      </c>
      <c r="F52" s="22" t="n">
        <f aca="false">'Расчет Кплотн'!K52</f>
        <v>2</v>
      </c>
      <c r="G52" s="22" t="n">
        <f aca="false">'Расчет Кплотн'!J52</f>
        <v>2</v>
      </c>
      <c r="H52" s="23" t="n">
        <f aca="false">E52*$F$3*L52*F52/1000</f>
        <v>496745.682</v>
      </c>
      <c r="I52" s="23" t="n">
        <f aca="false">E52*$F$3*L52*G52/1000</f>
        <v>496745.682</v>
      </c>
      <c r="J52" s="23" t="n">
        <f aca="false">I52-H52</f>
        <v>0</v>
      </c>
      <c r="K52" s="24" t="n">
        <f aca="false">IFERROR(J52/H52,0)</f>
        <v>0</v>
      </c>
      <c r="L52" s="25" t="n">
        <f aca="false">IF(D52="район",IFERROR(VLOOKUP(B52,'БКПН (приказ 170)'!$A$4:$C$10,3,FALSE()),$F$2),$F$2)</f>
        <v>1686.17</v>
      </c>
    </row>
    <row r="53" customFormat="false" ht="15" hidden="false" customHeight="false" outlineLevel="0" collapsed="false">
      <c r="A53" s="20" t="s">
        <v>95</v>
      </c>
      <c r="B53" s="20" t="s">
        <v>9</v>
      </c>
      <c r="C53" s="20" t="str">
        <f aca="false">'Расчет Кплотн'!C53</f>
        <v>Қонаев</v>
      </c>
      <c r="D53" s="20" t="str">
        <f aca="false">'Расчет Кплотн'!D53</f>
        <v>областной центр</v>
      </c>
      <c r="E53" s="21" t="n">
        <f aca="false">SUMIFS('РПН 01.08 по МО'!$D:$D,'РПН 01.08 по МО'!$E:$E,A53)</f>
        <v>88891</v>
      </c>
      <c r="F53" s="22" t="n">
        <f aca="false">'Расчет Кплотн'!K53</f>
        <v>1</v>
      </c>
      <c r="G53" s="22" t="n">
        <f aca="false">'Расчет Кплотн'!J53</f>
        <v>1</v>
      </c>
      <c r="H53" s="23" t="n">
        <f aca="false">E53*$F$3*L53*F53/1000</f>
        <v>1798624.04964</v>
      </c>
      <c r="I53" s="23" t="n">
        <f aca="false">E53*$F$3*L53*G53/1000</f>
        <v>1798624.04964</v>
      </c>
      <c r="J53" s="23" t="n">
        <f aca="false">I53-H53</f>
        <v>0</v>
      </c>
      <c r="K53" s="24" t="n">
        <f aca="false">IFERROR(J53/H53,0)</f>
        <v>0</v>
      </c>
      <c r="L53" s="25" t="n">
        <f aca="false">IF(D53="район",IFERROR(VLOOKUP(B53,'БКПН (приказ 170)'!$A$4:$C$10,3,FALSE()),$F$2),$F$2)</f>
        <v>1686.17</v>
      </c>
    </row>
    <row r="54" customFormat="false" ht="15" hidden="false" customHeight="false" outlineLevel="0" collapsed="false">
      <c r="A54" s="20" t="s">
        <v>96</v>
      </c>
      <c r="B54" s="20" t="s">
        <v>9</v>
      </c>
      <c r="C54" s="20" t="str">
        <f aca="false">'Расчет Кплотн'!C54</f>
        <v>Алатау</v>
      </c>
      <c r="D54" s="20" t="str">
        <f aca="false">'Расчет Кплотн'!D54</f>
        <v>малый город</v>
      </c>
      <c r="E54" s="21" t="n">
        <f aca="false">SUMIFS('РПН 01.08 по МО'!$D:$D,'РПН 01.08 по МО'!$E:$E,A54)</f>
        <v>7903</v>
      </c>
      <c r="F54" s="22" t="n">
        <f aca="false">'Расчет Кплотн'!K54</f>
        <v>1.0598</v>
      </c>
      <c r="G54" s="22" t="n">
        <f aca="false">'Расчет Кплотн'!J54</f>
        <v>1.5</v>
      </c>
      <c r="H54" s="23" t="n">
        <f aca="false">E54*$F$3*L54*F54/1000</f>
        <v>169472.213283576</v>
      </c>
      <c r="I54" s="23" t="n">
        <f aca="false">E54*$F$3*L54*G54/1000</f>
        <v>239864.42718</v>
      </c>
      <c r="J54" s="23" t="n">
        <f aca="false">I54-H54</f>
        <v>70392.213896424</v>
      </c>
      <c r="K54" s="24" t="n">
        <f aca="false">IFERROR(J54/H54,0)</f>
        <v>0.41536138894131</v>
      </c>
      <c r="L54" s="25" t="n">
        <f aca="false">IF(D54="район",IFERROR(VLOOKUP(B54,'БКПН (приказ 170)'!$A$4:$C$10,3,FALSE()),$F$2),$F$2)</f>
        <v>1686.17</v>
      </c>
    </row>
    <row r="55" customFormat="false" ht="15" hidden="false" customHeight="false" outlineLevel="0" collapsed="false">
      <c r="A55" s="20" t="s">
        <v>97</v>
      </c>
      <c r="B55" s="20" t="s">
        <v>9</v>
      </c>
      <c r="C55" s="20" t="str">
        <f aca="false">'Расчет Кплотн'!C55</f>
        <v>Балхашский район</v>
      </c>
      <c r="D55" s="20" t="str">
        <f aca="false">'Расчет Кплотн'!D55</f>
        <v>район</v>
      </c>
      <c r="E55" s="21" t="n">
        <f aca="false">SUMIFS('РПН 01.08 по МО'!$D:$D,'РПН 01.08 по МО'!$E:$E,A55)</f>
        <v>23512</v>
      </c>
      <c r="F55" s="22" t="n">
        <f aca="false">'Расчет Кплотн'!K55</f>
        <v>2</v>
      </c>
      <c r="G55" s="22" t="n">
        <f aca="false">'Расчет Кплотн'!J55</f>
        <v>2</v>
      </c>
      <c r="H55" s="23" t="n">
        <f aca="false">E55*$F$3*L55*F55/1000</f>
        <v>951485.49696</v>
      </c>
      <c r="I55" s="23" t="n">
        <f aca="false">E55*$F$3*L55*G55/1000</f>
        <v>951485.49696</v>
      </c>
      <c r="J55" s="23" t="n">
        <f aca="false">I55-H55</f>
        <v>0</v>
      </c>
      <c r="K55" s="24" t="n">
        <f aca="false">IFERROR(J55/H55,0)</f>
        <v>0</v>
      </c>
      <c r="L55" s="25" t="n">
        <f aca="false">IF(D55="район",IFERROR(VLOOKUP(B55,'БКПН (приказ 170)'!$A$4:$C$10,3,FALSE()),$F$2),$F$2)</f>
        <v>1686.17</v>
      </c>
    </row>
    <row r="56" customFormat="false" ht="15" hidden="false" customHeight="false" outlineLevel="0" collapsed="false">
      <c r="A56" s="20" t="s">
        <v>98</v>
      </c>
      <c r="B56" s="20" t="s">
        <v>9</v>
      </c>
      <c r="C56" s="20" t="str">
        <f aca="false">'Расчет Кплотн'!C56</f>
        <v>Енбекшиказахский район</v>
      </c>
      <c r="D56" s="20" t="str">
        <f aca="false">'Расчет Кплотн'!D56</f>
        <v>район</v>
      </c>
      <c r="E56" s="21" t="n">
        <f aca="false">SUMIFS('РПН 01.08 по МО'!$D:$D,'РПН 01.08 по МО'!$E:$E,A56)</f>
        <v>286932</v>
      </c>
      <c r="F56" s="22" t="n">
        <f aca="false">'Расчет Кплотн'!K56</f>
        <v>1.06</v>
      </c>
      <c r="G56" s="22" t="n">
        <f aca="false">'Расчет Кплотн'!J56</f>
        <v>1.1481</v>
      </c>
      <c r="H56" s="23" t="n">
        <f aca="false">E56*$F$3*L56*F56/1000</f>
        <v>6154141.1791968</v>
      </c>
      <c r="I56" s="23" t="n">
        <f aca="false">E56*$F$3*L56*G56/1000</f>
        <v>6665631.59229797</v>
      </c>
      <c r="J56" s="23" t="n">
        <f aca="false">I56-H56</f>
        <v>511490.413101167</v>
      </c>
      <c r="K56" s="24" t="n">
        <f aca="false">IFERROR(J56/H56,0)</f>
        <v>0.0831132075471696</v>
      </c>
      <c r="L56" s="25" t="n">
        <f aca="false">IF(D56="район",IFERROR(VLOOKUP(B56,'БКПН (приказ 170)'!$A$4:$C$10,3,FALSE()),$F$2),$F$2)</f>
        <v>1686.17</v>
      </c>
    </row>
    <row r="57" customFormat="false" ht="15" hidden="false" customHeight="false" outlineLevel="0" collapsed="false">
      <c r="A57" s="20" t="s">
        <v>99</v>
      </c>
      <c r="B57" s="20" t="s">
        <v>9</v>
      </c>
      <c r="C57" s="20" t="str">
        <f aca="false">'Расчет Кплотн'!C57</f>
        <v>Жамбылский район</v>
      </c>
      <c r="D57" s="20" t="str">
        <f aca="false">'Расчет Кплотн'!D57</f>
        <v>район</v>
      </c>
      <c r="E57" s="21" t="n">
        <f aca="false">SUMIFS('РПН 01.08 по МО'!$D:$D,'РПН 01.08 по МО'!$E:$E,A57)</f>
        <v>169539</v>
      </c>
      <c r="F57" s="22" t="n">
        <f aca="false">'Расчет Кплотн'!K57</f>
        <v>1.2357</v>
      </c>
      <c r="G57" s="22" t="n">
        <f aca="false">'Расчет Кплотн'!J57</f>
        <v>1.5879</v>
      </c>
      <c r="H57" s="23" t="n">
        <f aca="false">E57*$F$3*L57*F57/1000</f>
        <v>4239018.07207189</v>
      </c>
      <c r="I57" s="23" t="n">
        <f aca="false">E57*$F$3*L57*G57/1000</f>
        <v>5447225.69931452</v>
      </c>
      <c r="J57" s="23" t="n">
        <f aca="false">I57-H57</f>
        <v>1208207.62724263</v>
      </c>
      <c r="K57" s="24" t="n">
        <f aca="false">IFERROR(J57/H57,0)</f>
        <v>0.285020636076718</v>
      </c>
      <c r="L57" s="25" t="n">
        <f aca="false">IF(D57="район",IFERROR(VLOOKUP(B57,'БКПН (приказ 170)'!$A$4:$C$10,3,FALSE()),$F$2),$F$2)</f>
        <v>1686.17</v>
      </c>
    </row>
    <row r="58" customFormat="false" ht="15" hidden="false" customHeight="false" outlineLevel="0" collapsed="false">
      <c r="A58" s="20" t="s">
        <v>100</v>
      </c>
      <c r="B58" s="20" t="s">
        <v>9</v>
      </c>
      <c r="C58" s="20" t="str">
        <f aca="false">'Расчет Кплотн'!C58</f>
        <v>Кегенский район</v>
      </c>
      <c r="D58" s="20" t="str">
        <f aca="false">'Расчет Кплотн'!D58</f>
        <v>район</v>
      </c>
      <c r="E58" s="21" t="n">
        <f aca="false">SUMIFS('РПН 01.08 по МО'!$D:$D,'РПН 01.08 по МО'!$E:$E,A58)</f>
        <v>22505</v>
      </c>
      <c r="F58" s="22" t="n">
        <f aca="false">'Расчет Кплотн'!K58</f>
        <v>1.5177</v>
      </c>
      <c r="G58" s="22" t="n">
        <f aca="false">'Расчет Кплотн'!J58</f>
        <v>2</v>
      </c>
      <c r="H58" s="23" t="n">
        <f aca="false">E58*$F$3*L58*F58/1000</f>
        <v>691110.60244254</v>
      </c>
      <c r="I58" s="23" t="n">
        <f aca="false">E58*$F$3*L58*G58/1000</f>
        <v>910734.1404</v>
      </c>
      <c r="J58" s="23" t="n">
        <f aca="false">I58-H58</f>
        <v>219623.53795746</v>
      </c>
      <c r="K58" s="24" t="n">
        <f aca="false">IFERROR(J58/H58,0)</f>
        <v>0.317783488172893</v>
      </c>
      <c r="L58" s="25" t="n">
        <f aca="false">IF(D58="район",IFERROR(VLOOKUP(B58,'БКПН (приказ 170)'!$A$4:$C$10,3,FALSE()),$F$2),$F$2)</f>
        <v>1686.17</v>
      </c>
    </row>
    <row r="59" customFormat="false" ht="15" hidden="false" customHeight="false" outlineLevel="0" collapsed="false">
      <c r="A59" s="20" t="s">
        <v>101</v>
      </c>
      <c r="B59" s="20" t="s">
        <v>9</v>
      </c>
      <c r="C59" s="20" t="str">
        <f aca="false">'Расчет Кплотн'!C59</f>
        <v>Карасайский район</v>
      </c>
      <c r="D59" s="20" t="str">
        <f aca="false">'Расчет Кплотн'!D59</f>
        <v>район</v>
      </c>
      <c r="E59" s="21" t="n">
        <f aca="false">SUMIFS('РПН 01.08 по МО'!$D:$D,'РПН 01.08 по МО'!$E:$E,A59)</f>
        <v>370144</v>
      </c>
      <c r="F59" s="22" t="n">
        <f aca="false">'Расчет Кплотн'!K59</f>
        <v>1.0125</v>
      </c>
      <c r="G59" s="22" t="n">
        <f aca="false">'Расчет Кплотн'!J59</f>
        <v>1.0274</v>
      </c>
      <c r="H59" s="23" t="n">
        <f aca="false">E59*$F$3*L59*F59/1000</f>
        <v>7583127.358032</v>
      </c>
      <c r="I59" s="23" t="n">
        <f aca="false">E59*$F$3*L59*G59/1000</f>
        <v>7694721.03470823</v>
      </c>
      <c r="J59" s="23" t="n">
        <f aca="false">I59-H59</f>
        <v>111593.676676226</v>
      </c>
      <c r="K59" s="24" t="n">
        <f aca="false">IFERROR(J59/H59,0)</f>
        <v>0.0147160493827163</v>
      </c>
      <c r="L59" s="25" t="n">
        <f aca="false">IF(D59="район",IFERROR(VLOOKUP(B59,'БКПН (приказ 170)'!$A$4:$C$10,3,FALSE()),$F$2),$F$2)</f>
        <v>1686.17</v>
      </c>
    </row>
    <row r="60" customFormat="false" ht="15" hidden="false" customHeight="false" outlineLevel="0" collapsed="false">
      <c r="A60" s="20" t="s">
        <v>102</v>
      </c>
      <c r="B60" s="20" t="s">
        <v>9</v>
      </c>
      <c r="C60" s="20" t="str">
        <f aca="false">'Расчет Кплотн'!C60</f>
        <v>Райымбекский район</v>
      </c>
      <c r="D60" s="20" t="str">
        <f aca="false">'Расчет Кплотн'!D60</f>
        <v>район</v>
      </c>
      <c r="E60" s="21" t="n">
        <f aca="false">SUMIFS('РПН 01.08 по МО'!$D:$D,'РПН 01.08 по МО'!$E:$E,A60)</f>
        <v>25604</v>
      </c>
      <c r="F60" s="22" t="n">
        <f aca="false">'Расчет Кплотн'!K60</f>
        <v>1.5018</v>
      </c>
      <c r="G60" s="22" t="n">
        <f aca="false">'Расчет Кплотн'!J60</f>
        <v>2</v>
      </c>
      <c r="H60" s="23" t="n">
        <f aca="false">E60*$F$3*L60*F60/1000</f>
        <v>778041.070488288</v>
      </c>
      <c r="I60" s="23" t="n">
        <f aca="false">E60*$F$3*L60*G60/1000</f>
        <v>1036144.72032</v>
      </c>
      <c r="J60" s="23" t="n">
        <f aca="false">I60-H60</f>
        <v>258103.649831712</v>
      </c>
      <c r="K60" s="24" t="n">
        <f aca="false">IFERROR(J60/H60,0)</f>
        <v>0.331735251032095</v>
      </c>
      <c r="L60" s="25" t="n">
        <f aca="false">IF(D60="район",IFERROR(VLOOKUP(B60,'БКПН (приказ 170)'!$A$4:$C$10,3,FALSE()),$F$2),$F$2)</f>
        <v>1686.17</v>
      </c>
    </row>
    <row r="61" customFormat="false" ht="15" hidden="false" customHeight="false" outlineLevel="0" collapsed="false">
      <c r="A61" s="20" t="s">
        <v>103</v>
      </c>
      <c r="B61" s="20" t="s">
        <v>9</v>
      </c>
      <c r="C61" s="20" t="str">
        <f aca="false">'Расчет Кплотн'!C61</f>
        <v>Талгарский район</v>
      </c>
      <c r="D61" s="20" t="str">
        <f aca="false">'Расчет Кплотн'!D61</f>
        <v>район</v>
      </c>
      <c r="E61" s="21" t="n">
        <f aca="false">SUMIFS('РПН 01.08 по МО'!$D:$D,'РПН 01.08 по МО'!$E:$E,A61)</f>
        <v>320016</v>
      </c>
      <c r="F61" s="22" t="n">
        <f aca="false">'Расчет Кплотн'!K61</f>
        <v>1.0307</v>
      </c>
      <c r="G61" s="22" t="n">
        <f aca="false">'Расчет Кплотн'!J61</f>
        <v>1.0604</v>
      </c>
      <c r="H61" s="23" t="n">
        <f aca="false">E61*$F$3*L61*F61/1000</f>
        <v>6674005.69256045</v>
      </c>
      <c r="I61" s="23" t="n">
        <f aca="false">E61*$F$3*L61*G61/1000</f>
        <v>6866319.62393626</v>
      </c>
      <c r="J61" s="23" t="n">
        <f aca="false">I61-H61</f>
        <v>192313.931375809</v>
      </c>
      <c r="K61" s="24" t="n">
        <f aca="false">IFERROR(J61/H61,0)</f>
        <v>0.0288153681963716</v>
      </c>
      <c r="L61" s="25" t="n">
        <f aca="false">IF(D61="район",IFERROR(VLOOKUP(B61,'БКПН (приказ 170)'!$A$4:$C$10,3,FALSE()),$F$2),$F$2)</f>
        <v>1686.17</v>
      </c>
    </row>
    <row r="62" customFormat="false" ht="15" hidden="false" customHeight="false" outlineLevel="0" collapsed="false">
      <c r="A62" s="20" t="s">
        <v>104</v>
      </c>
      <c r="B62" s="20" t="s">
        <v>9</v>
      </c>
      <c r="C62" s="20" t="str">
        <f aca="false">'Расчет Кплотн'!C62</f>
        <v>Уйгурский район</v>
      </c>
      <c r="D62" s="20" t="str">
        <f aca="false">'Расчет Кплотн'!D62</f>
        <v>район</v>
      </c>
      <c r="E62" s="21" t="n">
        <f aca="false">SUMIFS('РПН 01.08 по МО'!$D:$D,'РПН 01.08 по МО'!$E:$E,A62)</f>
        <v>52505</v>
      </c>
      <c r="F62" s="22" t="n">
        <f aca="false">'Расчет Кплотн'!K62</f>
        <v>1.2852</v>
      </c>
      <c r="G62" s="22" t="n">
        <f aca="false">'Расчет Кплотн'!J62</f>
        <v>1.8543</v>
      </c>
      <c r="H62" s="23" t="n">
        <f aca="false">E62*$F$3*L62*F62/1000</f>
        <v>1365381.40486104</v>
      </c>
      <c r="I62" s="23" t="n">
        <f aca="false">E62*$F$3*L62*G62/1000</f>
        <v>1969986.56943186</v>
      </c>
      <c r="J62" s="23" t="n">
        <f aca="false">I62-H62</f>
        <v>604605.16457082</v>
      </c>
      <c r="K62" s="24" t="n">
        <f aca="false">IFERROR(J62/H62,0)</f>
        <v>0.44281045751634</v>
      </c>
      <c r="L62" s="25" t="n">
        <f aca="false">IF(D62="район",IFERROR(VLOOKUP(B62,'БКПН (приказ 170)'!$A$4:$C$10,3,FALSE()),$F$2),$F$2)</f>
        <v>1686.17</v>
      </c>
    </row>
    <row r="63" customFormat="false" ht="15" hidden="false" customHeight="false" outlineLevel="0" collapsed="false">
      <c r="A63" s="20" t="s">
        <v>105</v>
      </c>
      <c r="B63" s="20" t="s">
        <v>9</v>
      </c>
      <c r="C63" s="20" t="str">
        <f aca="false">'Расчет Кплотн'!C63</f>
        <v>Илийский район</v>
      </c>
      <c r="D63" s="20" t="str">
        <f aca="false">'Расчет Кплотн'!D63</f>
        <v>район</v>
      </c>
      <c r="E63" s="21" t="n">
        <f aca="false">SUMIFS('РПН 01.08 по МО'!$D:$D,'РПН 01.08 по МО'!$E:$E,A63)</f>
        <v>282203</v>
      </c>
      <c r="F63" s="22" t="n">
        <f aca="false">'Расчет Кплотн'!K63</f>
        <v>1.0598</v>
      </c>
      <c r="G63" s="22" t="n">
        <f aca="false">'Расчет Кплотн'!J63</f>
        <v>1.1313</v>
      </c>
      <c r="H63" s="23" t="n">
        <f aca="false">E63*$F$3*L63*F63/1000</f>
        <v>6051571.17616918</v>
      </c>
      <c r="I63" s="23" t="n">
        <f aca="false">E63*$F$3*L63*G63/1000</f>
        <v>6459843.81166276</v>
      </c>
      <c r="J63" s="23" t="n">
        <f aca="false">I63-H63</f>
        <v>408272.63549358</v>
      </c>
      <c r="K63" s="24" t="n">
        <f aca="false">IFERROR(J63/H63,0)</f>
        <v>0.0674655595395358</v>
      </c>
      <c r="L63" s="25" t="n">
        <f aca="false">IF(D63="район",IFERROR(VLOOKUP(B63,'БКПН (приказ 170)'!$A$4:$C$10,3,FALSE()),$F$2),$F$2)</f>
        <v>1686.17</v>
      </c>
    </row>
    <row r="64" customFormat="false" ht="15" hidden="false" customHeight="false" outlineLevel="0" collapsed="false">
      <c r="A64" s="20" t="s">
        <v>106</v>
      </c>
      <c r="B64" s="20" t="s">
        <v>10</v>
      </c>
      <c r="C64" s="20" t="str">
        <f aca="false">'Расчет Кплотн'!C64</f>
        <v>Атырау</v>
      </c>
      <c r="D64" s="20" t="str">
        <f aca="false">'Расчет Кплотн'!D64</f>
        <v>областной центр</v>
      </c>
      <c r="E64" s="21" t="n">
        <f aca="false">SUMIFS('РПН 01.08 по МО'!$D:$D,'РПН 01.08 по МО'!$E:$E,A64)</f>
        <v>456127</v>
      </c>
      <c r="F64" s="22" t="n">
        <f aca="false">'Расчет Кплотн'!K64</f>
        <v>1</v>
      </c>
      <c r="G64" s="22" t="n">
        <f aca="false">'Расчет Кплотн'!J64</f>
        <v>1</v>
      </c>
      <c r="H64" s="23" t="n">
        <f aca="false">E64*$F$3*L64*F64/1000</f>
        <v>9229291.96308</v>
      </c>
      <c r="I64" s="23" t="n">
        <f aca="false">E64*$F$3*L64*G64/1000</f>
        <v>9229291.96308</v>
      </c>
      <c r="J64" s="23" t="n">
        <f aca="false">I64-H64</f>
        <v>0</v>
      </c>
      <c r="K64" s="24" t="n">
        <f aca="false">IFERROR(J64/H64,0)</f>
        <v>0</v>
      </c>
      <c r="L64" s="25" t="n">
        <f aca="false">IF(D64="район",IFERROR(VLOOKUP(B64,'БКПН (приказ 170)'!$A$4:$C$10,3,FALSE()),$F$2),$F$2)</f>
        <v>1686.17</v>
      </c>
    </row>
    <row r="65" customFormat="false" ht="15" hidden="false" customHeight="false" outlineLevel="0" collapsed="false">
      <c r="A65" s="20" t="s">
        <v>107</v>
      </c>
      <c r="B65" s="20" t="s">
        <v>10</v>
      </c>
      <c r="C65" s="20" t="str">
        <f aca="false">'Расчет Кплотн'!C65</f>
        <v>Жылыойский район</v>
      </c>
      <c r="D65" s="20" t="str">
        <f aca="false">'Расчет Кплотн'!D65</f>
        <v>район</v>
      </c>
      <c r="E65" s="21" t="n">
        <f aca="false">SUMIFS('РПН 01.08 по МО'!$D:$D,'РПН 01.08 по МО'!$E:$E,A65)</f>
        <v>71557</v>
      </c>
      <c r="F65" s="22" t="n">
        <f aca="false">'Расчет Кплотн'!K65</f>
        <v>2</v>
      </c>
      <c r="G65" s="22" t="n">
        <f aca="false">'Расчет Кплотн'!J65</f>
        <v>2</v>
      </c>
      <c r="H65" s="23" t="n">
        <f aca="false">E65*$F$3*L65*F65/1000</f>
        <v>2895774.40056</v>
      </c>
      <c r="I65" s="23" t="n">
        <f aca="false">E65*$F$3*L65*G65/1000</f>
        <v>2895774.40056</v>
      </c>
      <c r="J65" s="23" t="n">
        <f aca="false">I65-H65</f>
        <v>0</v>
      </c>
      <c r="K65" s="24" t="n">
        <f aca="false">IFERROR(J65/H65,0)</f>
        <v>0</v>
      </c>
      <c r="L65" s="25" t="n">
        <f aca="false">IF(D65="район",IFERROR(VLOOKUP(B65,'БКПН (приказ 170)'!$A$4:$C$10,3,FALSE()),$F$2),$F$2)</f>
        <v>1686.17</v>
      </c>
    </row>
    <row r="66" customFormat="false" ht="15" hidden="false" customHeight="false" outlineLevel="0" collapsed="false">
      <c r="A66" s="20" t="s">
        <v>108</v>
      </c>
      <c r="B66" s="20" t="s">
        <v>10</v>
      </c>
      <c r="C66" s="20" t="str">
        <f aca="false">'Расчет Кплотн'!C66</f>
        <v>Индерский район</v>
      </c>
      <c r="D66" s="20" t="str">
        <f aca="false">'Расчет Кплотн'!D66</f>
        <v>район</v>
      </c>
      <c r="E66" s="21" t="n">
        <f aca="false">SUMIFS('РПН 01.08 по МО'!$D:$D,'РПН 01.08 по МО'!$E:$E,A66)</f>
        <v>29349</v>
      </c>
      <c r="F66" s="22" t="n">
        <f aca="false">'Расчет Кплотн'!K66</f>
        <v>1.682</v>
      </c>
      <c r="G66" s="22" t="n">
        <f aca="false">'Расчет Кплотн'!J66</f>
        <v>2</v>
      </c>
      <c r="H66" s="23" t="n">
        <f aca="false">E66*$F$3*L66*F66/1000</f>
        <v>998853.74881272</v>
      </c>
      <c r="I66" s="23" t="n">
        <f aca="false">E66*$F$3*L66*G66/1000</f>
        <v>1187697.67992</v>
      </c>
      <c r="J66" s="23" t="n">
        <f aca="false">I66-H66</f>
        <v>188843.93110728</v>
      </c>
      <c r="K66" s="24" t="n">
        <f aca="false">IFERROR(J66/H66,0)</f>
        <v>0.189060642092747</v>
      </c>
      <c r="L66" s="25" t="n">
        <f aca="false">IF(D66="район",IFERROR(VLOOKUP(B66,'БКПН (приказ 170)'!$A$4:$C$10,3,FALSE()),$F$2),$F$2)</f>
        <v>1686.17</v>
      </c>
    </row>
    <row r="67" customFormat="false" ht="15" hidden="false" customHeight="false" outlineLevel="0" collapsed="false">
      <c r="A67" s="20" t="s">
        <v>109</v>
      </c>
      <c r="B67" s="20" t="s">
        <v>10</v>
      </c>
      <c r="C67" s="20" t="str">
        <f aca="false">'Расчет Кплотн'!C67</f>
        <v>Исатайский район</v>
      </c>
      <c r="D67" s="20" t="str">
        <f aca="false">'Расчет Кплотн'!D67</f>
        <v>район</v>
      </c>
      <c r="E67" s="21" t="n">
        <f aca="false">SUMIFS('РПН 01.08 по МО'!$D:$D,'РПН 01.08 по МО'!$E:$E,A67)</f>
        <v>23265</v>
      </c>
      <c r="F67" s="22" t="n">
        <f aca="false">'Расчет Кплотн'!K67</f>
        <v>2</v>
      </c>
      <c r="G67" s="22" t="n">
        <f aca="false">'Расчет Кплотн'!J67</f>
        <v>2</v>
      </c>
      <c r="H67" s="23" t="n">
        <f aca="false">E67*$F$3*L67*F67/1000</f>
        <v>941489.8812</v>
      </c>
      <c r="I67" s="23" t="n">
        <f aca="false">E67*$F$3*L67*G67/1000</f>
        <v>941489.8812</v>
      </c>
      <c r="J67" s="23" t="n">
        <f aca="false">I67-H67</f>
        <v>0</v>
      </c>
      <c r="K67" s="24" t="n">
        <f aca="false">IFERROR(J67/H67,0)</f>
        <v>0</v>
      </c>
      <c r="L67" s="25" t="n">
        <f aca="false">IF(D67="район",IFERROR(VLOOKUP(B67,'БКПН (приказ 170)'!$A$4:$C$10,3,FALSE()),$F$2),$F$2)</f>
        <v>1686.17</v>
      </c>
    </row>
    <row r="68" customFormat="false" ht="15" hidden="false" customHeight="false" outlineLevel="0" collapsed="false">
      <c r="A68" s="20" t="s">
        <v>110</v>
      </c>
      <c r="B68" s="20" t="s">
        <v>10</v>
      </c>
      <c r="C68" s="20" t="str">
        <f aca="false">'Расчет Кплотн'!C68</f>
        <v>Курмангазинский район</v>
      </c>
      <c r="D68" s="20" t="str">
        <f aca="false">'Расчет Кплотн'!D68</f>
        <v>район</v>
      </c>
      <c r="E68" s="21" t="n">
        <f aca="false">SUMIFS('РПН 01.08 по МО'!$D:$D,'РПН 01.08 по МО'!$E:$E,A68)</f>
        <v>48286</v>
      </c>
      <c r="F68" s="22" t="n">
        <f aca="false">'Расчет Кплотн'!K68</f>
        <v>1.765</v>
      </c>
      <c r="G68" s="22" t="n">
        <f aca="false">'Расчет Кплотн'!J68</f>
        <v>2</v>
      </c>
      <c r="H68" s="23" t="n">
        <f aca="false">E68*$F$3*L68*F68/1000</f>
        <v>1724441.8098516</v>
      </c>
      <c r="I68" s="23" t="n">
        <f aca="false">E68*$F$3*L68*G68/1000</f>
        <v>1954041.71088</v>
      </c>
      <c r="J68" s="23" t="n">
        <f aca="false">I68-H68</f>
        <v>229599.9010284</v>
      </c>
      <c r="K68" s="24" t="n">
        <f aca="false">IFERROR(J68/H68,0)</f>
        <v>0.13314447592068</v>
      </c>
      <c r="L68" s="25" t="n">
        <f aca="false">IF(D68="район",IFERROR(VLOOKUP(B68,'БКПН (приказ 170)'!$A$4:$C$10,3,FALSE()),$F$2),$F$2)</f>
        <v>1686.17</v>
      </c>
    </row>
    <row r="69" customFormat="false" ht="15" hidden="false" customHeight="false" outlineLevel="0" collapsed="false">
      <c r="A69" s="20" t="s">
        <v>111</v>
      </c>
      <c r="B69" s="20" t="s">
        <v>10</v>
      </c>
      <c r="C69" s="20" t="str">
        <f aca="false">'Расчет Кплотн'!C69</f>
        <v>Кзылкогинский район</v>
      </c>
      <c r="D69" s="20" t="str">
        <f aca="false">'Расчет Кплотн'!D69</f>
        <v>район</v>
      </c>
      <c r="E69" s="21" t="n">
        <f aca="false">SUMIFS('РПН 01.08 по МО'!$D:$D,'РПН 01.08 по МО'!$E:$E,A69)</f>
        <v>27414</v>
      </c>
      <c r="F69" s="22" t="n">
        <f aca="false">'Расчет Кплотн'!K69</f>
        <v>2</v>
      </c>
      <c r="G69" s="22" t="n">
        <f aca="false">'Расчет Кплотн'!J69</f>
        <v>2</v>
      </c>
      <c r="H69" s="23" t="n">
        <f aca="false">E69*$F$3*L69*F69/1000</f>
        <v>1109391.94512</v>
      </c>
      <c r="I69" s="23" t="n">
        <f aca="false">E69*$F$3*L69*G69/1000</f>
        <v>1109391.94512</v>
      </c>
      <c r="J69" s="23" t="n">
        <f aca="false">I69-H69</f>
        <v>0</v>
      </c>
      <c r="K69" s="24" t="n">
        <f aca="false">IFERROR(J69/H69,0)</f>
        <v>0</v>
      </c>
      <c r="L69" s="25" t="n">
        <f aca="false">IF(D69="район",IFERROR(VLOOKUP(B69,'БКПН (приказ 170)'!$A$4:$C$10,3,FALSE()),$F$2),$F$2)</f>
        <v>1686.17</v>
      </c>
    </row>
    <row r="70" customFormat="false" ht="15" hidden="false" customHeight="false" outlineLevel="0" collapsed="false">
      <c r="A70" s="20" t="s">
        <v>112</v>
      </c>
      <c r="B70" s="20" t="s">
        <v>10</v>
      </c>
      <c r="C70" s="20" t="str">
        <f aca="false">'Расчет Кплотн'!C70</f>
        <v>Макатский район</v>
      </c>
      <c r="D70" s="20" t="str">
        <f aca="false">'Расчет Кплотн'!D70</f>
        <v>район</v>
      </c>
      <c r="E70" s="21" t="n">
        <f aca="false">SUMIFS('РПН 01.08 по МО'!$D:$D,'РПН 01.08 по МО'!$E:$E,A70)</f>
        <v>26015</v>
      </c>
      <c r="F70" s="22" t="n">
        <f aca="false">'Расчет Кплотн'!K70</f>
        <v>1.6297</v>
      </c>
      <c r="G70" s="22" t="n">
        <f aca="false">'Расчет Кплотн'!J70</f>
        <v>2</v>
      </c>
      <c r="H70" s="23" t="n">
        <f aca="false">E70*$F$3*L70*F70/1000</f>
        <v>857855.42091282</v>
      </c>
      <c r="I70" s="23" t="n">
        <f aca="false">E70*$F$3*L70*G70/1000</f>
        <v>1052777.1012</v>
      </c>
      <c r="J70" s="23" t="n">
        <f aca="false">I70-H70</f>
        <v>194921.68028718</v>
      </c>
      <c r="K70" s="24" t="n">
        <f aca="false">IFERROR(J70/H70,0)</f>
        <v>0.227219733693318</v>
      </c>
      <c r="L70" s="25" t="n">
        <f aca="false">IF(D70="район",IFERROR(VLOOKUP(B70,'БКПН (приказ 170)'!$A$4:$C$10,3,FALSE()),$F$2),$F$2)</f>
        <v>1686.17</v>
      </c>
    </row>
    <row r="71" customFormat="false" ht="15" hidden="false" customHeight="false" outlineLevel="0" collapsed="false">
      <c r="A71" s="20" t="s">
        <v>113</v>
      </c>
      <c r="B71" s="20" t="s">
        <v>10</v>
      </c>
      <c r="C71" s="20" t="str">
        <f aca="false">'Расчет Кплотн'!C71</f>
        <v>Махамбетский район</v>
      </c>
      <c r="D71" s="20" t="str">
        <f aca="false">'Расчет Кплотн'!D71</f>
        <v>район</v>
      </c>
      <c r="E71" s="21" t="n">
        <f aca="false">SUMIFS('РПН 01.08 по МО'!$D:$D,'РПН 01.08 по МО'!$E:$E,A71)</f>
        <v>25235</v>
      </c>
      <c r="F71" s="22" t="n">
        <f aca="false">'Расчет Кплотн'!K71</f>
        <v>1.6478</v>
      </c>
      <c r="G71" s="22" t="n">
        <f aca="false">'Расчет Кплотн'!J71</f>
        <v>2</v>
      </c>
      <c r="H71" s="23" t="n">
        <f aca="false">E71*$F$3*L71*F71/1000</f>
        <v>841376.56581132</v>
      </c>
      <c r="I71" s="23" t="n">
        <f aca="false">E71*$F$3*L71*G71/1000</f>
        <v>1021211.9988</v>
      </c>
      <c r="J71" s="23" t="n">
        <f aca="false">I71-H71</f>
        <v>179835.43298868</v>
      </c>
      <c r="K71" s="24" t="n">
        <f aca="false">IFERROR(J71/H71,0)</f>
        <v>0.213739531496541</v>
      </c>
      <c r="L71" s="25" t="n">
        <f aca="false">IF(D71="район",IFERROR(VLOOKUP(B71,'БКПН (приказ 170)'!$A$4:$C$10,3,FALSE()),$F$2),$F$2)</f>
        <v>1686.17</v>
      </c>
    </row>
    <row r="72" customFormat="false" ht="15" hidden="false" customHeight="false" outlineLevel="0" collapsed="false">
      <c r="A72" s="20" t="s">
        <v>114</v>
      </c>
      <c r="B72" s="20" t="s">
        <v>13</v>
      </c>
      <c r="C72" s="20" t="str">
        <f aca="false">'Расчет Кплотн'!C72</f>
        <v>Уральск</v>
      </c>
      <c r="D72" s="20" t="str">
        <f aca="false">'Расчет Кплотн'!D72</f>
        <v>областной центр</v>
      </c>
      <c r="E72" s="21" t="n">
        <f aca="false">SUMIFS('РПН 01.08 по МО'!$D:$D,'РПН 01.08 по МО'!$E:$E,A72)</f>
        <v>406517</v>
      </c>
      <c r="F72" s="22" t="n">
        <f aca="false">'Расчет Кплотн'!K72</f>
        <v>1</v>
      </c>
      <c r="G72" s="22" t="n">
        <f aca="false">'Расчет Кплотн'!J72</f>
        <v>1</v>
      </c>
      <c r="H72" s="23" t="n">
        <f aca="false">E72*$F$3*L72*F72/1000</f>
        <v>8225481.23868</v>
      </c>
      <c r="I72" s="23" t="n">
        <f aca="false">E72*$F$3*L72*G72/1000</f>
        <v>8225481.23868</v>
      </c>
      <c r="J72" s="23" t="n">
        <f aca="false">I72-H72</f>
        <v>0</v>
      </c>
      <c r="K72" s="24" t="n">
        <f aca="false">IFERROR(J72/H72,0)</f>
        <v>0</v>
      </c>
      <c r="L72" s="25" t="n">
        <f aca="false">IF(D72="район",IFERROR(VLOOKUP(B72,'БКПН (приказ 170)'!$A$4:$C$10,3,FALSE()),$F$2),$F$2)</f>
        <v>1686.17</v>
      </c>
    </row>
    <row r="73" customFormat="false" ht="15" hidden="false" customHeight="false" outlineLevel="0" collapsed="false">
      <c r="A73" s="20" t="s">
        <v>115</v>
      </c>
      <c r="B73" s="20" t="s">
        <v>13</v>
      </c>
      <c r="C73" s="20" t="str">
        <f aca="false">'Расчет Кплотн'!C73</f>
        <v>Акжаикский район</v>
      </c>
      <c r="D73" s="20" t="str">
        <f aca="false">'Расчет Кплотн'!D73</f>
        <v>район</v>
      </c>
      <c r="E73" s="21" t="n">
        <f aca="false">SUMIFS('РПН 01.08 по МО'!$D:$D,'РПН 01.08 по МО'!$E:$E,A73)</f>
        <v>29916</v>
      </c>
      <c r="F73" s="22" t="n">
        <f aca="false">'Расчет Кплотн'!K73</f>
        <v>2</v>
      </c>
      <c r="G73" s="22" t="n">
        <f aca="false">'Расчет Кплотн'!J73</f>
        <v>2</v>
      </c>
      <c r="H73" s="23" t="n">
        <f aca="false">E73*$F$3*L73*F73/1000</f>
        <v>1558822.24224</v>
      </c>
      <c r="I73" s="23" t="n">
        <f aca="false">E73*$F$3*L73*G73/1000</f>
        <v>1558822.24224</v>
      </c>
      <c r="J73" s="23" t="n">
        <f aca="false">I73-H73</f>
        <v>0</v>
      </c>
      <c r="K73" s="24" t="n">
        <f aca="false">IFERROR(J73/H73,0)</f>
        <v>0</v>
      </c>
      <c r="L73" s="25" t="n">
        <f aca="false">IF(D73="район",IFERROR(VLOOKUP(B73,'БКПН (приказ 170)'!$A$4:$C$10,3,FALSE()),$F$2),$F$2)</f>
        <v>2171.11</v>
      </c>
    </row>
    <row r="74" customFormat="false" ht="15" hidden="false" customHeight="false" outlineLevel="0" collapsed="false">
      <c r="A74" s="20" t="s">
        <v>116</v>
      </c>
      <c r="B74" s="20" t="s">
        <v>13</v>
      </c>
      <c r="C74" s="20" t="str">
        <f aca="false">'Расчет Кплотн'!C74</f>
        <v>Бурлинский район</v>
      </c>
      <c r="D74" s="20" t="str">
        <f aca="false">'Расчет Кплотн'!D74</f>
        <v>район</v>
      </c>
      <c r="E74" s="21" t="n">
        <f aca="false">SUMIFS('РПН 01.08 по МО'!$D:$D,'РПН 01.08 по МО'!$E:$E,A74)</f>
        <v>52380</v>
      </c>
      <c r="F74" s="22" t="n">
        <f aca="false">'Расчет Кплотн'!K74</f>
        <v>1.1977</v>
      </c>
      <c r="G74" s="22" t="n">
        <f aca="false">'Расчет Кплотн'!J74</f>
        <v>1.5397</v>
      </c>
      <c r="H74" s="23" t="n">
        <f aca="false">E74*$F$3*L74*F74/1000</f>
        <v>1634468.73424632</v>
      </c>
      <c r="I74" s="23" t="n">
        <f aca="false">E74*$F$3*L74*G74/1000</f>
        <v>2101186.86659352</v>
      </c>
      <c r="J74" s="23" t="n">
        <f aca="false">I74-H74</f>
        <v>466718.1323472</v>
      </c>
      <c r="K74" s="24" t="n">
        <f aca="false">IFERROR(J74/H74,0)</f>
        <v>0.28554729898973</v>
      </c>
      <c r="L74" s="25" t="n">
        <f aca="false">IF(D74="район",IFERROR(VLOOKUP(B74,'БКПН (приказ 170)'!$A$4:$C$10,3,FALSE()),$F$2),$F$2)</f>
        <v>2171.11</v>
      </c>
    </row>
    <row r="75" customFormat="false" ht="15" hidden="false" customHeight="false" outlineLevel="0" collapsed="false">
      <c r="A75" s="20" t="s">
        <v>117</v>
      </c>
      <c r="B75" s="20" t="s">
        <v>13</v>
      </c>
      <c r="C75" s="20" t="str">
        <f aca="false">'Расчет Кплотн'!C75</f>
        <v>Жангалинский район</v>
      </c>
      <c r="D75" s="20" t="str">
        <f aca="false">'Расчет Кплотн'!D75</f>
        <v>район</v>
      </c>
      <c r="E75" s="21" t="n">
        <f aca="false">SUMIFS('РПН 01.08 по МО'!$D:$D,'РПН 01.08 по МО'!$E:$E,A75)</f>
        <v>19058</v>
      </c>
      <c r="F75" s="22" t="n">
        <f aca="false">'Расчет Кплотн'!K75</f>
        <v>2</v>
      </c>
      <c r="G75" s="22" t="n">
        <f aca="false">'Расчет Кплотн'!J75</f>
        <v>2</v>
      </c>
      <c r="H75" s="23" t="n">
        <f aca="false">E75*$F$3*L75*F75/1000</f>
        <v>993048.34512</v>
      </c>
      <c r="I75" s="23" t="n">
        <f aca="false">E75*$F$3*L75*G75/1000</f>
        <v>993048.34512</v>
      </c>
      <c r="J75" s="23" t="n">
        <f aca="false">I75-H75</f>
        <v>0</v>
      </c>
      <c r="K75" s="24" t="n">
        <f aca="false">IFERROR(J75/H75,0)</f>
        <v>0</v>
      </c>
      <c r="L75" s="25" t="n">
        <f aca="false">IF(D75="район",IFERROR(VLOOKUP(B75,'БКПН (приказ 170)'!$A$4:$C$10,3,FALSE()),$F$2),$F$2)</f>
        <v>2171.11</v>
      </c>
    </row>
    <row r="76" customFormat="false" ht="15" hidden="false" customHeight="false" outlineLevel="0" collapsed="false">
      <c r="A76" s="20" t="s">
        <v>118</v>
      </c>
      <c r="B76" s="20" t="s">
        <v>13</v>
      </c>
      <c r="C76" s="20" t="str">
        <f aca="false">'Расчет Кплотн'!C76</f>
        <v>Жанибекский район</v>
      </c>
      <c r="D76" s="20" t="str">
        <f aca="false">'Расчет Кплотн'!D76</f>
        <v>район</v>
      </c>
      <c r="E76" s="21" t="n">
        <f aca="false">SUMIFS('РПН 01.08 по МО'!$D:$D,'РПН 01.08 по МО'!$E:$E,A76)</f>
        <v>12094</v>
      </c>
      <c r="F76" s="22" t="n">
        <f aca="false">'Расчет Кплотн'!K76</f>
        <v>2</v>
      </c>
      <c r="G76" s="22" t="n">
        <f aca="false">'Расчет Кплотн'!J76</f>
        <v>2</v>
      </c>
      <c r="H76" s="23" t="n">
        <f aca="false">E76*$F$3*L76*F76/1000</f>
        <v>630177.70416</v>
      </c>
      <c r="I76" s="23" t="n">
        <f aca="false">E76*$F$3*L76*G76/1000</f>
        <v>630177.70416</v>
      </c>
      <c r="J76" s="23" t="n">
        <f aca="false">I76-H76</f>
        <v>0</v>
      </c>
      <c r="K76" s="24" t="n">
        <f aca="false">IFERROR(J76/H76,0)</f>
        <v>0</v>
      </c>
      <c r="L76" s="25" t="n">
        <f aca="false">IF(D76="район",IFERROR(VLOOKUP(B76,'БКПН (приказ 170)'!$A$4:$C$10,3,FALSE()),$F$2),$F$2)</f>
        <v>2171.11</v>
      </c>
    </row>
    <row r="77" customFormat="false" ht="15" hidden="false" customHeight="false" outlineLevel="0" collapsed="false">
      <c r="A77" s="20" t="s">
        <v>119</v>
      </c>
      <c r="B77" s="20" t="s">
        <v>13</v>
      </c>
      <c r="C77" s="20" t="str">
        <f aca="false">'Расчет Кплотн'!C77</f>
        <v>район Бәйтерек</v>
      </c>
      <c r="D77" s="20" t="str">
        <f aca="false">'Расчет Кплотн'!D77</f>
        <v>район</v>
      </c>
      <c r="E77" s="21" t="n">
        <f aca="false">SUMIFS('РПН 01.08 по МО'!$D:$D,'РПН 01.08 по МО'!$E:$E,A77)</f>
        <v>46665</v>
      </c>
      <c r="F77" s="22" t="n">
        <f aca="false">'Расчет Кплотн'!K77</f>
        <v>1.2521</v>
      </c>
      <c r="G77" s="22" t="n">
        <f aca="false">'Расчет Кплотн'!J77</f>
        <v>1.8135</v>
      </c>
      <c r="H77" s="23" t="n">
        <f aca="false">E77*$F$3*L77*F77/1000</f>
        <v>1522275.85642338</v>
      </c>
      <c r="I77" s="23" t="n">
        <f aca="false">E77*$F$3*L77*G77/1000</f>
        <v>2204813.7254403</v>
      </c>
      <c r="J77" s="23" t="n">
        <f aca="false">I77-H77</f>
        <v>682537.86901692</v>
      </c>
      <c r="K77" s="24" t="n">
        <f aca="false">IFERROR(J77/H77,0)</f>
        <v>0.448366743870298</v>
      </c>
      <c r="L77" s="25" t="n">
        <f aca="false">IF(D77="район",IFERROR(VLOOKUP(B77,'БКПН (приказ 170)'!$A$4:$C$10,3,FALSE()),$F$2),$F$2)</f>
        <v>2171.11</v>
      </c>
    </row>
    <row r="78" customFormat="false" ht="15" hidden="false" customHeight="false" outlineLevel="0" collapsed="false">
      <c r="A78" s="20" t="s">
        <v>120</v>
      </c>
      <c r="B78" s="20" t="s">
        <v>13</v>
      </c>
      <c r="C78" s="20" t="str">
        <f aca="false">'Расчет Кплотн'!C78</f>
        <v>Казталовский район</v>
      </c>
      <c r="D78" s="20" t="str">
        <f aca="false">'Расчет Кплотн'!D78</f>
        <v>район</v>
      </c>
      <c r="E78" s="21" t="n">
        <f aca="false">SUMIFS('РПН 01.08 по МО'!$D:$D,'РПН 01.08 по МО'!$E:$E,A78)</f>
        <v>23729</v>
      </c>
      <c r="F78" s="22" t="n">
        <f aca="false">'Расчет Кплотн'!K78</f>
        <v>2</v>
      </c>
      <c r="G78" s="22" t="n">
        <f aca="false">'Расчет Кплотн'!J78</f>
        <v>2</v>
      </c>
      <c r="H78" s="23" t="n">
        <f aca="false">E78*$F$3*L78*F78/1000</f>
        <v>1236438.46056</v>
      </c>
      <c r="I78" s="23" t="n">
        <f aca="false">E78*$F$3*L78*G78/1000</f>
        <v>1236438.46056</v>
      </c>
      <c r="J78" s="23" t="n">
        <f aca="false">I78-H78</f>
        <v>0</v>
      </c>
      <c r="K78" s="24" t="n">
        <f aca="false">IFERROR(J78/H78,0)</f>
        <v>0</v>
      </c>
      <c r="L78" s="25" t="n">
        <f aca="false">IF(D78="район",IFERROR(VLOOKUP(B78,'БКПН (приказ 170)'!$A$4:$C$10,3,FALSE()),$F$2),$F$2)</f>
        <v>2171.11</v>
      </c>
    </row>
    <row r="79" customFormat="false" ht="15" hidden="false" customHeight="false" outlineLevel="0" collapsed="false">
      <c r="A79" s="20" t="s">
        <v>121</v>
      </c>
      <c r="B79" s="20" t="s">
        <v>13</v>
      </c>
      <c r="C79" s="20" t="str">
        <f aca="false">'Расчет Кплотн'!C79</f>
        <v>Каратобинский район</v>
      </c>
      <c r="D79" s="20" t="str">
        <f aca="false">'Расчет Кплотн'!D79</f>
        <v>район</v>
      </c>
      <c r="E79" s="21" t="n">
        <f aca="false">SUMIFS('РПН 01.08 по МО'!$D:$D,'РПН 01.08 по МО'!$E:$E,A79)</f>
        <v>11367</v>
      </c>
      <c r="F79" s="22" t="n">
        <f aca="false">'Расчет Кплотн'!K79</f>
        <v>2</v>
      </c>
      <c r="G79" s="22" t="n">
        <f aca="false">'Расчет Кплотн'!J79</f>
        <v>2</v>
      </c>
      <c r="H79" s="23" t="n">
        <f aca="false">E79*$F$3*L79*F79/1000</f>
        <v>592296.17688</v>
      </c>
      <c r="I79" s="23" t="n">
        <f aca="false">E79*$F$3*L79*G79/1000</f>
        <v>592296.17688</v>
      </c>
      <c r="J79" s="23" t="n">
        <f aca="false">I79-H79</f>
        <v>0</v>
      </c>
      <c r="K79" s="24" t="n">
        <f aca="false">IFERROR(J79/H79,0)</f>
        <v>0</v>
      </c>
      <c r="L79" s="25" t="n">
        <f aca="false">IF(D79="район",IFERROR(VLOOKUP(B79,'БКПН (приказ 170)'!$A$4:$C$10,3,FALSE()),$F$2),$F$2)</f>
        <v>2171.11</v>
      </c>
    </row>
    <row r="80" customFormat="false" ht="15" hidden="false" customHeight="false" outlineLevel="0" collapsed="false">
      <c r="A80" s="20" t="s">
        <v>122</v>
      </c>
      <c r="B80" s="20" t="s">
        <v>13</v>
      </c>
      <c r="C80" s="20" t="str">
        <f aca="false">'Расчет Кплотн'!C80</f>
        <v>Бокейординский район</v>
      </c>
      <c r="D80" s="20" t="str">
        <f aca="false">'Расчет Кплотн'!D80</f>
        <v>район</v>
      </c>
      <c r="E80" s="21" t="n">
        <f aca="false">SUMIFS('РПН 01.08 по МО'!$D:$D,'РПН 01.08 по МО'!$E:$E,A80)</f>
        <v>12075</v>
      </c>
      <c r="F80" s="22" t="n">
        <f aca="false">'Расчет Кплотн'!K80</f>
        <v>2</v>
      </c>
      <c r="G80" s="22" t="n">
        <f aca="false">'Расчет Кплотн'!J80</f>
        <v>2</v>
      </c>
      <c r="H80" s="23" t="n">
        <f aca="false">E80*$F$3*L80*F80/1000</f>
        <v>629187.678</v>
      </c>
      <c r="I80" s="23" t="n">
        <f aca="false">E80*$F$3*L80*G80/1000</f>
        <v>629187.678</v>
      </c>
      <c r="J80" s="23" t="n">
        <f aca="false">I80-H80</f>
        <v>0</v>
      </c>
      <c r="K80" s="24" t="n">
        <f aca="false">IFERROR(J80/H80,0)</f>
        <v>0</v>
      </c>
      <c r="L80" s="25" t="n">
        <f aca="false">IF(D80="район",IFERROR(VLOOKUP(B80,'БКПН (приказ 170)'!$A$4:$C$10,3,FALSE()),$F$2),$F$2)</f>
        <v>2171.11</v>
      </c>
    </row>
    <row r="81" customFormat="false" ht="15" hidden="false" customHeight="false" outlineLevel="0" collapsed="false">
      <c r="A81" s="20" t="s">
        <v>123</v>
      </c>
      <c r="B81" s="20" t="s">
        <v>13</v>
      </c>
      <c r="C81" s="20" t="str">
        <f aca="false">'Расчет Кплотн'!C81</f>
        <v>Сырымский район</v>
      </c>
      <c r="D81" s="20" t="str">
        <f aca="false">'Расчет Кплотн'!D81</f>
        <v>район</v>
      </c>
      <c r="E81" s="21" t="n">
        <f aca="false">SUMIFS('РПН 01.08 по МО'!$D:$D,'РПН 01.08 по МО'!$E:$E,A81)</f>
        <v>14936</v>
      </c>
      <c r="F81" s="22" t="n">
        <f aca="false">'Расчет Кплотн'!K81</f>
        <v>2</v>
      </c>
      <c r="G81" s="22" t="n">
        <f aca="false">'Расчет Кплотн'!J81</f>
        <v>2</v>
      </c>
      <c r="H81" s="23" t="n">
        <f aca="false">E81*$F$3*L81*F81/1000</f>
        <v>778264.77504</v>
      </c>
      <c r="I81" s="23" t="n">
        <f aca="false">E81*$F$3*L81*G81/1000</f>
        <v>778264.77504</v>
      </c>
      <c r="J81" s="23" t="n">
        <f aca="false">I81-H81</f>
        <v>0</v>
      </c>
      <c r="K81" s="24" t="n">
        <f aca="false">IFERROR(J81/H81,0)</f>
        <v>0</v>
      </c>
      <c r="L81" s="25" t="n">
        <f aca="false">IF(D81="район",IFERROR(VLOOKUP(B81,'БКПН (приказ 170)'!$A$4:$C$10,3,FALSE()),$F$2),$F$2)</f>
        <v>2171.11</v>
      </c>
    </row>
    <row r="82" customFormat="false" ht="15" hidden="false" customHeight="false" outlineLevel="0" collapsed="false">
      <c r="A82" s="20" t="s">
        <v>124</v>
      </c>
      <c r="B82" s="20" t="s">
        <v>13</v>
      </c>
      <c r="C82" s="20" t="str">
        <f aca="false">'Расчет Кплотн'!C82</f>
        <v>Таскалинский район</v>
      </c>
      <c r="D82" s="20" t="str">
        <f aca="false">'Расчет Кплотн'!D82</f>
        <v>район</v>
      </c>
      <c r="E82" s="21" t="n">
        <f aca="false">SUMIFS('РПН 01.08 по МО'!$D:$D,'РПН 01.08 по МО'!$E:$E,A82)</f>
        <v>14032</v>
      </c>
      <c r="F82" s="22" t="n">
        <f aca="false">'Расчет Кплотн'!K82</f>
        <v>2</v>
      </c>
      <c r="G82" s="22" t="n">
        <f aca="false">'Расчет Кплотн'!J82</f>
        <v>2</v>
      </c>
      <c r="H82" s="23" t="n">
        <f aca="false">E82*$F$3*L82*F82/1000</f>
        <v>731160.37248</v>
      </c>
      <c r="I82" s="23" t="n">
        <f aca="false">E82*$F$3*L82*G82/1000</f>
        <v>731160.37248</v>
      </c>
      <c r="J82" s="23" t="n">
        <f aca="false">I82-H82</f>
        <v>0</v>
      </c>
      <c r="K82" s="24" t="n">
        <f aca="false">IFERROR(J82/H82,0)</f>
        <v>0</v>
      </c>
      <c r="L82" s="25" t="n">
        <f aca="false">IF(D82="район",IFERROR(VLOOKUP(B82,'БКПН (приказ 170)'!$A$4:$C$10,3,FALSE()),$F$2),$F$2)</f>
        <v>2171.11</v>
      </c>
    </row>
    <row r="83" customFormat="false" ht="15" hidden="false" customHeight="false" outlineLevel="0" collapsed="false">
      <c r="A83" s="20" t="s">
        <v>125</v>
      </c>
      <c r="B83" s="20" t="s">
        <v>13</v>
      </c>
      <c r="C83" s="20" t="str">
        <f aca="false">'Расчет Кплотн'!C83</f>
        <v>Теректинский район</v>
      </c>
      <c r="D83" s="20" t="str">
        <f aca="false">'Расчет Кплотн'!D83</f>
        <v>район</v>
      </c>
      <c r="E83" s="21" t="n">
        <f aca="false">SUMIFS('РПН 01.08 по МО'!$D:$D,'РПН 01.08 по МО'!$E:$E,A83)</f>
        <v>33641</v>
      </c>
      <c r="F83" s="22" t="n">
        <f aca="false">'Расчет Кплотн'!K83</f>
        <v>1.4162</v>
      </c>
      <c r="G83" s="22" t="n">
        <f aca="false">'Расчет Кплотн'!J83</f>
        <v>2</v>
      </c>
      <c r="H83" s="23" t="n">
        <f aca="false">E83*$F$3*L83*F83/1000</f>
        <v>1241242.28112554</v>
      </c>
      <c r="I83" s="23" t="n">
        <f aca="false">E83*$F$3*L83*G83/1000</f>
        <v>1752919.47624</v>
      </c>
      <c r="J83" s="23" t="n">
        <f aca="false">I83-H83</f>
        <v>511677.195114456</v>
      </c>
      <c r="K83" s="24" t="n">
        <f aca="false">IFERROR(J83/H83,0)</f>
        <v>0.412229911029516</v>
      </c>
      <c r="L83" s="25" t="n">
        <f aca="false">IF(D83="район",IFERROR(VLOOKUP(B83,'БКПН (приказ 170)'!$A$4:$C$10,3,FALSE()),$F$2),$F$2)</f>
        <v>2171.11</v>
      </c>
    </row>
    <row r="84" customFormat="false" ht="15" hidden="false" customHeight="false" outlineLevel="0" collapsed="false">
      <c r="A84" s="20" t="s">
        <v>126</v>
      </c>
      <c r="B84" s="20" t="s">
        <v>13</v>
      </c>
      <c r="C84" s="20" t="str">
        <f aca="false">'Расчет Кплотн'!C84</f>
        <v>Чингирлауский район</v>
      </c>
      <c r="D84" s="20" t="str">
        <f aca="false">'Расчет Кплотн'!D84</f>
        <v>район</v>
      </c>
      <c r="E84" s="21" t="n">
        <f aca="false">SUMIFS('РПН 01.08 по МО'!$D:$D,'РПН 01.08 по МО'!$E:$E,A84)</f>
        <v>11146</v>
      </c>
      <c r="F84" s="22" t="n">
        <f aca="false">'Расчет Кплотн'!K84</f>
        <v>2</v>
      </c>
      <c r="G84" s="22" t="n">
        <f aca="false">'Расчет Кплотн'!J84</f>
        <v>2</v>
      </c>
      <c r="H84" s="23" t="n">
        <f aca="false">E84*$F$3*L84*F84/1000</f>
        <v>580780.60944</v>
      </c>
      <c r="I84" s="23" t="n">
        <f aca="false">E84*$F$3*L84*G84/1000</f>
        <v>580780.60944</v>
      </c>
      <c r="J84" s="23" t="n">
        <f aca="false">I84-H84</f>
        <v>0</v>
      </c>
      <c r="K84" s="24" t="n">
        <f aca="false">IFERROR(J84/H84,0)</f>
        <v>0</v>
      </c>
      <c r="L84" s="25" t="n">
        <f aca="false">IF(D84="район",IFERROR(VLOOKUP(B84,'БКПН (приказ 170)'!$A$4:$C$10,3,FALSE()),$F$2),$F$2)</f>
        <v>2171.11</v>
      </c>
    </row>
    <row r="85" customFormat="false" ht="15" hidden="false" customHeight="false" outlineLevel="0" collapsed="false">
      <c r="A85" s="20" t="s">
        <v>127</v>
      </c>
      <c r="B85" s="20" t="s">
        <v>12</v>
      </c>
      <c r="C85" s="20" t="str">
        <f aca="false">'Расчет Кплотн'!C85</f>
        <v>Тараз</v>
      </c>
      <c r="D85" s="20" t="str">
        <f aca="false">'Расчет Кплотн'!D85</f>
        <v>областной центр</v>
      </c>
      <c r="E85" s="21" t="n">
        <f aca="false">SUMIFS('РПН 01.08 по МО'!$D:$D,'РПН 01.08 по МО'!$E:$E,A85)</f>
        <v>523513</v>
      </c>
      <c r="F85" s="22" t="n">
        <f aca="false">'Расчет Кплотн'!K85</f>
        <v>1</v>
      </c>
      <c r="G85" s="22" t="n">
        <f aca="false">'Расчет Кплотн'!J85</f>
        <v>1</v>
      </c>
      <c r="H85" s="23" t="n">
        <f aca="false">E85*$F$3*L85*F85/1000</f>
        <v>10592782.98252</v>
      </c>
      <c r="I85" s="23" t="n">
        <f aca="false">E85*$F$3*L85*G85/1000</f>
        <v>10592782.98252</v>
      </c>
      <c r="J85" s="23" t="n">
        <f aca="false">I85-H85</f>
        <v>0</v>
      </c>
      <c r="K85" s="24" t="n">
        <f aca="false">IFERROR(J85/H85,0)</f>
        <v>0</v>
      </c>
      <c r="L85" s="25" t="n">
        <f aca="false">IF(D85="район",IFERROR(VLOOKUP(B85,'БКПН (приказ 170)'!$A$4:$C$10,3,FALSE()),$F$2),$F$2)</f>
        <v>1686.17</v>
      </c>
    </row>
    <row r="86" customFormat="false" ht="15" hidden="false" customHeight="false" outlineLevel="0" collapsed="false">
      <c r="A86" s="20" t="s">
        <v>128</v>
      </c>
      <c r="B86" s="20" t="s">
        <v>12</v>
      </c>
      <c r="C86" s="20" t="str">
        <f aca="false">'Расчет Кплотн'!C86</f>
        <v>Байзакский район</v>
      </c>
      <c r="D86" s="20" t="str">
        <f aca="false">'Расчет Кплотн'!D86</f>
        <v>район</v>
      </c>
      <c r="E86" s="21" t="n">
        <f aca="false">SUMIFS('РПН 01.08 по МО'!$D:$D,'РПН 01.08 по МО'!$E:$E,A86)</f>
        <v>83832</v>
      </c>
      <c r="F86" s="22" t="n">
        <f aca="false">'Расчет Кплотн'!K86</f>
        <v>1.0874</v>
      </c>
      <c r="G86" s="22" t="n">
        <f aca="false">'Расчет Кплотн'!J86</f>
        <v>1.2754</v>
      </c>
      <c r="H86" s="23" t="n">
        <f aca="false">E86*$F$3*L86*F86/1000</f>
        <v>1844513.16888787</v>
      </c>
      <c r="I86" s="23" t="n">
        <f aca="false">E86*$F$3*L86*G86/1000</f>
        <v>2163410.05664851</v>
      </c>
      <c r="J86" s="23" t="n">
        <f aca="false">I86-H86</f>
        <v>318896.88776064</v>
      </c>
      <c r="K86" s="24" t="n">
        <f aca="false">IFERROR(J86/H86,0)</f>
        <v>0.172889461099871</v>
      </c>
      <c r="L86" s="25" t="n">
        <f aca="false">IF(D86="район",IFERROR(VLOOKUP(B86,'БКПН (приказ 170)'!$A$4:$C$10,3,FALSE()),$F$2),$F$2)</f>
        <v>1686.17</v>
      </c>
    </row>
    <row r="87" customFormat="false" ht="15" hidden="false" customHeight="false" outlineLevel="0" collapsed="false">
      <c r="A87" s="20" t="s">
        <v>129</v>
      </c>
      <c r="B87" s="20" t="s">
        <v>12</v>
      </c>
      <c r="C87" s="20" t="str">
        <f aca="false">'Расчет Кплотн'!C87</f>
        <v>Жамбылский район</v>
      </c>
      <c r="D87" s="20" t="str">
        <f aca="false">'Расчет Кплотн'!D87</f>
        <v>район</v>
      </c>
      <c r="E87" s="21" t="n">
        <f aca="false">SUMIFS('РПН 01.08 по МО'!$D:$D,'РПН 01.08 по МО'!$E:$E,A87)</f>
        <v>48261</v>
      </c>
      <c r="F87" s="22" t="n">
        <f aca="false">'Расчет Кплотн'!K87</f>
        <v>1.1006</v>
      </c>
      <c r="G87" s="22" t="n">
        <f aca="false">'Расчет Кплотн'!J87</f>
        <v>1.4641</v>
      </c>
      <c r="H87" s="23" t="n">
        <f aca="false">E87*$F$3*L87*F87/1000</f>
        <v>1074752.41388666</v>
      </c>
      <c r="I87" s="23" t="n">
        <f aca="false">E87*$F$3*L87*G87/1000</f>
        <v>1429715.6180006</v>
      </c>
      <c r="J87" s="23" t="n">
        <f aca="false">I87-H87</f>
        <v>354963.20411394</v>
      </c>
      <c r="K87" s="24" t="n">
        <f aca="false">IFERROR(J87/H87,0)</f>
        <v>0.330274395784118</v>
      </c>
      <c r="L87" s="25" t="n">
        <f aca="false">IF(D87="район",IFERROR(VLOOKUP(B87,'БКПН (приказ 170)'!$A$4:$C$10,3,FALSE()),$F$2),$F$2)</f>
        <v>1686.17</v>
      </c>
    </row>
    <row r="88" customFormat="false" ht="15" hidden="false" customHeight="false" outlineLevel="0" collapsed="false">
      <c r="A88" s="20" t="s">
        <v>130</v>
      </c>
      <c r="B88" s="20" t="s">
        <v>12</v>
      </c>
      <c r="C88" s="20" t="str">
        <f aca="false">'Расчет Кплотн'!C88</f>
        <v>Жуалынский район</v>
      </c>
      <c r="D88" s="20" t="str">
        <f aca="false">'Расчет Кплотн'!D88</f>
        <v>район</v>
      </c>
      <c r="E88" s="21" t="n">
        <f aca="false">SUMIFS('РПН 01.08 по МО'!$D:$D,'РПН 01.08 по МО'!$E:$E,A88)</f>
        <v>42669</v>
      </c>
      <c r="F88" s="22" t="n">
        <f aca="false">'Расчет Кплотн'!K88</f>
        <v>1.1545</v>
      </c>
      <c r="G88" s="22" t="n">
        <f aca="false">'Расчет Кплотн'!J88</f>
        <v>1.4935</v>
      </c>
      <c r="H88" s="23" t="n">
        <f aca="false">E88*$F$3*L88*F88/1000</f>
        <v>996756.33881142</v>
      </c>
      <c r="I88" s="23" t="n">
        <f aca="false">E88*$F$3*L88*G88/1000</f>
        <v>1289437.49849706</v>
      </c>
      <c r="J88" s="23" t="n">
        <f aca="false">I88-H88</f>
        <v>292681.15968564</v>
      </c>
      <c r="K88" s="24" t="n">
        <f aca="false">IFERROR(J88/H88,0)</f>
        <v>0.293633607622347</v>
      </c>
      <c r="L88" s="25" t="n">
        <f aca="false">IF(D88="район",IFERROR(VLOOKUP(B88,'БКПН (приказ 170)'!$A$4:$C$10,3,FALSE()),$F$2),$F$2)</f>
        <v>1686.17</v>
      </c>
    </row>
    <row r="89" customFormat="false" ht="15" hidden="false" customHeight="false" outlineLevel="0" collapsed="false">
      <c r="A89" s="20" t="s">
        <v>131</v>
      </c>
      <c r="B89" s="20" t="s">
        <v>12</v>
      </c>
      <c r="C89" s="20" t="str">
        <f aca="false">'Расчет Кплотн'!C89</f>
        <v>Кордайский район</v>
      </c>
      <c r="D89" s="20" t="str">
        <f aca="false">'Расчет Кплотн'!D89</f>
        <v>район</v>
      </c>
      <c r="E89" s="21" t="n">
        <f aca="false">SUMIFS('РПН 01.08 по МО'!$D:$D,'РПН 01.08 по МО'!$E:$E,A89)</f>
        <v>143306</v>
      </c>
      <c r="F89" s="22" t="n">
        <f aca="false">'Расчет Кплотн'!K89</f>
        <v>1.1166</v>
      </c>
      <c r="G89" s="22" t="n">
        <f aca="false">'Расчет Кплотн'!J89</f>
        <v>1.3228</v>
      </c>
      <c r="H89" s="23" t="n">
        <f aca="false">E89*$F$3*L89*F89/1000</f>
        <v>3237759.61484558</v>
      </c>
      <c r="I89" s="23" t="n">
        <f aca="false">E89*$F$3*L89*G89/1000</f>
        <v>3835669.36997827</v>
      </c>
      <c r="J89" s="23" t="n">
        <f aca="false">I89-H89</f>
        <v>597909.755132688</v>
      </c>
      <c r="K89" s="24" t="n">
        <f aca="false">IFERROR(J89/H89,0)</f>
        <v>0.184667741357693</v>
      </c>
      <c r="L89" s="25" t="n">
        <f aca="false">IF(D89="район",IFERROR(VLOOKUP(B89,'БКПН (приказ 170)'!$A$4:$C$10,3,FALSE()),$F$2),$F$2)</f>
        <v>1686.17</v>
      </c>
    </row>
    <row r="90" customFormat="false" ht="15" hidden="false" customHeight="false" outlineLevel="0" collapsed="false">
      <c r="A90" s="20" t="s">
        <v>132</v>
      </c>
      <c r="B90" s="20" t="s">
        <v>12</v>
      </c>
      <c r="C90" s="20" t="str">
        <f aca="false">'Расчет Кплотн'!C90</f>
        <v>район Турара Рыскулова</v>
      </c>
      <c r="D90" s="20" t="str">
        <f aca="false">'Расчет Кплотн'!D90</f>
        <v>район</v>
      </c>
      <c r="E90" s="21" t="n">
        <f aca="false">SUMIFS('РПН 01.08 по МО'!$D:$D,'РПН 01.08 по МО'!$E:$E,A90)</f>
        <v>57720</v>
      </c>
      <c r="F90" s="22" t="n">
        <f aca="false">'Расчет Кплотн'!K90</f>
        <v>1.2769</v>
      </c>
      <c r="G90" s="22" t="n">
        <f aca="false">'Расчет Кплотн'!J90</f>
        <v>1.8066</v>
      </c>
      <c r="H90" s="23" t="n">
        <f aca="false">E90*$F$3*L90*F90/1000</f>
        <v>1491302.73241872</v>
      </c>
      <c r="I90" s="23" t="n">
        <f aca="false">E90*$F$3*L90*G90/1000</f>
        <v>2109944.01784608</v>
      </c>
      <c r="J90" s="23" t="n">
        <f aca="false">I90-H90</f>
        <v>618641.28542736</v>
      </c>
      <c r="K90" s="24" t="n">
        <f aca="false">IFERROR(J90/H90,0)</f>
        <v>0.4148327981831</v>
      </c>
      <c r="L90" s="25" t="n">
        <f aca="false">IF(D90="район",IFERROR(VLOOKUP(B90,'БКПН (приказ 170)'!$A$4:$C$10,3,FALSE()),$F$2),$F$2)</f>
        <v>1686.17</v>
      </c>
    </row>
    <row r="91" customFormat="false" ht="15" hidden="false" customHeight="false" outlineLevel="0" collapsed="false">
      <c r="A91" s="20" t="s">
        <v>133</v>
      </c>
      <c r="B91" s="20" t="s">
        <v>12</v>
      </c>
      <c r="C91" s="20" t="str">
        <f aca="false">'Расчет Кплотн'!C91</f>
        <v>Меркенский район</v>
      </c>
      <c r="D91" s="20" t="str">
        <f aca="false">'Расчет Кплотн'!D91</f>
        <v>район</v>
      </c>
      <c r="E91" s="21" t="n">
        <f aca="false">SUMIFS('РПН 01.08 по МО'!$D:$D,'РПН 01.08 по МО'!$E:$E,A91)</f>
        <v>80597</v>
      </c>
      <c r="F91" s="22" t="n">
        <f aca="false">'Расчет Кплотн'!K91</f>
        <v>1.1646</v>
      </c>
      <c r="G91" s="22" t="n">
        <f aca="false">'Расчет Кплотн'!J91</f>
        <v>1.4527</v>
      </c>
      <c r="H91" s="23" t="n">
        <f aca="false">E91*$F$3*L91*F91/1000</f>
        <v>1899233.08282145</v>
      </c>
      <c r="I91" s="23" t="n">
        <f aca="false">E91*$F$3*L91*G91/1000</f>
        <v>2369067.40461508</v>
      </c>
      <c r="J91" s="23" t="n">
        <f aca="false">I91-H91</f>
        <v>469834.321793628</v>
      </c>
      <c r="K91" s="24" t="n">
        <f aca="false">IFERROR(J91/H91,0)</f>
        <v>0.247381075047227</v>
      </c>
      <c r="L91" s="25" t="n">
        <f aca="false">IF(D91="район",IFERROR(VLOOKUP(B91,'БКПН (приказ 170)'!$A$4:$C$10,3,FALSE()),$F$2),$F$2)</f>
        <v>1686.17</v>
      </c>
    </row>
    <row r="92" customFormat="false" ht="15" hidden="false" customHeight="false" outlineLevel="0" collapsed="false">
      <c r="A92" s="20" t="s">
        <v>134</v>
      </c>
      <c r="B92" s="20" t="s">
        <v>12</v>
      </c>
      <c r="C92" s="20" t="str">
        <f aca="false">'Расчет Кплотн'!C92</f>
        <v>Мойынкумский район</v>
      </c>
      <c r="D92" s="20" t="str">
        <f aca="false">'Расчет Кплотн'!D92</f>
        <v>район</v>
      </c>
      <c r="E92" s="21" t="n">
        <f aca="false">SUMIFS('РПН 01.08 по МО'!$D:$D,'РПН 01.08 по МО'!$E:$E,A92)</f>
        <v>23776</v>
      </c>
      <c r="F92" s="22" t="n">
        <f aca="false">'Расчет Кплотн'!K92</f>
        <v>2</v>
      </c>
      <c r="G92" s="22" t="n">
        <f aca="false">'Расчет Кплотн'!J92</f>
        <v>2</v>
      </c>
      <c r="H92" s="23" t="n">
        <f aca="false">E92*$F$3*L92*F92/1000</f>
        <v>962169.07008</v>
      </c>
      <c r="I92" s="23" t="n">
        <f aca="false">E92*$F$3*L92*G92/1000</f>
        <v>962169.07008</v>
      </c>
      <c r="J92" s="23" t="n">
        <f aca="false">I92-H92</f>
        <v>0</v>
      </c>
      <c r="K92" s="24" t="n">
        <f aca="false">IFERROR(J92/H92,0)</f>
        <v>0</v>
      </c>
      <c r="L92" s="25" t="n">
        <f aca="false">IF(D92="район",IFERROR(VLOOKUP(B92,'БКПН (приказ 170)'!$A$4:$C$10,3,FALSE()),$F$2),$F$2)</f>
        <v>1686.17</v>
      </c>
    </row>
    <row r="93" customFormat="false" ht="15" hidden="false" customHeight="false" outlineLevel="0" collapsed="false">
      <c r="A93" s="20" t="s">
        <v>135</v>
      </c>
      <c r="B93" s="20" t="s">
        <v>12</v>
      </c>
      <c r="C93" s="20" t="str">
        <f aca="false">'Расчет Кплотн'!C93</f>
        <v>Сарысуский район</v>
      </c>
      <c r="D93" s="20" t="str">
        <f aca="false">'Расчет Кплотн'!D93</f>
        <v>район</v>
      </c>
      <c r="E93" s="21" t="n">
        <f aca="false">SUMIFS('РПН 01.08 по МО'!$D:$D,'РПН 01.08 по МО'!$E:$E,A93)</f>
        <v>37151</v>
      </c>
      <c r="F93" s="22" t="n">
        <f aca="false">'Расчет Кплотн'!K93</f>
        <v>2</v>
      </c>
      <c r="G93" s="22" t="n">
        <f aca="false">'Расчет Кплотн'!J93</f>
        <v>2</v>
      </c>
      <c r="H93" s="23" t="n">
        <f aca="false">E93*$F$3*L93*F93/1000</f>
        <v>1503429.64008</v>
      </c>
      <c r="I93" s="23" t="n">
        <f aca="false">E93*$F$3*L93*G93/1000</f>
        <v>1503429.64008</v>
      </c>
      <c r="J93" s="23" t="n">
        <f aca="false">I93-H93</f>
        <v>0</v>
      </c>
      <c r="K93" s="24" t="n">
        <f aca="false">IFERROR(J93/H93,0)</f>
        <v>0</v>
      </c>
      <c r="L93" s="25" t="n">
        <f aca="false">IF(D93="район",IFERROR(VLOOKUP(B93,'БКПН (приказ 170)'!$A$4:$C$10,3,FALSE()),$F$2),$F$2)</f>
        <v>1686.17</v>
      </c>
    </row>
    <row r="94" customFormat="false" ht="15" hidden="false" customHeight="false" outlineLevel="0" collapsed="false">
      <c r="A94" s="20" t="s">
        <v>136</v>
      </c>
      <c r="B94" s="20" t="s">
        <v>12</v>
      </c>
      <c r="C94" s="20" t="str">
        <f aca="false">'Расчет Кплотн'!C94</f>
        <v>Таласский район</v>
      </c>
      <c r="D94" s="20" t="str">
        <f aca="false">'Расчет Кплотн'!D94</f>
        <v>район</v>
      </c>
      <c r="E94" s="21" t="n">
        <f aca="false">SUMIFS('РПН 01.08 по МО'!$D:$D,'РПН 01.08 по МО'!$E:$E,A94)</f>
        <v>38468</v>
      </c>
      <c r="F94" s="22" t="n">
        <f aca="false">'Расчет Кплотн'!K94</f>
        <v>1.5121</v>
      </c>
      <c r="G94" s="22" t="n">
        <f aca="false">'Расчет Кплотн'!J94</f>
        <v>2</v>
      </c>
      <c r="H94" s="23" t="n">
        <f aca="false">E94*$F$3*L94*F94/1000</f>
        <v>1176962.76899371</v>
      </c>
      <c r="I94" s="23" t="n">
        <f aca="false">E94*$F$3*L94*G94/1000</f>
        <v>1556726.10144</v>
      </c>
      <c r="J94" s="23" t="n">
        <f aca="false">I94-H94</f>
        <v>379763.332446288</v>
      </c>
      <c r="K94" s="24" t="n">
        <f aca="false">IFERROR(J94/H94,0)</f>
        <v>0.322663844983797</v>
      </c>
      <c r="L94" s="25" t="n">
        <f aca="false">IF(D94="район",IFERROR(VLOOKUP(B94,'БКПН (приказ 170)'!$A$4:$C$10,3,FALSE()),$F$2),$F$2)</f>
        <v>1686.17</v>
      </c>
    </row>
    <row r="95" customFormat="false" ht="15" hidden="false" customHeight="false" outlineLevel="0" collapsed="false">
      <c r="A95" s="20" t="s">
        <v>137</v>
      </c>
      <c r="B95" s="20" t="s">
        <v>12</v>
      </c>
      <c r="C95" s="20" t="str">
        <f aca="false">'Расчет Кплотн'!C95</f>
        <v>Шуский район</v>
      </c>
      <c r="D95" s="20" t="str">
        <f aca="false">'Расчет Кплотн'!D95</f>
        <v>район</v>
      </c>
      <c r="E95" s="21" t="n">
        <f aca="false">SUMIFS('РПН 01.08 по МО'!$D:$D,'РПН 01.08 по МО'!$E:$E,A95)</f>
        <v>95192</v>
      </c>
      <c r="F95" s="22" t="n">
        <f aca="false">'Расчет Кплотн'!K95</f>
        <v>1.2319</v>
      </c>
      <c r="G95" s="22" t="n">
        <f aca="false">'Расчет Кплотн'!J95</f>
        <v>1.6507</v>
      </c>
      <c r="H95" s="23" t="n">
        <f aca="false">E95*$F$3*L95*F95/1000</f>
        <v>2372785.67048419</v>
      </c>
      <c r="I95" s="23" t="n">
        <f aca="false">E95*$F$3*L95*G95/1000</f>
        <v>3179444.19698698</v>
      </c>
      <c r="J95" s="23" t="n">
        <f aca="false">I95-H95</f>
        <v>806658.526502784</v>
      </c>
      <c r="K95" s="24" t="n">
        <f aca="false">IFERROR(J95/H95,0)</f>
        <v>0.339962659306762</v>
      </c>
      <c r="L95" s="25" t="n">
        <f aca="false">IF(D95="район",IFERROR(VLOOKUP(B95,'БКПН (приказ 170)'!$A$4:$C$10,3,FALSE()),$F$2),$F$2)</f>
        <v>1686.17</v>
      </c>
    </row>
    <row r="96" customFormat="false" ht="15" hidden="false" customHeight="false" outlineLevel="0" collapsed="false">
      <c r="A96" s="20" t="s">
        <v>138</v>
      </c>
      <c r="B96" s="20" t="s">
        <v>22</v>
      </c>
      <c r="C96" s="20" t="str">
        <f aca="false">'Расчет Кплотн'!C96</f>
        <v>Талдыкорган</v>
      </c>
      <c r="D96" s="20" t="str">
        <f aca="false">'Расчет Кплотн'!D96</f>
        <v>областной центр</v>
      </c>
      <c r="E96" s="21" t="n">
        <f aca="false">SUMIFS('РПН 01.08 по МО'!$D:$D,'РПН 01.08 по МО'!$E:$E,A96)</f>
        <v>204964</v>
      </c>
      <c r="F96" s="22" t="n">
        <f aca="false">'Расчет Кплотн'!K96</f>
        <v>1</v>
      </c>
      <c r="G96" s="22" t="n">
        <f aca="false">'Расчет Кплотн'!J96</f>
        <v>1</v>
      </c>
      <c r="H96" s="23" t="n">
        <f aca="false">E96*$F$3*L96*F96/1000</f>
        <v>4147249.77456</v>
      </c>
      <c r="I96" s="23" t="n">
        <f aca="false">E96*$F$3*L96*G96/1000</f>
        <v>4147249.77456</v>
      </c>
      <c r="J96" s="23" t="n">
        <f aca="false">I96-H96</f>
        <v>0</v>
      </c>
      <c r="K96" s="24" t="n">
        <f aca="false">IFERROR(J96/H96,0)</f>
        <v>0</v>
      </c>
      <c r="L96" s="25" t="n">
        <f aca="false">IF(D96="район",IFERROR(VLOOKUP(B96,'БКПН (приказ 170)'!$A$4:$C$10,3,FALSE()),$F$2),$F$2)</f>
        <v>1686.17</v>
      </c>
    </row>
    <row r="97" customFormat="false" ht="15" hidden="false" customHeight="false" outlineLevel="0" collapsed="false">
      <c r="A97" s="20" t="s">
        <v>139</v>
      </c>
      <c r="B97" s="20" t="s">
        <v>22</v>
      </c>
      <c r="C97" s="20" t="str">
        <f aca="false">'Расчет Кплотн'!C97</f>
        <v>Текели</v>
      </c>
      <c r="D97" s="20" t="str">
        <f aca="false">'Расчет Кплотн'!D97</f>
        <v>моногород / малый город</v>
      </c>
      <c r="E97" s="21" t="n">
        <f aca="false">SUMIFS('РПН 01.08 по МО'!$D:$D,'РПН 01.08 по МО'!$E:$E,A97)</f>
        <v>27167</v>
      </c>
      <c r="F97" s="22" t="n">
        <f aca="false">'Расчет Кплотн'!K97</f>
        <v>1.5</v>
      </c>
      <c r="G97" s="22" t="n">
        <f aca="false">'Расчет Кплотн'!J97</f>
        <v>1.5</v>
      </c>
      <c r="H97" s="23" t="n">
        <f aca="false">E97*$F$3*L97*F97/1000</f>
        <v>824547.24702</v>
      </c>
      <c r="I97" s="23" t="n">
        <f aca="false">E97*$F$3*L97*G97/1000</f>
        <v>824547.24702</v>
      </c>
      <c r="J97" s="23" t="n">
        <f aca="false">I97-H97</f>
        <v>0</v>
      </c>
      <c r="K97" s="24" t="n">
        <f aca="false">IFERROR(J97/H97,0)</f>
        <v>0</v>
      </c>
      <c r="L97" s="25" t="n">
        <f aca="false">IF(D97="район",IFERROR(VLOOKUP(B97,'БКПН (приказ 170)'!$A$4:$C$10,3,FALSE()),$F$2),$F$2)</f>
        <v>1686.17</v>
      </c>
    </row>
    <row r="98" customFormat="false" ht="15" hidden="false" customHeight="false" outlineLevel="0" collapsed="false">
      <c r="A98" s="20" t="s">
        <v>140</v>
      </c>
      <c r="B98" s="20" t="s">
        <v>22</v>
      </c>
      <c r="C98" s="20" t="str">
        <f aca="false">'Расчет Кплотн'!C98</f>
        <v>Аксуский район</v>
      </c>
      <c r="D98" s="20" t="str">
        <f aca="false">'Расчет Кплотн'!D98</f>
        <v>район</v>
      </c>
      <c r="E98" s="21" t="n">
        <f aca="false">SUMIFS('РПН 01.08 по МО'!$D:$D,'РПН 01.08 по МО'!$E:$E,A98)</f>
        <v>31467</v>
      </c>
      <c r="F98" s="22" t="n">
        <f aca="false">'Расчет Кплотн'!K98</f>
        <v>1.6968</v>
      </c>
      <c r="G98" s="22" t="n">
        <f aca="false">'Расчет Кплотн'!J98</f>
        <v>2</v>
      </c>
      <c r="H98" s="23" t="n">
        <f aca="false">E98*$F$3*L98*F98/1000</f>
        <v>1080360.25783862</v>
      </c>
      <c r="I98" s="23" t="n">
        <f aca="false">E98*$F$3*L98*G98/1000</f>
        <v>1273409.07336</v>
      </c>
      <c r="J98" s="23" t="n">
        <f aca="false">I98-H98</f>
        <v>193048.815521376</v>
      </c>
      <c r="K98" s="24" t="n">
        <f aca="false">IFERROR(J98/H98,0)</f>
        <v>0.178689297501178</v>
      </c>
      <c r="L98" s="25" t="n">
        <f aca="false">IF(D98="район",IFERROR(VLOOKUP(B98,'БКПН (приказ 170)'!$A$4:$C$10,3,FALSE()),$F$2),$F$2)</f>
        <v>1686.17</v>
      </c>
    </row>
    <row r="99" customFormat="false" ht="15" hidden="false" customHeight="false" outlineLevel="0" collapsed="false">
      <c r="A99" s="20" t="s">
        <v>141</v>
      </c>
      <c r="B99" s="20" t="s">
        <v>22</v>
      </c>
      <c r="C99" s="20" t="str">
        <f aca="false">'Расчет Кплотн'!C99</f>
        <v>Алакольский район</v>
      </c>
      <c r="D99" s="20" t="str">
        <f aca="false">'Расчет Кплотн'!D99</f>
        <v>район</v>
      </c>
      <c r="E99" s="21" t="n">
        <f aca="false">SUMIFS('РПН 01.08 по МО'!$D:$D,'РПН 01.08 по МО'!$E:$E,A99)</f>
        <v>62774</v>
      </c>
      <c r="F99" s="22" t="n">
        <f aca="false">'Расчет Кплотн'!K99</f>
        <v>1.649</v>
      </c>
      <c r="G99" s="22" t="n">
        <f aca="false">'Расчет Кплотн'!J99</f>
        <v>2</v>
      </c>
      <c r="H99" s="23" t="n">
        <f aca="false">E99*$F$3*L99*F99/1000</f>
        <v>2094513.01285704</v>
      </c>
      <c r="I99" s="23" t="n">
        <f aca="false">E99*$F$3*L99*G99/1000</f>
        <v>2540343.25392</v>
      </c>
      <c r="J99" s="23" t="n">
        <f aca="false">I99-H99</f>
        <v>445830.24106296</v>
      </c>
      <c r="K99" s="24" t="n">
        <f aca="false">IFERROR(J99/H99,0)</f>
        <v>0.212856276531231</v>
      </c>
      <c r="L99" s="25" t="n">
        <f aca="false">IF(D99="район",IFERROR(VLOOKUP(B99,'БКПН (приказ 170)'!$A$4:$C$10,3,FALSE()),$F$2),$F$2)</f>
        <v>1686.17</v>
      </c>
    </row>
    <row r="100" customFormat="false" ht="15" hidden="false" customHeight="false" outlineLevel="0" collapsed="false">
      <c r="A100" s="20" t="s">
        <v>142</v>
      </c>
      <c r="B100" s="20" t="s">
        <v>22</v>
      </c>
      <c r="C100" s="20" t="str">
        <f aca="false">'Расчет Кплотн'!C100</f>
        <v>Ескельдинский район</v>
      </c>
      <c r="D100" s="20" t="str">
        <f aca="false">'Расчет Кплотн'!D100</f>
        <v>район</v>
      </c>
      <c r="E100" s="21" t="n">
        <f aca="false">SUMIFS('РПН 01.08 по МО'!$D:$D,'РПН 01.08 по МО'!$E:$E,A100)</f>
        <v>48305</v>
      </c>
      <c r="F100" s="22" t="n">
        <f aca="false">'Расчет Кплотн'!K100</f>
        <v>1.1572</v>
      </c>
      <c r="G100" s="22" t="n">
        <f aca="false">'Расчет Кплотн'!J100</f>
        <v>1.4211</v>
      </c>
      <c r="H100" s="23" t="n">
        <f aca="false">E100*$F$3*L100*F100/1000</f>
        <v>1131053.41570584</v>
      </c>
      <c r="I100" s="23" t="n">
        <f aca="false">E100*$F$3*L100*G100/1000</f>
        <v>1388990.67495642</v>
      </c>
      <c r="J100" s="23" t="n">
        <f aca="false">I100-H100</f>
        <v>257937.25925058</v>
      </c>
      <c r="K100" s="24" t="n">
        <f aca="false">IFERROR(J100/H100,0)</f>
        <v>0.228050466643623</v>
      </c>
      <c r="L100" s="25" t="n">
        <f aca="false">IF(D100="район",IFERROR(VLOOKUP(B100,'БКПН (приказ 170)'!$A$4:$C$10,3,FALSE()),$F$2),$F$2)</f>
        <v>1686.17</v>
      </c>
    </row>
    <row r="101" customFormat="false" ht="15" hidden="false" customHeight="false" outlineLevel="0" collapsed="false">
      <c r="A101" s="20" t="s">
        <v>143</v>
      </c>
      <c r="B101" s="20" t="s">
        <v>22</v>
      </c>
      <c r="C101" s="20" t="str">
        <f aca="false">'Расчет Кплотн'!C101</f>
        <v>Кербулакский район</v>
      </c>
      <c r="D101" s="20" t="str">
        <f aca="false">'Расчет Кплотн'!D101</f>
        <v>район</v>
      </c>
      <c r="E101" s="21" t="n">
        <f aca="false">SUMIFS('РПН 01.08 по МО'!$D:$D,'РПН 01.08 по МО'!$E:$E,A101)</f>
        <v>37265</v>
      </c>
      <c r="F101" s="22" t="n">
        <f aca="false">'Расчет Кплотн'!K101</f>
        <v>1.5318</v>
      </c>
      <c r="G101" s="22" t="n">
        <f aca="false">'Расчет Кплотн'!J101</f>
        <v>2</v>
      </c>
      <c r="H101" s="23" t="n">
        <f aca="false">E101*$F$3*L101*F101/1000</f>
        <v>1155010.13461908</v>
      </c>
      <c r="I101" s="23" t="n">
        <f aca="false">E101*$F$3*L101*G101/1000</f>
        <v>1508043.0012</v>
      </c>
      <c r="J101" s="23" t="n">
        <f aca="false">I101-H101</f>
        <v>353032.86658092</v>
      </c>
      <c r="K101" s="24" t="n">
        <f aca="false">IFERROR(J101/H101,0)</f>
        <v>0.305653479566523</v>
      </c>
      <c r="L101" s="25" t="n">
        <f aca="false">IF(D101="район",IFERROR(VLOOKUP(B101,'БКПН (приказ 170)'!$A$4:$C$10,3,FALSE()),$F$2),$F$2)</f>
        <v>1686.17</v>
      </c>
    </row>
    <row r="102" customFormat="false" ht="15" hidden="false" customHeight="false" outlineLevel="0" collapsed="false">
      <c r="A102" s="20" t="s">
        <v>144</v>
      </c>
      <c r="B102" s="20" t="s">
        <v>22</v>
      </c>
      <c r="C102" s="20" t="str">
        <f aca="false">'Расчет Кплотн'!C102</f>
        <v>Коксуский район</v>
      </c>
      <c r="D102" s="20" t="str">
        <f aca="false">'Расчет Кплотн'!D102</f>
        <v>район</v>
      </c>
      <c r="E102" s="21" t="n">
        <f aca="false">SUMIFS('РПН 01.08 по МО'!$D:$D,'РПН 01.08 по МО'!$E:$E,A102)</f>
        <v>38910</v>
      </c>
      <c r="F102" s="22" t="n">
        <f aca="false">'Расчет Кплотн'!K102</f>
        <v>1.3462</v>
      </c>
      <c r="G102" s="22" t="n">
        <f aca="false">'Расчет Кплотн'!J102</f>
        <v>1.9311</v>
      </c>
      <c r="H102" s="23" t="n">
        <f aca="false">E102*$F$3*L102*F102/1000</f>
        <v>1059872.00545368</v>
      </c>
      <c r="I102" s="23" t="n">
        <f aca="false">E102*$F$3*L102*G102/1000</f>
        <v>1520367.57519804</v>
      </c>
      <c r="J102" s="23" t="n">
        <f aca="false">I102-H102</f>
        <v>460495.56974436</v>
      </c>
      <c r="K102" s="24" t="n">
        <f aca="false">IFERROR(J102/H102,0)</f>
        <v>0.434482246322983</v>
      </c>
      <c r="L102" s="25" t="n">
        <f aca="false">IF(D102="район",IFERROR(VLOOKUP(B102,'БКПН (приказ 170)'!$A$4:$C$10,3,FALSE()),$F$2),$F$2)</f>
        <v>1686.17</v>
      </c>
    </row>
    <row r="103" customFormat="false" ht="15" hidden="false" customHeight="false" outlineLevel="0" collapsed="false">
      <c r="A103" s="20" t="s">
        <v>145</v>
      </c>
      <c r="B103" s="20" t="s">
        <v>22</v>
      </c>
      <c r="C103" s="20" t="str">
        <f aca="false">'Расчет Кплотн'!C103</f>
        <v>Каратальский район</v>
      </c>
      <c r="D103" s="20" t="str">
        <f aca="false">'Расчет Кплотн'!D103</f>
        <v>район</v>
      </c>
      <c r="E103" s="21" t="n">
        <f aca="false">SUMIFS('РПН 01.08 по МО'!$D:$D,'РПН 01.08 по МО'!$E:$E,A103)</f>
        <v>39681</v>
      </c>
      <c r="F103" s="22" t="n">
        <f aca="false">'Расчет Кплотн'!K103</f>
        <v>2</v>
      </c>
      <c r="G103" s="22" t="n">
        <f aca="false">'Расчет Кплотн'!J103</f>
        <v>2</v>
      </c>
      <c r="H103" s="23" t="n">
        <f aca="false">E103*$F$3*L103*F103/1000</f>
        <v>1605813.88248</v>
      </c>
      <c r="I103" s="23" t="n">
        <f aca="false">E103*$F$3*L103*G103/1000</f>
        <v>1605813.88248</v>
      </c>
      <c r="J103" s="23" t="n">
        <f aca="false">I103-H103</f>
        <v>0</v>
      </c>
      <c r="K103" s="24" t="n">
        <f aca="false">IFERROR(J103/H103,0)</f>
        <v>0</v>
      </c>
      <c r="L103" s="25" t="n">
        <f aca="false">IF(D103="район",IFERROR(VLOOKUP(B103,'БКПН (приказ 170)'!$A$4:$C$10,3,FALSE()),$F$2),$F$2)</f>
        <v>1686.17</v>
      </c>
    </row>
    <row r="104" customFormat="false" ht="15" hidden="false" customHeight="false" outlineLevel="0" collapsed="false">
      <c r="A104" s="20" t="s">
        <v>146</v>
      </c>
      <c r="B104" s="20" t="s">
        <v>22</v>
      </c>
      <c r="C104" s="20" t="str">
        <f aca="false">'Расчет Кплотн'!C104</f>
        <v>Панфиловский район</v>
      </c>
      <c r="D104" s="20" t="str">
        <f aca="false">'Расчет Кплотн'!D104</f>
        <v>район</v>
      </c>
      <c r="E104" s="21" t="n">
        <f aca="false">SUMIFS('РПН 01.08 по МО'!$D:$D,'РПН 01.08 по МО'!$E:$E,A104)</f>
        <v>128421</v>
      </c>
      <c r="F104" s="22" t="n">
        <f aca="false">'Расчет Кплотн'!K104</f>
        <v>1.1629</v>
      </c>
      <c r="G104" s="22" t="n">
        <f aca="false">'Расчет Кплотн'!J104</f>
        <v>1.4264</v>
      </c>
      <c r="H104" s="23" t="n">
        <f aca="false">E104*$F$3*L104*F104/1000</f>
        <v>3021767.33436184</v>
      </c>
      <c r="I104" s="23" t="n">
        <f aca="false">E104*$F$3*L104*G104/1000</f>
        <v>3706465.66835818</v>
      </c>
      <c r="J104" s="23" t="n">
        <f aca="false">I104-H104</f>
        <v>684698.333996339</v>
      </c>
      <c r="K104" s="24" t="n">
        <f aca="false">IFERROR(J104/H104,0)</f>
        <v>0.226588700662138</v>
      </c>
      <c r="L104" s="25" t="n">
        <f aca="false">IF(D104="район",IFERROR(VLOOKUP(B104,'БКПН (приказ 170)'!$A$4:$C$10,3,FALSE()),$F$2),$F$2)</f>
        <v>1686.17</v>
      </c>
    </row>
    <row r="105" customFormat="false" ht="15" hidden="false" customHeight="false" outlineLevel="0" collapsed="false">
      <c r="A105" s="20" t="s">
        <v>147</v>
      </c>
      <c r="B105" s="20" t="s">
        <v>22</v>
      </c>
      <c r="C105" s="20" t="str">
        <f aca="false">'Расчет Кплотн'!C105</f>
        <v>Сарканский район</v>
      </c>
      <c r="D105" s="20" t="str">
        <f aca="false">'Расчет Кплотн'!D105</f>
        <v>район</v>
      </c>
      <c r="E105" s="21" t="n">
        <f aca="false">SUMIFS('РПН 01.08 по МО'!$D:$D,'РПН 01.08 по МО'!$E:$E,A105)</f>
        <v>34857</v>
      </c>
      <c r="F105" s="22" t="n">
        <f aca="false">'Расчет Кплотн'!K105</f>
        <v>2</v>
      </c>
      <c r="G105" s="22" t="n">
        <f aca="false">'Расчет Кплотн'!J105</f>
        <v>2</v>
      </c>
      <c r="H105" s="23" t="n">
        <f aca="false">E105*$F$3*L105*F105/1000</f>
        <v>1410595.86456</v>
      </c>
      <c r="I105" s="23" t="n">
        <f aca="false">E105*$F$3*L105*G105/1000</f>
        <v>1410595.86456</v>
      </c>
      <c r="J105" s="23" t="n">
        <f aca="false">I105-H105</f>
        <v>0</v>
      </c>
      <c r="K105" s="24" t="n">
        <f aca="false">IFERROR(J105/H105,0)</f>
        <v>0</v>
      </c>
      <c r="L105" s="25" t="n">
        <f aca="false">IF(D105="район",IFERROR(VLOOKUP(B105,'БКПН (приказ 170)'!$A$4:$C$10,3,FALSE()),$F$2),$F$2)</f>
        <v>1686.17</v>
      </c>
    </row>
    <row r="106" customFormat="false" ht="15" hidden="false" customHeight="false" outlineLevel="0" collapsed="false">
      <c r="A106" s="20" t="s">
        <v>148</v>
      </c>
      <c r="B106" s="20" t="s">
        <v>14</v>
      </c>
      <c r="C106" s="20" t="str">
        <f aca="false">'Расчет Кплотн'!C106</f>
        <v>Караганда</v>
      </c>
      <c r="D106" s="20" t="str">
        <f aca="false">'Расчет Кплотн'!D106</f>
        <v>областной центр</v>
      </c>
      <c r="E106" s="21" t="n">
        <f aca="false">SUMIFS('РПН 01.08 по МО'!$D:$D,'РПН 01.08 по МО'!$E:$E,A106)</f>
        <v>615610</v>
      </c>
      <c r="F106" s="22" t="n">
        <f aca="false">'Расчет Кплотн'!K106</f>
        <v>1</v>
      </c>
      <c r="G106" s="22" t="n">
        <f aca="false">'Расчет Кплотн'!J106</f>
        <v>1</v>
      </c>
      <c r="H106" s="23" t="n">
        <f aca="false">E106*$F$3*L106*F106/1000</f>
        <v>12456277.3644</v>
      </c>
      <c r="I106" s="23" t="n">
        <f aca="false">E106*$F$3*L106*G106/1000</f>
        <v>12456277.3644</v>
      </c>
      <c r="J106" s="23" t="n">
        <f aca="false">I106-H106</f>
        <v>0</v>
      </c>
      <c r="K106" s="24" t="n">
        <f aca="false">IFERROR(J106/H106,0)</f>
        <v>0</v>
      </c>
      <c r="L106" s="25" t="n">
        <f aca="false">IF(D106="район",IFERROR(VLOOKUP(B106,'БКПН (приказ 170)'!$A$4:$C$10,3,FALSE()),$F$2),$F$2)</f>
        <v>1686.17</v>
      </c>
    </row>
    <row r="107" customFormat="false" ht="15" hidden="false" customHeight="false" outlineLevel="0" collapsed="false">
      <c r="A107" s="20" t="s">
        <v>149</v>
      </c>
      <c r="B107" s="20" t="s">
        <v>14</v>
      </c>
      <c r="C107" s="20" t="str">
        <f aca="false">'Расчет Кплотн'!C107</f>
        <v>Балхаш</v>
      </c>
      <c r="D107" s="20" t="str">
        <f aca="false">'Расчет Кплотн'!D107</f>
        <v>моногород / малый город</v>
      </c>
      <c r="E107" s="21" t="n">
        <f aca="false">SUMIFS('РПН 01.08 по МО'!$D:$D,'РПН 01.08 по МО'!$E:$E,A107)</f>
        <v>76049</v>
      </c>
      <c r="F107" s="22" t="n">
        <f aca="false">'Расчет Кплотн'!K107</f>
        <v>1.5</v>
      </c>
      <c r="G107" s="22" t="n">
        <f aca="false">'Расчет Кплотн'!J107</f>
        <v>1.5</v>
      </c>
      <c r="H107" s="23" t="n">
        <f aca="false">E107*$F$3*L107*F107/1000</f>
        <v>2308167.76194</v>
      </c>
      <c r="I107" s="23" t="n">
        <f aca="false">E107*$F$3*L107*G107/1000</f>
        <v>2308167.76194</v>
      </c>
      <c r="J107" s="23" t="n">
        <f aca="false">I107-H107</f>
        <v>0</v>
      </c>
      <c r="K107" s="24" t="n">
        <f aca="false">IFERROR(J107/H107,0)</f>
        <v>0</v>
      </c>
      <c r="L107" s="25" t="n">
        <f aca="false">IF(D107="район",IFERROR(VLOOKUP(B107,'БКПН (приказ 170)'!$A$4:$C$10,3,FALSE()),$F$2),$F$2)</f>
        <v>1686.17</v>
      </c>
    </row>
    <row r="108" customFormat="false" ht="15" hidden="false" customHeight="false" outlineLevel="0" collapsed="false">
      <c r="A108" s="20" t="s">
        <v>150</v>
      </c>
      <c r="B108" s="20" t="s">
        <v>14</v>
      </c>
      <c r="C108" s="20" t="str">
        <f aca="false">'Расчет Кплотн'!C108</f>
        <v>Приозерск</v>
      </c>
      <c r="D108" s="20" t="str">
        <f aca="false">'Расчет Кплотн'!D108</f>
        <v>моногород / малый город</v>
      </c>
      <c r="E108" s="21" t="n">
        <f aca="false">SUMIFS('РПН 01.08 по МО'!$D:$D,'РПН 01.08 по МО'!$E:$E,A108)</f>
        <v>14061</v>
      </c>
      <c r="F108" s="22" t="n">
        <f aca="false">'Расчет Кплотн'!K108</f>
        <v>1.5</v>
      </c>
      <c r="G108" s="22" t="n">
        <f aca="false">'Расчет Кплотн'!J108</f>
        <v>1.5</v>
      </c>
      <c r="H108" s="23" t="n">
        <f aca="false">E108*$F$3*L108*F108/1000</f>
        <v>426766.25466</v>
      </c>
      <c r="I108" s="23" t="n">
        <f aca="false">E108*$F$3*L108*G108/1000</f>
        <v>426766.25466</v>
      </c>
      <c r="J108" s="23" t="n">
        <f aca="false">I108-H108</f>
        <v>0</v>
      </c>
      <c r="K108" s="24" t="n">
        <f aca="false">IFERROR(J108/H108,0)</f>
        <v>0</v>
      </c>
      <c r="L108" s="25" t="n">
        <f aca="false">IF(D108="район",IFERROR(VLOOKUP(B108,'БКПН (приказ 170)'!$A$4:$C$10,3,FALSE()),$F$2),$F$2)</f>
        <v>1686.17</v>
      </c>
    </row>
    <row r="109" customFormat="false" ht="15" hidden="false" customHeight="false" outlineLevel="0" collapsed="false">
      <c r="A109" s="20" t="s">
        <v>151</v>
      </c>
      <c r="B109" s="20" t="s">
        <v>14</v>
      </c>
      <c r="C109" s="20" t="str">
        <f aca="false">'Расчет Кплотн'!C109</f>
        <v>Сарань</v>
      </c>
      <c r="D109" s="20" t="str">
        <f aca="false">'Расчет Кплотн'!D109</f>
        <v>моногород / малый город</v>
      </c>
      <c r="E109" s="21" t="n">
        <f aca="false">SUMIFS('РПН 01.08 по МО'!$D:$D,'РПН 01.08 по МО'!$E:$E,A109)</f>
        <v>46150</v>
      </c>
      <c r="F109" s="22" t="n">
        <f aca="false">'Расчет Кплотн'!K109</f>
        <v>1.5</v>
      </c>
      <c r="G109" s="22" t="n">
        <f aca="false">'Расчет Кплотн'!J109</f>
        <v>1.5</v>
      </c>
      <c r="H109" s="23" t="n">
        <f aca="false">E109*$F$3*L109*F109/1000</f>
        <v>1400701.419</v>
      </c>
      <c r="I109" s="23" t="n">
        <f aca="false">E109*$F$3*L109*G109/1000</f>
        <v>1400701.419</v>
      </c>
      <c r="J109" s="23" t="n">
        <f aca="false">I109-H109</f>
        <v>0</v>
      </c>
      <c r="K109" s="24" t="n">
        <f aca="false">IFERROR(J109/H109,0)</f>
        <v>0</v>
      </c>
      <c r="L109" s="25" t="n">
        <f aca="false">IF(D109="район",IFERROR(VLOOKUP(B109,'БКПН (приказ 170)'!$A$4:$C$10,3,FALSE()),$F$2),$F$2)</f>
        <v>1686.17</v>
      </c>
    </row>
    <row r="110" customFormat="false" ht="15" hidden="false" customHeight="false" outlineLevel="0" collapsed="false">
      <c r="A110" s="20" t="s">
        <v>152</v>
      </c>
      <c r="B110" s="20" t="s">
        <v>14</v>
      </c>
      <c r="C110" s="20" t="str">
        <f aca="false">'Расчет Кплотн'!C110</f>
        <v>Темиртау</v>
      </c>
      <c r="D110" s="20" t="str">
        <f aca="false">'Расчет Кплотн'!D110</f>
        <v>моногород / малый город</v>
      </c>
      <c r="E110" s="21" t="n">
        <f aca="false">SUMIFS('РПН 01.08 по МО'!$D:$D,'РПН 01.08 по МО'!$E:$E,A110)</f>
        <v>139813</v>
      </c>
      <c r="F110" s="22" t="n">
        <f aca="false">'Расчет Кплотн'!K110</f>
        <v>1.5</v>
      </c>
      <c r="G110" s="22" t="n">
        <f aca="false">'Расчет Кплотн'!J110</f>
        <v>1.5</v>
      </c>
      <c r="H110" s="23" t="n">
        <f aca="false">E110*$F$3*L110*F110/1000</f>
        <v>4243472.75178</v>
      </c>
      <c r="I110" s="23" t="n">
        <f aca="false">E110*$F$3*L110*G110/1000</f>
        <v>4243472.75178</v>
      </c>
      <c r="J110" s="23" t="n">
        <f aca="false">I110-H110</f>
        <v>0</v>
      </c>
      <c r="K110" s="24" t="n">
        <f aca="false">IFERROR(J110/H110,0)</f>
        <v>0</v>
      </c>
      <c r="L110" s="25" t="n">
        <f aca="false">IF(D110="район",IFERROR(VLOOKUP(B110,'БКПН (приказ 170)'!$A$4:$C$10,3,FALSE()),$F$2),$F$2)</f>
        <v>1686.17</v>
      </c>
    </row>
    <row r="111" customFormat="false" ht="15" hidden="false" customHeight="false" outlineLevel="0" collapsed="false">
      <c r="A111" s="20" t="s">
        <v>153</v>
      </c>
      <c r="B111" s="20" t="s">
        <v>14</v>
      </c>
      <c r="C111" s="20" t="str">
        <f aca="false">'Расчет Кплотн'!C111</f>
        <v>Шахтинск</v>
      </c>
      <c r="D111" s="20" t="str">
        <f aca="false">'Расчет Кплотн'!D111</f>
        <v>моногород / малый город</v>
      </c>
      <c r="E111" s="21" t="n">
        <f aca="false">SUMIFS('РПН 01.08 по МО'!$D:$D,'РПН 01.08 по МО'!$E:$E,A111)</f>
        <v>78760</v>
      </c>
      <c r="F111" s="22" t="n">
        <f aca="false">'Расчет Кплотн'!K111</f>
        <v>1.5</v>
      </c>
      <c r="G111" s="22" t="n">
        <f aca="false">'Расчет Кплотн'!J111</f>
        <v>1.5</v>
      </c>
      <c r="H111" s="23" t="n">
        <f aca="false">E111*$F$3*L111*F111/1000</f>
        <v>2390449.4856</v>
      </c>
      <c r="I111" s="23" t="n">
        <f aca="false">E111*$F$3*L111*G111/1000</f>
        <v>2390449.4856</v>
      </c>
      <c r="J111" s="23" t="n">
        <f aca="false">I111-H111</f>
        <v>0</v>
      </c>
      <c r="K111" s="24" t="n">
        <f aca="false">IFERROR(J111/H111,0)</f>
        <v>0</v>
      </c>
      <c r="L111" s="25" t="n">
        <f aca="false">IF(D111="район",IFERROR(VLOOKUP(B111,'БКПН (приказ 170)'!$A$4:$C$10,3,FALSE()),$F$2),$F$2)</f>
        <v>1686.17</v>
      </c>
    </row>
    <row r="112" customFormat="false" ht="15" hidden="false" customHeight="false" outlineLevel="0" collapsed="false">
      <c r="A112" s="20" t="s">
        <v>154</v>
      </c>
      <c r="B112" s="20" t="s">
        <v>14</v>
      </c>
      <c r="C112" s="20" t="str">
        <f aca="false">'Расчет Кплотн'!C112</f>
        <v>Абайский район</v>
      </c>
      <c r="D112" s="20" t="str">
        <f aca="false">'Расчет Кплотн'!D112</f>
        <v>район</v>
      </c>
      <c r="E112" s="21" t="n">
        <f aca="false">SUMIFS('РПН 01.08 по МО'!$D:$D,'РПН 01.08 по МО'!$E:$E,A112)</f>
        <v>57649</v>
      </c>
      <c r="F112" s="22" t="n">
        <f aca="false">'Расчет Кплотн'!K112</f>
        <v>1.2338</v>
      </c>
      <c r="G112" s="22" t="n">
        <f aca="false">'Расчет Кплотн'!J112</f>
        <v>1.5897</v>
      </c>
      <c r="H112" s="23" t="n">
        <f aca="false">E112*$F$3*L112*F112/1000</f>
        <v>1579803.5741513</v>
      </c>
      <c r="I112" s="23" t="n">
        <f aca="false">E112*$F$3*L112*G112/1000</f>
        <v>2035511.21885908</v>
      </c>
      <c r="J112" s="23" t="n">
        <f aca="false">I112-H112</f>
        <v>455707.644707772</v>
      </c>
      <c r="K112" s="24" t="n">
        <f aca="false">IFERROR(J112/H112,0)</f>
        <v>0.288458421137948</v>
      </c>
      <c r="L112" s="25" t="n">
        <f aca="false">IF(D112="район",IFERROR(VLOOKUP(B112,'БКПН (приказ 170)'!$A$4:$C$10,3,FALSE()),$F$2),$F$2)</f>
        <v>1850.91</v>
      </c>
    </row>
    <row r="113" customFormat="false" ht="15" hidden="false" customHeight="false" outlineLevel="0" collapsed="false">
      <c r="A113" s="20" t="s">
        <v>155</v>
      </c>
      <c r="B113" s="20" t="s">
        <v>14</v>
      </c>
      <c r="C113" s="20" t="str">
        <f aca="false">'Расчет Кплотн'!C113</f>
        <v>Актогайский район</v>
      </c>
      <c r="D113" s="20" t="str">
        <f aca="false">'Расчет Кплотн'!D113</f>
        <v>район</v>
      </c>
      <c r="E113" s="21" t="n">
        <f aca="false">SUMIFS('РПН 01.08 по МО'!$D:$D,'РПН 01.08 по МО'!$E:$E,A113)</f>
        <v>9284</v>
      </c>
      <c r="F113" s="22" t="n">
        <f aca="false">'Расчет Кплотн'!K113</f>
        <v>2</v>
      </c>
      <c r="G113" s="22" t="n">
        <f aca="false">'Расчет Кплотн'!J113</f>
        <v>2</v>
      </c>
      <c r="H113" s="23" t="n">
        <f aca="false">E113*$F$3*L113*F113/1000</f>
        <v>412412.36256</v>
      </c>
      <c r="I113" s="23" t="n">
        <f aca="false">E113*$F$3*L113*G113/1000</f>
        <v>412412.36256</v>
      </c>
      <c r="J113" s="23" t="n">
        <f aca="false">I113-H113</f>
        <v>0</v>
      </c>
      <c r="K113" s="24" t="n">
        <f aca="false">IFERROR(J113/H113,0)</f>
        <v>0</v>
      </c>
      <c r="L113" s="25" t="n">
        <f aca="false">IF(D113="район",IFERROR(VLOOKUP(B113,'БКПН (приказ 170)'!$A$4:$C$10,3,FALSE()),$F$2),$F$2)</f>
        <v>1850.91</v>
      </c>
    </row>
    <row r="114" customFormat="false" ht="15" hidden="false" customHeight="false" outlineLevel="0" collapsed="false">
      <c r="A114" s="20" t="s">
        <v>156</v>
      </c>
      <c r="B114" s="20" t="s">
        <v>14</v>
      </c>
      <c r="C114" s="20" t="str">
        <f aca="false">'Расчет Кплотн'!C114</f>
        <v>Бухар-Жырауский район</v>
      </c>
      <c r="D114" s="20" t="str">
        <f aca="false">'Расчет Кплотн'!D114</f>
        <v>район</v>
      </c>
      <c r="E114" s="21" t="n">
        <f aca="false">SUMIFS('РПН 01.08 по МО'!$D:$D,'РПН 01.08 по МО'!$E:$E,A114)</f>
        <v>42427</v>
      </c>
      <c r="F114" s="22" t="n">
        <f aca="false">'Расчет Кплотн'!K114</f>
        <v>1.5536</v>
      </c>
      <c r="G114" s="22" t="n">
        <f aca="false">'Расчет Кплотн'!J114</f>
        <v>2</v>
      </c>
      <c r="H114" s="23" t="n">
        <f aca="false">E114*$F$3*L114*F114/1000</f>
        <v>1464023.62313222</v>
      </c>
      <c r="I114" s="23" t="n">
        <f aca="false">E114*$F$3*L114*G114/1000</f>
        <v>1884685.40568</v>
      </c>
      <c r="J114" s="23" t="n">
        <f aca="false">I114-H114</f>
        <v>420661.782547776</v>
      </c>
      <c r="K114" s="24" t="n">
        <f aca="false">IFERROR(J114/H114,0)</f>
        <v>0.287332646755922</v>
      </c>
      <c r="L114" s="25" t="n">
        <f aca="false">IF(D114="район",IFERROR(VLOOKUP(B114,'БКПН (приказ 170)'!$A$4:$C$10,3,FALSE()),$F$2),$F$2)</f>
        <v>1850.91</v>
      </c>
    </row>
    <row r="115" customFormat="false" ht="15" hidden="false" customHeight="false" outlineLevel="0" collapsed="false">
      <c r="A115" s="20" t="s">
        <v>157</v>
      </c>
      <c r="B115" s="20" t="s">
        <v>14</v>
      </c>
      <c r="C115" s="20" t="str">
        <f aca="false">'Расчет Кплотн'!C115</f>
        <v>Каркаралинский район</v>
      </c>
      <c r="D115" s="20" t="str">
        <f aca="false">'Расчет Кплотн'!D115</f>
        <v>район</v>
      </c>
      <c r="E115" s="21" t="n">
        <f aca="false">SUMIFS('РПН 01.08 по МО'!$D:$D,'РПН 01.08 по МО'!$E:$E,A115)</f>
        <v>24370</v>
      </c>
      <c r="F115" s="22" t="n">
        <f aca="false">'Расчет Кплотн'!K115</f>
        <v>2</v>
      </c>
      <c r="G115" s="22" t="n">
        <f aca="false">'Расчет Кплотн'!J115</f>
        <v>2</v>
      </c>
      <c r="H115" s="23" t="n">
        <f aca="false">E115*$F$3*L115*F115/1000</f>
        <v>1082560.2408</v>
      </c>
      <c r="I115" s="23" t="n">
        <f aca="false">E115*$F$3*L115*G115/1000</f>
        <v>1082560.2408</v>
      </c>
      <c r="J115" s="23" t="n">
        <f aca="false">I115-H115</f>
        <v>0</v>
      </c>
      <c r="K115" s="24" t="n">
        <f aca="false">IFERROR(J115/H115,0)</f>
        <v>0</v>
      </c>
      <c r="L115" s="25" t="n">
        <f aca="false">IF(D115="район",IFERROR(VLOOKUP(B115,'БКПН (приказ 170)'!$A$4:$C$10,3,FALSE()),$F$2),$F$2)</f>
        <v>1850.91</v>
      </c>
    </row>
    <row r="116" customFormat="false" ht="15" hidden="false" customHeight="false" outlineLevel="0" collapsed="false">
      <c r="A116" s="20" t="s">
        <v>158</v>
      </c>
      <c r="B116" s="20" t="s">
        <v>14</v>
      </c>
      <c r="C116" s="20" t="str">
        <f aca="false">'Расчет Кплотн'!C116</f>
        <v>Нуринский район</v>
      </c>
      <c r="D116" s="20" t="str">
        <f aca="false">'Расчет Кплотн'!D116</f>
        <v>район</v>
      </c>
      <c r="E116" s="21" t="n">
        <f aca="false">SUMIFS('РПН 01.08 по МО'!$D:$D,'РПН 01.08 по МО'!$E:$E,A116)</f>
        <v>17762</v>
      </c>
      <c r="F116" s="22" t="n">
        <f aca="false">'Расчет Кплотн'!K116</f>
        <v>2</v>
      </c>
      <c r="G116" s="22" t="n">
        <f aca="false">'Расчет Кплотн'!J116</f>
        <v>2</v>
      </c>
      <c r="H116" s="23" t="n">
        <f aca="false">E116*$F$3*L116*F116/1000</f>
        <v>789020.72208</v>
      </c>
      <c r="I116" s="23" t="n">
        <f aca="false">E116*$F$3*L116*G116/1000</f>
        <v>789020.72208</v>
      </c>
      <c r="J116" s="23" t="n">
        <f aca="false">I116-H116</f>
        <v>0</v>
      </c>
      <c r="K116" s="24" t="n">
        <f aca="false">IFERROR(J116/H116,0)</f>
        <v>0</v>
      </c>
      <c r="L116" s="25" t="n">
        <f aca="false">IF(D116="район",IFERROR(VLOOKUP(B116,'БКПН (приказ 170)'!$A$4:$C$10,3,FALSE()),$F$2),$F$2)</f>
        <v>1850.91</v>
      </c>
    </row>
    <row r="117" customFormat="false" ht="15" hidden="false" customHeight="false" outlineLevel="0" collapsed="false">
      <c r="A117" s="20" t="s">
        <v>159</v>
      </c>
      <c r="B117" s="20" t="s">
        <v>14</v>
      </c>
      <c r="C117" s="20" t="str">
        <f aca="false">'Расчет Кплотн'!C117</f>
        <v>Осакаровский район</v>
      </c>
      <c r="D117" s="20" t="str">
        <f aca="false">'Расчет Кплотн'!D117</f>
        <v>район</v>
      </c>
      <c r="E117" s="21" t="n">
        <f aca="false">SUMIFS('РПН 01.08 по МО'!$D:$D,'РПН 01.08 по МО'!$E:$E,A117)</f>
        <v>28037</v>
      </c>
      <c r="F117" s="22" t="n">
        <f aca="false">'Расчет Кплотн'!K117</f>
        <v>1.769</v>
      </c>
      <c r="G117" s="22" t="n">
        <f aca="false">'Расчет Кплотн'!J117</f>
        <v>2</v>
      </c>
      <c r="H117" s="23" t="n">
        <f aca="false">E117*$F$3*L117*F117/1000</f>
        <v>1101605.06078676</v>
      </c>
      <c r="I117" s="23" t="n">
        <f aca="false">E117*$F$3*L117*G117/1000</f>
        <v>1245455.12808</v>
      </c>
      <c r="J117" s="23" t="n">
        <f aca="false">I117-H117</f>
        <v>143850.06729324</v>
      </c>
      <c r="K117" s="24" t="n">
        <f aca="false">IFERROR(J117/H117,0)</f>
        <v>0.130582249858677</v>
      </c>
      <c r="L117" s="25" t="n">
        <f aca="false">IF(D117="район",IFERROR(VLOOKUP(B117,'БКПН (приказ 170)'!$A$4:$C$10,3,FALSE()),$F$2),$F$2)</f>
        <v>1850.91</v>
      </c>
    </row>
    <row r="118" customFormat="false" ht="15" hidden="false" customHeight="false" outlineLevel="0" collapsed="false">
      <c r="A118" s="20" t="s">
        <v>160</v>
      </c>
      <c r="B118" s="20" t="s">
        <v>14</v>
      </c>
      <c r="C118" s="20" t="str">
        <f aca="false">'Расчет Кплотн'!C118</f>
        <v>Шетский район</v>
      </c>
      <c r="D118" s="20" t="str">
        <f aca="false">'Расчет Кплотн'!D118</f>
        <v>район</v>
      </c>
      <c r="E118" s="21" t="n">
        <f aca="false">SUMIFS('РПН 01.08 по МО'!$D:$D,'РПН 01.08 по МО'!$E:$E,A118)</f>
        <v>31125</v>
      </c>
      <c r="F118" s="22" t="n">
        <f aca="false">'Расчет Кплотн'!K118</f>
        <v>2</v>
      </c>
      <c r="G118" s="22" t="n">
        <f aca="false">'Расчет Кплотн'!J118</f>
        <v>2</v>
      </c>
      <c r="H118" s="23" t="n">
        <f aca="false">E118*$F$3*L118*F118/1000</f>
        <v>1382629.77</v>
      </c>
      <c r="I118" s="23" t="n">
        <f aca="false">E118*$F$3*L118*G118/1000</f>
        <v>1382629.77</v>
      </c>
      <c r="J118" s="23" t="n">
        <f aca="false">I118-H118</f>
        <v>0</v>
      </c>
      <c r="K118" s="24" t="n">
        <f aca="false">IFERROR(J118/H118,0)</f>
        <v>0</v>
      </c>
      <c r="L118" s="25" t="n">
        <f aca="false">IF(D118="район",IFERROR(VLOOKUP(B118,'БКПН (приказ 170)'!$A$4:$C$10,3,FALSE()),$F$2),$F$2)</f>
        <v>1850.91</v>
      </c>
    </row>
    <row r="119" customFormat="false" ht="15" hidden="false" customHeight="false" outlineLevel="0" collapsed="false">
      <c r="A119" s="20" t="s">
        <v>161</v>
      </c>
      <c r="B119" s="20" t="s">
        <v>15</v>
      </c>
      <c r="C119" s="20" t="str">
        <f aca="false">'Расчет Кплотн'!C119</f>
        <v>Костанай</v>
      </c>
      <c r="D119" s="20" t="str">
        <f aca="false">'Расчет Кплотн'!D119</f>
        <v>областной центр</v>
      </c>
      <c r="E119" s="21" t="n">
        <f aca="false">SUMIFS('РПН 01.08 по МО'!$D:$D,'РПН 01.08 по МО'!$E:$E,A119)</f>
        <v>303182</v>
      </c>
      <c r="F119" s="22" t="n">
        <f aca="false">'Расчет Кплотн'!K119</f>
        <v>1</v>
      </c>
      <c r="G119" s="22" t="n">
        <f aca="false">'Расчет Кплотн'!J119</f>
        <v>1</v>
      </c>
      <c r="H119" s="23" t="n">
        <f aca="false">E119*$F$3*L119*F119/1000</f>
        <v>6134596.71528</v>
      </c>
      <c r="I119" s="23" t="n">
        <f aca="false">E119*$F$3*L119*G119/1000</f>
        <v>6134596.71528</v>
      </c>
      <c r="J119" s="23" t="n">
        <f aca="false">I119-H119</f>
        <v>0</v>
      </c>
      <c r="K119" s="24" t="n">
        <f aca="false">IFERROR(J119/H119,0)</f>
        <v>0</v>
      </c>
      <c r="L119" s="25" t="n">
        <f aca="false">IF(D119="район",IFERROR(VLOOKUP(B119,'БКПН (приказ 170)'!$A$4:$C$10,3,FALSE()),$F$2),$F$2)</f>
        <v>1686.17</v>
      </c>
    </row>
    <row r="120" customFormat="false" ht="15" hidden="false" customHeight="false" outlineLevel="0" collapsed="false">
      <c r="A120" s="20" t="s">
        <v>162</v>
      </c>
      <c r="B120" s="20" t="s">
        <v>15</v>
      </c>
      <c r="C120" s="20" t="str">
        <f aca="false">'Расчет Кплотн'!C120</f>
        <v>Аркалык</v>
      </c>
      <c r="D120" s="20" t="str">
        <f aca="false">'Расчет Кплотн'!D120</f>
        <v>моногород / малый город</v>
      </c>
      <c r="E120" s="21" t="n">
        <f aca="false">SUMIFS('РПН 01.08 по МО'!$D:$D,'РПН 01.08 по МО'!$E:$E,A120)</f>
        <v>33676</v>
      </c>
      <c r="F120" s="22" t="n">
        <f aca="false">'Расчет Кплотн'!K120</f>
        <v>1.5</v>
      </c>
      <c r="G120" s="22" t="n">
        <f aca="false">'Расчет Кплотн'!J120</f>
        <v>1.5</v>
      </c>
      <c r="H120" s="23" t="n">
        <f aca="false">E120*$F$3*L120*F120/1000</f>
        <v>1022102.29656</v>
      </c>
      <c r="I120" s="23" t="n">
        <f aca="false">E120*$F$3*L120*G120/1000</f>
        <v>1022102.29656</v>
      </c>
      <c r="J120" s="23" t="n">
        <f aca="false">I120-H120</f>
        <v>0</v>
      </c>
      <c r="K120" s="24" t="n">
        <f aca="false">IFERROR(J120/H120,0)</f>
        <v>0</v>
      </c>
      <c r="L120" s="25" t="n">
        <f aca="false">IF(D120="район",IFERROR(VLOOKUP(B120,'БКПН (приказ 170)'!$A$4:$C$10,3,FALSE()),$F$2),$F$2)</f>
        <v>1686.17</v>
      </c>
    </row>
    <row r="121" customFormat="false" ht="15" hidden="false" customHeight="false" outlineLevel="0" collapsed="false">
      <c r="A121" s="20" t="s">
        <v>163</v>
      </c>
      <c r="B121" s="20" t="s">
        <v>15</v>
      </c>
      <c r="C121" s="20" t="str">
        <f aca="false">'Расчет Кплотн'!C121</f>
        <v>Лисаковск</v>
      </c>
      <c r="D121" s="20" t="str">
        <f aca="false">'Расчет Кплотн'!D121</f>
        <v>моногород / малый город</v>
      </c>
      <c r="E121" s="21" t="n">
        <f aca="false">SUMIFS('РПН 01.08 по МО'!$D:$D,'РПН 01.08 по МО'!$E:$E,A121)</f>
        <v>31456</v>
      </c>
      <c r="F121" s="22" t="n">
        <f aca="false">'Расчет Кплотн'!K121</f>
        <v>1.5</v>
      </c>
      <c r="G121" s="22" t="n">
        <f aca="false">'Расчет Кплотн'!J121</f>
        <v>1.5</v>
      </c>
      <c r="H121" s="23" t="n">
        <f aca="false">E121*$F$3*L121*F121/1000</f>
        <v>954722.94336</v>
      </c>
      <c r="I121" s="23" t="n">
        <f aca="false">E121*$F$3*L121*G121/1000</f>
        <v>954722.94336</v>
      </c>
      <c r="J121" s="23" t="n">
        <f aca="false">I121-H121</f>
        <v>0</v>
      </c>
      <c r="K121" s="24" t="n">
        <f aca="false">IFERROR(J121/H121,0)</f>
        <v>0</v>
      </c>
      <c r="L121" s="25" t="n">
        <f aca="false">IF(D121="район",IFERROR(VLOOKUP(B121,'БКПН (приказ 170)'!$A$4:$C$10,3,FALSE()),$F$2),$F$2)</f>
        <v>1686.17</v>
      </c>
    </row>
    <row r="122" customFormat="false" ht="15" hidden="false" customHeight="false" outlineLevel="0" collapsed="false">
      <c r="A122" s="20" t="s">
        <v>164</v>
      </c>
      <c r="B122" s="20" t="s">
        <v>15</v>
      </c>
      <c r="C122" s="20" t="str">
        <f aca="false">'Расчет Кплотн'!C122</f>
        <v>Рудный</v>
      </c>
      <c r="D122" s="20" t="str">
        <f aca="false">'Расчет Кплотн'!D122</f>
        <v>моногород / малый город</v>
      </c>
      <c r="E122" s="21" t="n">
        <f aca="false">SUMIFS('РПН 01.08 по МО'!$D:$D,'РПН 01.08 по МО'!$E:$E,A122)</f>
        <v>117979</v>
      </c>
      <c r="F122" s="22" t="n">
        <f aca="false">'Расчет Кплотн'!K122</f>
        <v>1.5</v>
      </c>
      <c r="G122" s="22" t="n">
        <f aca="false">'Расчет Кплотн'!J122</f>
        <v>1.5</v>
      </c>
      <c r="H122" s="23" t="n">
        <f aca="false">E122*$F$3*L122*F122/1000</f>
        <v>3580787.70774</v>
      </c>
      <c r="I122" s="23" t="n">
        <f aca="false">E122*$F$3*L122*G122/1000</f>
        <v>3580787.70774</v>
      </c>
      <c r="J122" s="23" t="n">
        <f aca="false">I122-H122</f>
        <v>0</v>
      </c>
      <c r="K122" s="24" t="n">
        <f aca="false">IFERROR(J122/H122,0)</f>
        <v>0</v>
      </c>
      <c r="L122" s="25" t="n">
        <f aca="false">IF(D122="район",IFERROR(VLOOKUP(B122,'БКПН (приказ 170)'!$A$4:$C$10,3,FALSE()),$F$2),$F$2)</f>
        <v>1686.17</v>
      </c>
    </row>
    <row r="123" customFormat="false" ht="15" hidden="false" customHeight="false" outlineLevel="0" collapsed="false">
      <c r="A123" s="20" t="s">
        <v>165</v>
      </c>
      <c r="B123" s="20" t="s">
        <v>15</v>
      </c>
      <c r="C123" s="20" t="str">
        <f aca="false">'Расчет Кплотн'!C123</f>
        <v>Алтынсаринский район</v>
      </c>
      <c r="D123" s="20" t="str">
        <f aca="false">'Расчет Кплотн'!D123</f>
        <v>район</v>
      </c>
      <c r="E123" s="21" t="n">
        <f aca="false">SUMIFS('РПН 01.08 по МО'!$D:$D,'РПН 01.08 по МО'!$E:$E,A123)</f>
        <v>9562</v>
      </c>
      <c r="F123" s="22" t="n">
        <f aca="false">'Расчет Кплотн'!K123</f>
        <v>1.8963</v>
      </c>
      <c r="G123" s="22" t="n">
        <f aca="false">'Расчет Кплотн'!J123</f>
        <v>2</v>
      </c>
      <c r="H123" s="23" t="n">
        <f aca="false">E123*$F$3*L123*F123/1000</f>
        <v>366892.123717224</v>
      </c>
      <c r="I123" s="23" t="n">
        <f aca="false">E123*$F$3*L123*G123/1000</f>
        <v>386955.78096</v>
      </c>
      <c r="J123" s="23" t="n">
        <f aca="false">I123-H123</f>
        <v>20063.657242776</v>
      </c>
      <c r="K123" s="24" t="n">
        <f aca="false">IFERROR(J123/H123,0)</f>
        <v>0.0546854400674999</v>
      </c>
      <c r="L123" s="25" t="n">
        <f aca="false">IF(D123="район",IFERROR(VLOOKUP(B123,'БКПН (приказ 170)'!$A$4:$C$10,3,FALSE()),$F$2),$F$2)</f>
        <v>1686.17</v>
      </c>
    </row>
    <row r="124" customFormat="false" ht="15" hidden="false" customHeight="false" outlineLevel="0" collapsed="false">
      <c r="A124" s="20" t="s">
        <v>166</v>
      </c>
      <c r="B124" s="20" t="s">
        <v>15</v>
      </c>
      <c r="C124" s="20" t="str">
        <f aca="false">'Расчет Кплотн'!C124</f>
        <v>Амангельдинский район</v>
      </c>
      <c r="D124" s="20" t="str">
        <f aca="false">'Расчет Кплотн'!D124</f>
        <v>район</v>
      </c>
      <c r="E124" s="21" t="n">
        <f aca="false">SUMIFS('РПН 01.08 по МО'!$D:$D,'РПН 01.08 по МО'!$E:$E,A124)</f>
        <v>9480</v>
      </c>
      <c r="F124" s="22" t="n">
        <f aca="false">'Расчет Кплотн'!K124</f>
        <v>2</v>
      </c>
      <c r="G124" s="22" t="n">
        <f aca="false">'Расчет Кплотн'!J124</f>
        <v>2</v>
      </c>
      <c r="H124" s="23" t="n">
        <f aca="false">E124*$F$3*L124*F124/1000</f>
        <v>383637.3984</v>
      </c>
      <c r="I124" s="23" t="n">
        <f aca="false">E124*$F$3*L124*G124/1000</f>
        <v>383637.3984</v>
      </c>
      <c r="J124" s="23" t="n">
        <f aca="false">I124-H124</f>
        <v>0</v>
      </c>
      <c r="K124" s="24" t="n">
        <f aca="false">IFERROR(J124/H124,0)</f>
        <v>0</v>
      </c>
      <c r="L124" s="25" t="n">
        <f aca="false">IF(D124="район",IFERROR(VLOOKUP(B124,'БКПН (приказ 170)'!$A$4:$C$10,3,FALSE()),$F$2),$F$2)</f>
        <v>1686.17</v>
      </c>
    </row>
    <row r="125" customFormat="false" ht="15" hidden="false" customHeight="false" outlineLevel="0" collapsed="false">
      <c r="A125" s="20" t="s">
        <v>167</v>
      </c>
      <c r="B125" s="20" t="s">
        <v>15</v>
      </c>
      <c r="C125" s="20" t="str">
        <f aca="false">'Расчет Кплотн'!C125</f>
        <v>Аулиекольский район</v>
      </c>
      <c r="D125" s="20" t="str">
        <f aca="false">'Расчет Кплотн'!D125</f>
        <v>район</v>
      </c>
      <c r="E125" s="21" t="n">
        <f aca="false">SUMIFS('РПН 01.08 по МО'!$D:$D,'РПН 01.08 по МО'!$E:$E,A125)</f>
        <v>28327</v>
      </c>
      <c r="F125" s="22" t="n">
        <f aca="false">'Расчет Кплотн'!K125</f>
        <v>1.6586</v>
      </c>
      <c r="G125" s="22" t="n">
        <f aca="false">'Расчет Кплотн'!J125</f>
        <v>2</v>
      </c>
      <c r="H125" s="23" t="n">
        <f aca="false">E125*$F$3*L125*F125/1000</f>
        <v>950659.183281288</v>
      </c>
      <c r="I125" s="23" t="n">
        <f aca="false">E125*$F$3*L125*G125/1000</f>
        <v>1146339.30216</v>
      </c>
      <c r="J125" s="23" t="n">
        <f aca="false">I125-H125</f>
        <v>195680.118878712</v>
      </c>
      <c r="K125" s="24" t="n">
        <f aca="false">IFERROR(J125/H125,0)</f>
        <v>0.205836247437598</v>
      </c>
      <c r="L125" s="25" t="n">
        <f aca="false">IF(D125="район",IFERROR(VLOOKUP(B125,'БКПН (приказ 170)'!$A$4:$C$10,3,FALSE()),$F$2),$F$2)</f>
        <v>1686.17</v>
      </c>
    </row>
    <row r="126" customFormat="false" ht="15" hidden="false" customHeight="false" outlineLevel="0" collapsed="false">
      <c r="A126" s="20" t="s">
        <v>168</v>
      </c>
      <c r="B126" s="20" t="s">
        <v>15</v>
      </c>
      <c r="C126" s="20" t="str">
        <f aca="false">'Расчет Кплотн'!C126</f>
        <v>Денисовский район</v>
      </c>
      <c r="D126" s="20" t="str">
        <f aca="false">'Расчет Кплотн'!D126</f>
        <v>район</v>
      </c>
      <c r="E126" s="21" t="n">
        <f aca="false">SUMIFS('РПН 01.08 по МО'!$D:$D,'РПН 01.08 по МО'!$E:$E,A126)</f>
        <v>13529</v>
      </c>
      <c r="F126" s="22" t="n">
        <f aca="false">'Расчет Кплотн'!K126</f>
        <v>1.85</v>
      </c>
      <c r="G126" s="22" t="n">
        <f aca="false">'Расчет Кплотн'!J126</f>
        <v>2</v>
      </c>
      <c r="H126" s="23" t="n">
        <f aca="false">E126*$F$3*L126*F126/1000</f>
        <v>506430.705246</v>
      </c>
      <c r="I126" s="23" t="n">
        <f aca="false">E126*$F$3*L126*G126/1000</f>
        <v>547492.65432</v>
      </c>
      <c r="J126" s="23" t="n">
        <f aca="false">I126-H126</f>
        <v>41061.9490740001</v>
      </c>
      <c r="K126" s="24" t="n">
        <f aca="false">IFERROR(J126/H126,0)</f>
        <v>0.0810810810810812</v>
      </c>
      <c r="L126" s="25" t="n">
        <f aca="false">IF(D126="район",IFERROR(VLOOKUP(B126,'БКПН (приказ 170)'!$A$4:$C$10,3,FALSE()),$F$2),$F$2)</f>
        <v>1686.17</v>
      </c>
    </row>
    <row r="127" customFormat="false" ht="15" hidden="false" customHeight="false" outlineLevel="0" collapsed="false">
      <c r="A127" s="20" t="s">
        <v>169</v>
      </c>
      <c r="B127" s="20" t="s">
        <v>15</v>
      </c>
      <c r="C127" s="20" t="str">
        <f aca="false">'Расчет Кплотн'!C127</f>
        <v>Жангельдинский район</v>
      </c>
      <c r="D127" s="20" t="str">
        <f aca="false">'Расчет Кплотн'!D127</f>
        <v>район</v>
      </c>
      <c r="E127" s="21" t="n">
        <f aca="false">SUMIFS('РПН 01.08 по МО'!$D:$D,'РПН 01.08 по МО'!$E:$E,A127)</f>
        <v>7671</v>
      </c>
      <c r="F127" s="22" t="n">
        <f aca="false">'Расчет Кплотн'!K127</f>
        <v>2</v>
      </c>
      <c r="G127" s="22" t="n">
        <f aca="false">'Расчет Кплотн'!J127</f>
        <v>2</v>
      </c>
      <c r="H127" s="23" t="n">
        <f aca="false">E127*$F$3*L127*F127/1000</f>
        <v>310430.64168</v>
      </c>
      <c r="I127" s="23" t="n">
        <f aca="false">E127*$F$3*L127*G127/1000</f>
        <v>310430.64168</v>
      </c>
      <c r="J127" s="23" t="n">
        <f aca="false">I127-H127</f>
        <v>0</v>
      </c>
      <c r="K127" s="24" t="n">
        <f aca="false">IFERROR(J127/H127,0)</f>
        <v>0</v>
      </c>
      <c r="L127" s="25" t="n">
        <f aca="false">IF(D127="район",IFERROR(VLOOKUP(B127,'БКПН (приказ 170)'!$A$4:$C$10,3,FALSE()),$F$2),$F$2)</f>
        <v>1686.17</v>
      </c>
    </row>
    <row r="128" customFormat="false" ht="15" hidden="false" customHeight="false" outlineLevel="0" collapsed="false">
      <c r="A128" s="20" t="s">
        <v>170</v>
      </c>
      <c r="B128" s="20" t="s">
        <v>15</v>
      </c>
      <c r="C128" s="20" t="str">
        <f aca="false">'Расчет Кплотн'!C128</f>
        <v>Житикаринский район</v>
      </c>
      <c r="D128" s="20" t="str">
        <f aca="false">'Расчет Кплотн'!D128</f>
        <v>район</v>
      </c>
      <c r="E128" s="21" t="n">
        <f aca="false">SUMIFS('РПН 01.08 по МО'!$D:$D,'РПН 01.08 по МО'!$E:$E,A128)</f>
        <v>34723</v>
      </c>
      <c r="F128" s="22" t="n">
        <f aca="false">'Расчет Кплотн'!K128</f>
        <v>1.3531</v>
      </c>
      <c r="G128" s="22" t="n">
        <f aca="false">'Расчет Кплотн'!J128</f>
        <v>2</v>
      </c>
      <c r="H128" s="23" t="n">
        <f aca="false">E128*$F$3*L128*F128/1000</f>
        <v>950669.889111852</v>
      </c>
      <c r="I128" s="23" t="n">
        <f aca="false">E128*$F$3*L128*G128/1000</f>
        <v>1405173.14184</v>
      </c>
      <c r="J128" s="23" t="n">
        <f aca="false">I128-H128</f>
        <v>454503.252728148</v>
      </c>
      <c r="K128" s="24" t="n">
        <f aca="false">IFERROR(J128/H128,0)</f>
        <v>0.478087354962678</v>
      </c>
      <c r="L128" s="25" t="n">
        <f aca="false">IF(D128="район",IFERROR(VLOOKUP(B128,'БКПН (приказ 170)'!$A$4:$C$10,3,FALSE()),$F$2),$F$2)</f>
        <v>1686.17</v>
      </c>
    </row>
    <row r="129" customFormat="false" ht="15" hidden="false" customHeight="false" outlineLevel="0" collapsed="false">
      <c r="A129" s="20" t="s">
        <v>171</v>
      </c>
      <c r="B129" s="20" t="s">
        <v>15</v>
      </c>
      <c r="C129" s="20" t="str">
        <f aca="false">'Расчет Кплотн'!C129</f>
        <v>Камыстинский район</v>
      </c>
      <c r="D129" s="20" t="str">
        <f aca="false">'Расчет Кплотн'!D129</f>
        <v>район</v>
      </c>
      <c r="E129" s="21" t="n">
        <f aca="false">SUMIFS('РПН 01.08 по МО'!$D:$D,'РПН 01.08 по МО'!$E:$E,A129)</f>
        <v>7520</v>
      </c>
      <c r="F129" s="22" t="n">
        <f aca="false">'Расчет Кплотн'!K129</f>
        <v>2</v>
      </c>
      <c r="G129" s="22" t="n">
        <f aca="false">'Расчет Кплотн'!J129</f>
        <v>2</v>
      </c>
      <c r="H129" s="23" t="n">
        <f aca="false">E129*$F$3*L129*F129/1000</f>
        <v>304319.9616</v>
      </c>
      <c r="I129" s="23" t="n">
        <f aca="false">E129*$F$3*L129*G129/1000</f>
        <v>304319.9616</v>
      </c>
      <c r="J129" s="23" t="n">
        <f aca="false">I129-H129</f>
        <v>0</v>
      </c>
      <c r="K129" s="24" t="n">
        <f aca="false">IFERROR(J129/H129,0)</f>
        <v>0</v>
      </c>
      <c r="L129" s="25" t="n">
        <f aca="false">IF(D129="район",IFERROR(VLOOKUP(B129,'БКПН (приказ 170)'!$A$4:$C$10,3,FALSE()),$F$2),$F$2)</f>
        <v>1686.17</v>
      </c>
    </row>
    <row r="130" customFormat="false" ht="15" hidden="false" customHeight="false" outlineLevel="0" collapsed="false">
      <c r="A130" s="20" t="s">
        <v>172</v>
      </c>
      <c r="B130" s="20" t="s">
        <v>15</v>
      </c>
      <c r="C130" s="20" t="str">
        <f aca="false">'Расчет Кплотн'!C130</f>
        <v>Карабалыкский район</v>
      </c>
      <c r="D130" s="20" t="str">
        <f aca="false">'Расчет Кплотн'!D130</f>
        <v>район</v>
      </c>
      <c r="E130" s="21" t="n">
        <f aca="false">SUMIFS('РПН 01.08 по МО'!$D:$D,'РПН 01.08 по МО'!$E:$E,A130)</f>
        <v>20163</v>
      </c>
      <c r="F130" s="22" t="n">
        <f aca="false">'Расчет Кплотн'!K130</f>
        <v>1.5805</v>
      </c>
      <c r="G130" s="22" t="n">
        <f aca="false">'Расчет Кплотн'!J130</f>
        <v>2</v>
      </c>
      <c r="H130" s="23" t="n">
        <f aca="false">E130*$F$3*L130*F130/1000</f>
        <v>644810.72813586</v>
      </c>
      <c r="I130" s="23" t="n">
        <f aca="false">E130*$F$3*L130*G130/1000</f>
        <v>815957.89704</v>
      </c>
      <c r="J130" s="23" t="n">
        <f aca="false">I130-H130</f>
        <v>171147.16890414</v>
      </c>
      <c r="K130" s="24" t="n">
        <f aca="false">IFERROR(J130/H130,0)</f>
        <v>0.265422334704208</v>
      </c>
      <c r="L130" s="25" t="n">
        <f aca="false">IF(D130="район",IFERROR(VLOOKUP(B130,'БКПН (приказ 170)'!$A$4:$C$10,3,FALSE()),$F$2),$F$2)</f>
        <v>1686.17</v>
      </c>
    </row>
    <row r="131" customFormat="false" ht="15" hidden="false" customHeight="false" outlineLevel="0" collapsed="false">
      <c r="A131" s="20" t="s">
        <v>173</v>
      </c>
      <c r="B131" s="20" t="s">
        <v>15</v>
      </c>
      <c r="C131" s="20" t="str">
        <f aca="false">'Расчет Кплотн'!C131</f>
        <v>Карасуский район</v>
      </c>
      <c r="D131" s="20" t="str">
        <f aca="false">'Расчет Кплотн'!D131</f>
        <v>район</v>
      </c>
      <c r="E131" s="21" t="n">
        <f aca="false">SUMIFS('РПН 01.08 по МО'!$D:$D,'РПН 01.08 по МО'!$E:$E,A131)</f>
        <v>15985</v>
      </c>
      <c r="F131" s="22" t="n">
        <f aca="false">'Расчет Кплотн'!K131</f>
        <v>2</v>
      </c>
      <c r="G131" s="22" t="n">
        <f aca="false">'Расчет Кплотн'!J131</f>
        <v>2</v>
      </c>
      <c r="H131" s="23" t="n">
        <f aca="false">E131*$F$3*L131*F131/1000</f>
        <v>646882.2588</v>
      </c>
      <c r="I131" s="23" t="n">
        <f aca="false">E131*$F$3*L131*G131/1000</f>
        <v>646882.2588</v>
      </c>
      <c r="J131" s="23" t="n">
        <f aca="false">I131-H131</f>
        <v>0</v>
      </c>
      <c r="K131" s="24" t="n">
        <f aca="false">IFERROR(J131/H131,0)</f>
        <v>0</v>
      </c>
      <c r="L131" s="25" t="n">
        <f aca="false">IF(D131="район",IFERROR(VLOOKUP(B131,'БКПН (приказ 170)'!$A$4:$C$10,3,FALSE()),$F$2),$F$2)</f>
        <v>1686.17</v>
      </c>
    </row>
    <row r="132" customFormat="false" ht="15" hidden="false" customHeight="false" outlineLevel="0" collapsed="false">
      <c r="A132" s="20" t="s">
        <v>174</v>
      </c>
      <c r="B132" s="20" t="s">
        <v>15</v>
      </c>
      <c r="C132" s="20" t="str">
        <f aca="false">'Расчет Кплотн'!C132</f>
        <v>Костанайский район</v>
      </c>
      <c r="D132" s="20" t="str">
        <f aca="false">'Расчет Кплотн'!D132</f>
        <v>район</v>
      </c>
      <c r="E132" s="21" t="n">
        <f aca="false">SUMIFS('РПН 01.08 по МО'!$D:$D,'РПН 01.08 по МО'!$E:$E,A132)</f>
        <v>58505</v>
      </c>
      <c r="F132" s="22" t="n">
        <f aca="false">'Расчет Кплотн'!K132</f>
        <v>1.2078</v>
      </c>
      <c r="G132" s="22" t="n">
        <f aca="false">'Расчет Кплотн'!J132</f>
        <v>1.6486</v>
      </c>
      <c r="H132" s="23" t="n">
        <f aca="false">E132*$F$3*L132*F132/1000</f>
        <v>1429784.59381956</v>
      </c>
      <c r="I132" s="23" t="n">
        <f aca="false">E132*$F$3*L132*G132/1000</f>
        <v>1951600.33231572</v>
      </c>
      <c r="J132" s="23" t="n">
        <f aca="false">I132-H132</f>
        <v>521815.73849616</v>
      </c>
      <c r="K132" s="24" t="n">
        <f aca="false">IFERROR(J132/H132,0)</f>
        <v>0.364961086272562</v>
      </c>
      <c r="L132" s="25" t="n">
        <f aca="false">IF(D132="район",IFERROR(VLOOKUP(B132,'БКПН (приказ 170)'!$A$4:$C$10,3,FALSE()),$F$2),$F$2)</f>
        <v>1686.17</v>
      </c>
    </row>
    <row r="133" customFormat="false" ht="15" hidden="false" customHeight="false" outlineLevel="0" collapsed="false">
      <c r="A133" s="20" t="s">
        <v>175</v>
      </c>
      <c r="B133" s="20" t="s">
        <v>15</v>
      </c>
      <c r="C133" s="20" t="str">
        <f aca="false">'Расчет Кплотн'!C133</f>
        <v>Мендыкаринский район</v>
      </c>
      <c r="D133" s="20" t="str">
        <f aca="false">'Расчет Кплотн'!D133</f>
        <v>район</v>
      </c>
      <c r="E133" s="21" t="n">
        <f aca="false">SUMIFS('РПН 01.08 по МО'!$D:$D,'РПН 01.08 по МО'!$E:$E,A133)</f>
        <v>16270</v>
      </c>
      <c r="F133" s="22" t="n">
        <f aca="false">'Расчет Кплотн'!K133</f>
        <v>1.6163</v>
      </c>
      <c r="G133" s="22" t="n">
        <f aca="false">'Расчет Кплотн'!J133</f>
        <v>2</v>
      </c>
      <c r="H133" s="23" t="n">
        <f aca="false">E133*$F$3*L133*F133/1000</f>
        <v>532098.61692204</v>
      </c>
      <c r="I133" s="23" t="n">
        <f aca="false">E133*$F$3*L133*G133/1000</f>
        <v>658415.6616</v>
      </c>
      <c r="J133" s="23" t="n">
        <f aca="false">I133-H133</f>
        <v>126317.04467796</v>
      </c>
      <c r="K133" s="24" t="n">
        <f aca="false">IFERROR(J133/H133,0)</f>
        <v>0.237394048134628</v>
      </c>
      <c r="L133" s="25" t="n">
        <f aca="false">IF(D133="район",IFERROR(VLOOKUP(B133,'БКПН (приказ 170)'!$A$4:$C$10,3,FALSE()),$F$2),$F$2)</f>
        <v>1686.17</v>
      </c>
    </row>
    <row r="134" customFormat="false" ht="15" hidden="false" customHeight="false" outlineLevel="0" collapsed="false">
      <c r="A134" s="20" t="s">
        <v>176</v>
      </c>
      <c r="B134" s="20" t="s">
        <v>15</v>
      </c>
      <c r="C134" s="20" t="str">
        <f aca="false">'Расчет Кплотн'!C134</f>
        <v>Наурзумский район</v>
      </c>
      <c r="D134" s="20" t="str">
        <f aca="false">'Расчет Кплотн'!D134</f>
        <v>район</v>
      </c>
      <c r="E134" s="21" t="n">
        <f aca="false">SUMIFS('РПН 01.08 по МО'!$D:$D,'РПН 01.08 по МО'!$E:$E,A134)</f>
        <v>5565</v>
      </c>
      <c r="F134" s="22" t="n">
        <f aca="false">'Расчет Кплотн'!K134</f>
        <v>2</v>
      </c>
      <c r="G134" s="22" t="n">
        <f aca="false">'Расчет Кплотн'!J134</f>
        <v>2</v>
      </c>
      <c r="H134" s="23" t="n">
        <f aca="false">E134*$F$3*L134*F134/1000</f>
        <v>225204.8652</v>
      </c>
      <c r="I134" s="23" t="n">
        <f aca="false">E134*$F$3*L134*G134/1000</f>
        <v>225204.8652</v>
      </c>
      <c r="J134" s="23" t="n">
        <f aca="false">I134-H134</f>
        <v>0</v>
      </c>
      <c r="K134" s="24" t="n">
        <f aca="false">IFERROR(J134/H134,0)</f>
        <v>0</v>
      </c>
      <c r="L134" s="25" t="n">
        <f aca="false">IF(D134="район",IFERROR(VLOOKUP(B134,'БКПН (приказ 170)'!$A$4:$C$10,3,FALSE()),$F$2),$F$2)</f>
        <v>1686.17</v>
      </c>
    </row>
    <row r="135" customFormat="false" ht="15" hidden="false" customHeight="false" outlineLevel="0" collapsed="false">
      <c r="A135" s="20" t="s">
        <v>177</v>
      </c>
      <c r="B135" s="20" t="s">
        <v>15</v>
      </c>
      <c r="C135" s="20" t="str">
        <f aca="false">'Расчет Кплотн'!C135</f>
        <v>Сарыкольский район</v>
      </c>
      <c r="D135" s="20" t="str">
        <f aca="false">'Расчет Кплотн'!D135</f>
        <v>район</v>
      </c>
      <c r="E135" s="21" t="n">
        <f aca="false">SUMIFS('РПН 01.08 по МО'!$D:$D,'РПН 01.08 по МО'!$E:$E,A135)</f>
        <v>14198</v>
      </c>
      <c r="F135" s="22" t="n">
        <f aca="false">'Расчет Кплотн'!K135</f>
        <v>1.7216</v>
      </c>
      <c r="G135" s="22" t="n">
        <f aca="false">'Расчет Кплотн'!J135</f>
        <v>2</v>
      </c>
      <c r="H135" s="23" t="n">
        <f aca="false">E135*$F$3*L135*F135/1000</f>
        <v>494586.240502272</v>
      </c>
      <c r="I135" s="23" t="n">
        <f aca="false">E135*$F$3*L135*G135/1000</f>
        <v>574565.79984</v>
      </c>
      <c r="J135" s="23" t="n">
        <f aca="false">I135-H135</f>
        <v>79979.559337728</v>
      </c>
      <c r="K135" s="24" t="n">
        <f aca="false">IFERROR(J135/H135,0)</f>
        <v>0.161710037174721</v>
      </c>
      <c r="L135" s="25" t="n">
        <f aca="false">IF(D135="район",IFERROR(VLOOKUP(B135,'БКПН (приказ 170)'!$A$4:$C$10,3,FALSE()),$F$2),$F$2)</f>
        <v>1686.17</v>
      </c>
    </row>
    <row r="136" customFormat="false" ht="15" hidden="false" customHeight="false" outlineLevel="0" collapsed="false">
      <c r="A136" s="20" t="s">
        <v>178</v>
      </c>
      <c r="B136" s="20" t="s">
        <v>15</v>
      </c>
      <c r="C136" s="20" t="str">
        <f aca="false">'Расчет Кплотн'!C136</f>
        <v>район Беимбета Майлина</v>
      </c>
      <c r="D136" s="20" t="str">
        <f aca="false">'Расчет Кплотн'!D136</f>
        <v>район</v>
      </c>
      <c r="E136" s="21" t="n">
        <f aca="false">SUMIFS('РПН 01.08 по МО'!$D:$D,'РПН 01.08 по МО'!$E:$E,A136)</f>
        <v>17815</v>
      </c>
      <c r="F136" s="22" t="n">
        <f aca="false">'Расчет Кплотн'!K136</f>
        <v>1.6864</v>
      </c>
      <c r="G136" s="22" t="n">
        <f aca="false">'Расчет Кплотн'!J136</f>
        <v>2</v>
      </c>
      <c r="H136" s="23" t="n">
        <f aca="false">E136*$F$3*L136*F136/1000</f>
        <v>607895.63427264</v>
      </c>
      <c r="I136" s="23" t="n">
        <f aca="false">E136*$F$3*L136*G136/1000</f>
        <v>720938.8452</v>
      </c>
      <c r="J136" s="23" t="n">
        <f aca="false">I136-H136</f>
        <v>113043.21092736</v>
      </c>
      <c r="K136" s="24" t="n">
        <f aca="false">IFERROR(J136/H136,0)</f>
        <v>0.18595825426945</v>
      </c>
      <c r="L136" s="25" t="n">
        <f aca="false">IF(D136="район",IFERROR(VLOOKUP(B136,'БКПН (приказ 170)'!$A$4:$C$10,3,FALSE()),$F$2),$F$2)</f>
        <v>1686.17</v>
      </c>
    </row>
    <row r="137" customFormat="false" ht="15" hidden="false" customHeight="false" outlineLevel="0" collapsed="false">
      <c r="A137" s="20" t="s">
        <v>179</v>
      </c>
      <c r="B137" s="20" t="s">
        <v>15</v>
      </c>
      <c r="C137" s="20" t="str">
        <f aca="false">'Расчет Кплотн'!C137</f>
        <v>Узункольский район</v>
      </c>
      <c r="D137" s="20" t="str">
        <f aca="false">'Расчет Кплотн'!D137</f>
        <v>район</v>
      </c>
      <c r="E137" s="21" t="n">
        <f aca="false">SUMIFS('РПН 01.08 по МО'!$D:$D,'РПН 01.08 по МО'!$E:$E,A137)</f>
        <v>12067</v>
      </c>
      <c r="F137" s="22" t="n">
        <f aca="false">'Расчет Кплотн'!K137</f>
        <v>1.9761</v>
      </c>
      <c r="G137" s="22" t="n">
        <f aca="false">'Расчет Кплотн'!J137</f>
        <v>2</v>
      </c>
      <c r="H137" s="23" t="n">
        <f aca="false">E137*$F$3*L137*F137/1000</f>
        <v>482492.797919748</v>
      </c>
      <c r="I137" s="23" t="n">
        <f aca="false">E137*$F$3*L137*G137/1000</f>
        <v>488328.32136</v>
      </c>
      <c r="J137" s="23" t="n">
        <f aca="false">I137-H137</f>
        <v>5835.523440252</v>
      </c>
      <c r="K137" s="24" t="n">
        <f aca="false">IFERROR(J137/H137,0)</f>
        <v>0.0120945296290674</v>
      </c>
      <c r="L137" s="25" t="n">
        <f aca="false">IF(D137="район",IFERROR(VLOOKUP(B137,'БКПН (приказ 170)'!$A$4:$C$10,3,FALSE()),$F$2),$F$2)</f>
        <v>1686.17</v>
      </c>
    </row>
    <row r="138" customFormat="false" ht="15" hidden="false" customHeight="false" outlineLevel="0" collapsed="false">
      <c r="A138" s="20" t="s">
        <v>180</v>
      </c>
      <c r="B138" s="20" t="s">
        <v>15</v>
      </c>
      <c r="C138" s="20" t="str">
        <f aca="false">'Расчет Кплотн'!C138</f>
        <v>Федоровский район</v>
      </c>
      <c r="D138" s="20" t="str">
        <f aca="false">'Расчет Кплотн'!D138</f>
        <v>район</v>
      </c>
      <c r="E138" s="21" t="n">
        <f aca="false">SUMIFS('РПН 01.08 по МО'!$D:$D,'РПН 01.08 по МО'!$E:$E,A138)</f>
        <v>18828</v>
      </c>
      <c r="F138" s="22" t="n">
        <f aca="false">'Расчет Кплотн'!K138</f>
        <v>1.6189</v>
      </c>
      <c r="G138" s="22" t="n">
        <f aca="false">'Расчет Кплотн'!J138</f>
        <v>2</v>
      </c>
      <c r="H138" s="23" t="n">
        <f aca="false">E138*$F$3*L138*F138/1000</f>
        <v>616746.675138768</v>
      </c>
      <c r="I138" s="23" t="n">
        <f aca="false">E138*$F$3*L138*G138/1000</f>
        <v>761933.01024</v>
      </c>
      <c r="J138" s="23" t="n">
        <f aca="false">I138-H138</f>
        <v>145186.335101232</v>
      </c>
      <c r="K138" s="24" t="n">
        <f aca="false">IFERROR(J138/H138,0)</f>
        <v>0.235406757674965</v>
      </c>
      <c r="L138" s="25" t="n">
        <f aca="false">IF(D138="район",IFERROR(VLOOKUP(B138,'БКПН (приказ 170)'!$A$4:$C$10,3,FALSE()),$F$2),$F$2)</f>
        <v>1686.17</v>
      </c>
    </row>
    <row r="139" customFormat="false" ht="15" hidden="false" customHeight="false" outlineLevel="0" collapsed="false">
      <c r="A139" s="20" t="s">
        <v>181</v>
      </c>
      <c r="B139" s="20" t="s">
        <v>16</v>
      </c>
      <c r="C139" s="20" t="str">
        <f aca="false">'Расчет Кплотн'!C139</f>
        <v>Кызылорда</v>
      </c>
      <c r="D139" s="20" t="str">
        <f aca="false">'Расчет Кплотн'!D139</f>
        <v>областной центр</v>
      </c>
      <c r="E139" s="21" t="n">
        <f aca="false">SUMIFS('РПН 01.08 по МО'!$D:$D,'РПН 01.08 по МО'!$E:$E,A139)</f>
        <v>388864</v>
      </c>
      <c r="F139" s="22" t="n">
        <f aca="false">'Расчет Кплотн'!K139</f>
        <v>1</v>
      </c>
      <c r="G139" s="22" t="n">
        <f aca="false">'Расчет Кплотн'!J139</f>
        <v>1</v>
      </c>
      <c r="H139" s="23" t="n">
        <f aca="false">E139*$F$3*L139*F139/1000</f>
        <v>7868289.73056</v>
      </c>
      <c r="I139" s="23" t="n">
        <f aca="false">E139*$F$3*L139*G139/1000</f>
        <v>7868289.73056</v>
      </c>
      <c r="J139" s="23" t="n">
        <f aca="false">I139-H139</f>
        <v>0</v>
      </c>
      <c r="K139" s="24" t="n">
        <f aca="false">IFERROR(J139/H139,0)</f>
        <v>0</v>
      </c>
      <c r="L139" s="25" t="n">
        <f aca="false">IF(D139="район",IFERROR(VLOOKUP(B139,'БКПН (приказ 170)'!$A$4:$C$10,3,FALSE()),$F$2),$F$2)</f>
        <v>1686.17</v>
      </c>
    </row>
    <row r="140" customFormat="false" ht="15" hidden="false" customHeight="false" outlineLevel="0" collapsed="false">
      <c r="A140" s="20" t="s">
        <v>182</v>
      </c>
      <c r="B140" s="20" t="s">
        <v>16</v>
      </c>
      <c r="C140" s="20" t="str">
        <f aca="false">'Расчет Кплотн'!C140</f>
        <v>Байконыр</v>
      </c>
      <c r="D140" s="20" t="str">
        <f aca="false">'Расчет Кплотн'!D140</f>
        <v>моногород / малый город</v>
      </c>
      <c r="E140" s="21" t="n">
        <f aca="false">SUMIFS('РПН 01.08 по МО'!$D:$D,'РПН 01.08 по МО'!$E:$E,A140)</f>
        <v>38907</v>
      </c>
      <c r="F140" s="22" t="n">
        <f aca="false">'Расчет Кплотн'!K140</f>
        <v>1.5</v>
      </c>
      <c r="G140" s="22" t="n">
        <f aca="false">'Расчет Кплотн'!J140</f>
        <v>1.5</v>
      </c>
      <c r="H140" s="23" t="n">
        <f aca="false">E140*$F$3*L140*F140/1000</f>
        <v>1180868.69142</v>
      </c>
      <c r="I140" s="23" t="n">
        <f aca="false">E140*$F$3*L140*G140/1000</f>
        <v>1180868.69142</v>
      </c>
      <c r="J140" s="23" t="n">
        <f aca="false">I140-H140</f>
        <v>0</v>
      </c>
      <c r="K140" s="24" t="n">
        <f aca="false">IFERROR(J140/H140,0)</f>
        <v>0</v>
      </c>
      <c r="L140" s="25" t="n">
        <f aca="false">IF(D140="район",IFERROR(VLOOKUP(B140,'БКПН (приказ 170)'!$A$4:$C$10,3,FALSE()),$F$2),$F$2)</f>
        <v>1686.17</v>
      </c>
    </row>
    <row r="141" customFormat="false" ht="15" hidden="false" customHeight="false" outlineLevel="0" collapsed="false">
      <c r="A141" s="20" t="s">
        <v>183</v>
      </c>
      <c r="B141" s="20" t="s">
        <v>16</v>
      </c>
      <c r="C141" s="20" t="str">
        <f aca="false">'Расчет Кплотн'!C141</f>
        <v>Аральский район</v>
      </c>
      <c r="D141" s="20" t="str">
        <f aca="false">'Расчет Кплотн'!D141</f>
        <v>район</v>
      </c>
      <c r="E141" s="21" t="n">
        <f aca="false">SUMIFS('РПН 01.08 по МО'!$D:$D,'РПН 01.08 по МО'!$E:$E,A141)</f>
        <v>71299</v>
      </c>
      <c r="F141" s="22" t="n">
        <f aca="false">'Расчет Кплотн'!K141</f>
        <v>2</v>
      </c>
      <c r="G141" s="22" t="n">
        <f aca="false">'Расчет Кплотн'!J141</f>
        <v>2</v>
      </c>
      <c r="H141" s="23" t="n">
        <f aca="false">E141*$F$3*L141*F141/1000</f>
        <v>2885333.63592</v>
      </c>
      <c r="I141" s="23" t="n">
        <f aca="false">E141*$F$3*L141*G141/1000</f>
        <v>2885333.63592</v>
      </c>
      <c r="J141" s="23" t="n">
        <f aca="false">I141-H141</f>
        <v>0</v>
      </c>
      <c r="K141" s="24" t="n">
        <f aca="false">IFERROR(J141/H141,0)</f>
        <v>0</v>
      </c>
      <c r="L141" s="25" t="n">
        <f aca="false">IF(D141="район",IFERROR(VLOOKUP(B141,'БКПН (приказ 170)'!$A$4:$C$10,3,FALSE()),$F$2),$F$2)</f>
        <v>1686.17</v>
      </c>
    </row>
    <row r="142" customFormat="false" ht="15" hidden="false" customHeight="false" outlineLevel="0" collapsed="false">
      <c r="A142" s="20" t="s">
        <v>184</v>
      </c>
      <c r="B142" s="20" t="s">
        <v>16</v>
      </c>
      <c r="C142" s="20" t="str">
        <f aca="false">'Расчет Кплотн'!C142</f>
        <v>Жалагашский район</v>
      </c>
      <c r="D142" s="20" t="str">
        <f aca="false">'Расчет Кплотн'!D142</f>
        <v>район</v>
      </c>
      <c r="E142" s="21" t="n">
        <f aca="false">SUMIFS('РПН 01.08 по МО'!$D:$D,'РПН 01.08 по МО'!$E:$E,A142)</f>
        <v>31043</v>
      </c>
      <c r="F142" s="22" t="n">
        <f aca="false">'Расчет Кплотн'!K142</f>
        <v>2</v>
      </c>
      <c r="G142" s="22" t="n">
        <f aca="false">'Расчет Кплотн'!J142</f>
        <v>2</v>
      </c>
      <c r="H142" s="23" t="n">
        <f aca="false">E142*$F$3*L142*F142/1000</f>
        <v>1256250.60744</v>
      </c>
      <c r="I142" s="23" t="n">
        <f aca="false">E142*$F$3*L142*G142/1000</f>
        <v>1256250.60744</v>
      </c>
      <c r="J142" s="23" t="n">
        <f aca="false">I142-H142</f>
        <v>0</v>
      </c>
      <c r="K142" s="24" t="n">
        <f aca="false">IFERROR(J142/H142,0)</f>
        <v>0</v>
      </c>
      <c r="L142" s="25" t="n">
        <f aca="false">IF(D142="район",IFERROR(VLOOKUP(B142,'БКПН (приказ 170)'!$A$4:$C$10,3,FALSE()),$F$2),$F$2)</f>
        <v>1686.17</v>
      </c>
    </row>
    <row r="143" customFormat="false" ht="15" hidden="false" customHeight="false" outlineLevel="0" collapsed="false">
      <c r="A143" s="20" t="s">
        <v>185</v>
      </c>
      <c r="B143" s="20" t="s">
        <v>16</v>
      </c>
      <c r="C143" s="20" t="str">
        <f aca="false">'Расчет Кплотн'!C143</f>
        <v>Жанакорганский район</v>
      </c>
      <c r="D143" s="20" t="str">
        <f aca="false">'Расчет Кплотн'!D143</f>
        <v>район</v>
      </c>
      <c r="E143" s="21" t="n">
        <f aca="false">SUMIFS('РПН 01.08 по МО'!$D:$D,'РПН 01.08 по МО'!$E:$E,A143)</f>
        <v>73194</v>
      </c>
      <c r="F143" s="22" t="n">
        <f aca="false">'Расчет Кплотн'!K143</f>
        <v>1.392</v>
      </c>
      <c r="G143" s="22" t="n">
        <f aca="false">'Расчет Кплотн'!J143</f>
        <v>2</v>
      </c>
      <c r="H143" s="23" t="n">
        <f aca="false">E143*$F$3*L143*F143/1000</f>
        <v>2061566.37067392</v>
      </c>
      <c r="I143" s="23" t="n">
        <f aca="false">E143*$F$3*L143*G143/1000</f>
        <v>2962020.64752</v>
      </c>
      <c r="J143" s="23" t="n">
        <f aca="false">I143-H143</f>
        <v>900454.27684608</v>
      </c>
      <c r="K143" s="24" t="n">
        <f aca="false">IFERROR(J143/H143,0)</f>
        <v>0.436781609195402</v>
      </c>
      <c r="L143" s="25" t="n">
        <f aca="false">IF(D143="район",IFERROR(VLOOKUP(B143,'БКПН (приказ 170)'!$A$4:$C$10,3,FALSE()),$F$2),$F$2)</f>
        <v>1686.17</v>
      </c>
    </row>
    <row r="144" customFormat="false" ht="15" hidden="false" customHeight="false" outlineLevel="0" collapsed="false">
      <c r="A144" s="20" t="s">
        <v>186</v>
      </c>
      <c r="B144" s="20" t="s">
        <v>16</v>
      </c>
      <c r="C144" s="20" t="str">
        <f aca="false">'Расчет Кплотн'!C144</f>
        <v>Казалинский район</v>
      </c>
      <c r="D144" s="20" t="str">
        <f aca="false">'Расчет Кплотн'!D144</f>
        <v>район</v>
      </c>
      <c r="E144" s="21" t="n">
        <f aca="false">SUMIFS('РПН 01.08 по МО'!$D:$D,'РПН 01.08 по МО'!$E:$E,A144)</f>
        <v>76457</v>
      </c>
      <c r="F144" s="22" t="n">
        <f aca="false">'Расчет Кплотн'!K144</f>
        <v>1.9817</v>
      </c>
      <c r="G144" s="22" t="n">
        <f aca="false">'Расчет Кплотн'!J144</f>
        <v>2</v>
      </c>
      <c r="H144" s="23" t="n">
        <f aca="false">E144*$F$3*L144*F144/1000</f>
        <v>3065757.27042808</v>
      </c>
      <c r="I144" s="23" t="n">
        <f aca="false">E144*$F$3*L144*G144/1000</f>
        <v>3094067.99256</v>
      </c>
      <c r="J144" s="23" t="n">
        <f aca="false">I144-H144</f>
        <v>28310.7221319242</v>
      </c>
      <c r="K144" s="24" t="n">
        <f aca="false">IFERROR(J144/H144,0)</f>
        <v>0.00923449563506089</v>
      </c>
      <c r="L144" s="25" t="n">
        <f aca="false">IF(D144="район",IFERROR(VLOOKUP(B144,'БКПН (приказ 170)'!$A$4:$C$10,3,FALSE()),$F$2),$F$2)</f>
        <v>1686.17</v>
      </c>
    </row>
    <row r="145" customFormat="false" ht="15" hidden="false" customHeight="false" outlineLevel="0" collapsed="false">
      <c r="A145" s="20" t="s">
        <v>187</v>
      </c>
      <c r="B145" s="20" t="s">
        <v>16</v>
      </c>
      <c r="C145" s="20" t="str">
        <f aca="false">'Расчет Кплотн'!C145</f>
        <v>Кармакшинский район</v>
      </c>
      <c r="D145" s="20" t="str">
        <f aca="false">'Расчет Кплотн'!D145</f>
        <v>район</v>
      </c>
      <c r="E145" s="21" t="n">
        <f aca="false">SUMIFS('РПН 01.08 по МО'!$D:$D,'РПН 01.08 по МО'!$E:$E,A145)</f>
        <v>30348</v>
      </c>
      <c r="F145" s="22" t="n">
        <f aca="false">'Расчет Кплотн'!K145</f>
        <v>2</v>
      </c>
      <c r="G145" s="22" t="n">
        <f aca="false">'Расчет Кплотн'!J145</f>
        <v>2</v>
      </c>
      <c r="H145" s="23" t="n">
        <f aca="false">E145*$F$3*L145*F145/1000</f>
        <v>1228125.29184</v>
      </c>
      <c r="I145" s="23" t="n">
        <f aca="false">E145*$F$3*L145*G145/1000</f>
        <v>1228125.29184</v>
      </c>
      <c r="J145" s="23" t="n">
        <f aca="false">I145-H145</f>
        <v>0</v>
      </c>
      <c r="K145" s="24" t="n">
        <f aca="false">IFERROR(J145/H145,0)</f>
        <v>0</v>
      </c>
      <c r="L145" s="25" t="n">
        <f aca="false">IF(D145="район",IFERROR(VLOOKUP(B145,'БКПН (приказ 170)'!$A$4:$C$10,3,FALSE()),$F$2),$F$2)</f>
        <v>1686.17</v>
      </c>
    </row>
    <row r="146" customFormat="false" ht="15" hidden="false" customHeight="false" outlineLevel="0" collapsed="false">
      <c r="A146" s="20" t="s">
        <v>188</v>
      </c>
      <c r="B146" s="20" t="s">
        <v>16</v>
      </c>
      <c r="C146" s="20" t="str">
        <f aca="false">'Расчет Кплотн'!C146</f>
        <v>Сырдарьинский район</v>
      </c>
      <c r="D146" s="20" t="str">
        <f aca="false">'Расчет Кплотн'!D146</f>
        <v>район</v>
      </c>
      <c r="E146" s="21" t="n">
        <f aca="false">SUMIFS('РПН 01.08 по МО'!$D:$D,'РПН 01.08 по МО'!$E:$E,A146)</f>
        <v>33447</v>
      </c>
      <c r="F146" s="22" t="n">
        <f aca="false">'Расчет Кплотн'!K146</f>
        <v>2</v>
      </c>
      <c r="G146" s="22" t="n">
        <f aca="false">'Расчет Кплотн'!J146</f>
        <v>2</v>
      </c>
      <c r="H146" s="23" t="n">
        <f aca="false">E146*$F$3*L146*F146/1000</f>
        <v>1353535.87176</v>
      </c>
      <c r="I146" s="23" t="n">
        <f aca="false">E146*$F$3*L146*G146/1000</f>
        <v>1353535.87176</v>
      </c>
      <c r="J146" s="23" t="n">
        <f aca="false">I146-H146</f>
        <v>0</v>
      </c>
      <c r="K146" s="24" t="n">
        <f aca="false">IFERROR(J146/H146,0)</f>
        <v>0</v>
      </c>
      <c r="L146" s="25" t="n">
        <f aca="false">IF(D146="район",IFERROR(VLOOKUP(B146,'БКПН (приказ 170)'!$A$4:$C$10,3,FALSE()),$F$2),$F$2)</f>
        <v>1686.17</v>
      </c>
    </row>
    <row r="147" customFormat="false" ht="15" hidden="false" customHeight="false" outlineLevel="0" collapsed="false">
      <c r="A147" s="20" t="s">
        <v>189</v>
      </c>
      <c r="B147" s="20" t="s">
        <v>16</v>
      </c>
      <c r="C147" s="20" t="str">
        <f aca="false">'Расчет Кплотн'!C147</f>
        <v>Шиелийский район</v>
      </c>
      <c r="D147" s="20" t="str">
        <f aca="false">'Расчет Кплотн'!D147</f>
        <v>район</v>
      </c>
      <c r="E147" s="21" t="n">
        <f aca="false">SUMIFS('РПН 01.08 по МО'!$D:$D,'РПН 01.08 по МО'!$E:$E,A147)</f>
        <v>77979</v>
      </c>
      <c r="F147" s="22" t="n">
        <f aca="false">'Расчет Кплотн'!K147</f>
        <v>1.7795</v>
      </c>
      <c r="G147" s="22" t="n">
        <f aca="false">'Расчет Кплотн'!J147</f>
        <v>2</v>
      </c>
      <c r="H147" s="23" t="n">
        <f aca="false">E147*$F$3*L147*F147/1000</f>
        <v>2807748.85008222</v>
      </c>
      <c r="I147" s="23" t="n">
        <f aca="false">E147*$F$3*L147*G147/1000</f>
        <v>3155660.41032</v>
      </c>
      <c r="J147" s="23" t="n">
        <f aca="false">I147-H147</f>
        <v>347911.56023778</v>
      </c>
      <c r="K147" s="24" t="n">
        <f aca="false">IFERROR(J147/H147,0)</f>
        <v>0.12391121101433</v>
      </c>
      <c r="L147" s="25" t="n">
        <f aca="false">IF(D147="район",IFERROR(VLOOKUP(B147,'БКПН (приказ 170)'!$A$4:$C$10,3,FALSE()),$F$2),$F$2)</f>
        <v>1686.17</v>
      </c>
    </row>
    <row r="148" customFormat="false" ht="15" hidden="false" customHeight="false" outlineLevel="0" collapsed="false">
      <c r="A148" s="20" t="s">
        <v>190</v>
      </c>
      <c r="B148" s="20" t="s">
        <v>17</v>
      </c>
      <c r="C148" s="20" t="str">
        <f aca="false">'Расчет Кплотн'!C148</f>
        <v>Актау</v>
      </c>
      <c r="D148" s="20" t="str">
        <f aca="false">'Расчет Кплотн'!D148</f>
        <v>областной центр</v>
      </c>
      <c r="E148" s="21" t="n">
        <f aca="false">SUMIFS('РПН 01.08 по МО'!$D:$D,'РПН 01.08 по МО'!$E:$E,A148)</f>
        <v>350713</v>
      </c>
      <c r="F148" s="22" t="n">
        <f aca="false">'Расчет Кплотн'!K148</f>
        <v>1</v>
      </c>
      <c r="G148" s="22" t="n">
        <f aca="false">'Расчет Кплотн'!J148</f>
        <v>1</v>
      </c>
      <c r="H148" s="23" t="n">
        <f aca="false">E148*$F$3*L148*F148/1000</f>
        <v>7096340.87052</v>
      </c>
      <c r="I148" s="23" t="n">
        <f aca="false">E148*$F$3*L148*G148/1000</f>
        <v>7096340.87052</v>
      </c>
      <c r="J148" s="23" t="n">
        <f aca="false">I148-H148</f>
        <v>0</v>
      </c>
      <c r="K148" s="24" t="n">
        <f aca="false">IFERROR(J148/H148,0)</f>
        <v>0</v>
      </c>
      <c r="L148" s="25" t="n">
        <f aca="false">IF(D148="район",IFERROR(VLOOKUP(B148,'БКПН (приказ 170)'!$A$4:$C$10,3,FALSE()),$F$2),$F$2)</f>
        <v>1686.17</v>
      </c>
    </row>
    <row r="149" customFormat="false" ht="15" hidden="false" customHeight="false" outlineLevel="0" collapsed="false">
      <c r="A149" s="20" t="s">
        <v>191</v>
      </c>
      <c r="B149" s="20" t="s">
        <v>17</v>
      </c>
      <c r="C149" s="20" t="str">
        <f aca="false">'Расчет Кплотн'!C149</f>
        <v>Жанаозен</v>
      </c>
      <c r="D149" s="20" t="str">
        <f aca="false">'Расчет Кплотн'!D149</f>
        <v>моногород / малый город</v>
      </c>
      <c r="E149" s="21" t="n">
        <f aca="false">SUMIFS('РПН 01.08 по МО'!$D:$D,'РПН 01.08 по МО'!$E:$E,A149)</f>
        <v>148708</v>
      </c>
      <c r="F149" s="22" t="n">
        <f aca="false">'Расчет Кплотн'!K149</f>
        <v>1.5</v>
      </c>
      <c r="G149" s="22" t="n">
        <f aca="false">'Расчет Кплотн'!J149</f>
        <v>1.5</v>
      </c>
      <c r="H149" s="23" t="n">
        <f aca="false">E149*$F$3*L149*F149/1000</f>
        <v>4513445.43048</v>
      </c>
      <c r="I149" s="23" t="n">
        <f aca="false">E149*$F$3*L149*G149/1000</f>
        <v>4513445.43048</v>
      </c>
      <c r="J149" s="23" t="n">
        <f aca="false">I149-H149</f>
        <v>0</v>
      </c>
      <c r="K149" s="24" t="n">
        <f aca="false">IFERROR(J149/H149,0)</f>
        <v>0</v>
      </c>
      <c r="L149" s="25" t="n">
        <f aca="false">IF(D149="район",IFERROR(VLOOKUP(B149,'БКПН (приказ 170)'!$A$4:$C$10,3,FALSE()),$F$2),$F$2)</f>
        <v>1686.17</v>
      </c>
    </row>
    <row r="150" customFormat="false" ht="15" hidden="false" customHeight="false" outlineLevel="0" collapsed="false">
      <c r="A150" s="20" t="s">
        <v>192</v>
      </c>
      <c r="B150" s="20" t="s">
        <v>17</v>
      </c>
      <c r="C150" s="20" t="str">
        <f aca="false">'Расчет Кплотн'!C150</f>
        <v>Бейнеуский район</v>
      </c>
      <c r="D150" s="20" t="str">
        <f aca="false">'Расчет Кплотн'!D150</f>
        <v>район</v>
      </c>
      <c r="E150" s="21" t="n">
        <f aca="false">SUMIFS('РПН 01.08 по МО'!$D:$D,'РПН 01.08 по МО'!$E:$E,A150)</f>
        <v>57261</v>
      </c>
      <c r="F150" s="22" t="n">
        <f aca="false">'Расчет Кплотн'!K150</f>
        <v>2</v>
      </c>
      <c r="G150" s="22" t="n">
        <f aca="false">'Расчет Кплотн'!J150</f>
        <v>2</v>
      </c>
      <c r="H150" s="23" t="n">
        <f aca="false">E150*$F$3*L150*F150/1000</f>
        <v>2317242.72888</v>
      </c>
      <c r="I150" s="23" t="n">
        <f aca="false">E150*$F$3*L150*G150/1000</f>
        <v>2317242.72888</v>
      </c>
      <c r="J150" s="23" t="n">
        <f aca="false">I150-H150</f>
        <v>0</v>
      </c>
      <c r="K150" s="24" t="n">
        <f aca="false">IFERROR(J150/H150,0)</f>
        <v>0</v>
      </c>
      <c r="L150" s="25" t="n">
        <f aca="false">IF(D150="район",IFERROR(VLOOKUP(B150,'БКПН (приказ 170)'!$A$4:$C$10,3,FALSE()),$F$2),$F$2)</f>
        <v>1686.17</v>
      </c>
    </row>
    <row r="151" customFormat="false" ht="15" hidden="false" customHeight="false" outlineLevel="0" collapsed="false">
      <c r="A151" s="20" t="s">
        <v>193</v>
      </c>
      <c r="B151" s="20" t="s">
        <v>17</v>
      </c>
      <c r="C151" s="20" t="str">
        <f aca="false">'Расчет Кплотн'!C151</f>
        <v>Каракиянский район</v>
      </c>
      <c r="D151" s="20" t="str">
        <f aca="false">'Расчет Кплотн'!D151</f>
        <v>район</v>
      </c>
      <c r="E151" s="21" t="n">
        <f aca="false">SUMIFS('РПН 01.08 по МО'!$D:$D,'РПН 01.08 по МО'!$E:$E,A151)</f>
        <v>38124</v>
      </c>
      <c r="F151" s="22" t="n">
        <f aca="false">'Расчет Кплотн'!K151</f>
        <v>2</v>
      </c>
      <c r="G151" s="22" t="n">
        <f aca="false">'Расчет Кплотн'!J151</f>
        <v>2</v>
      </c>
      <c r="H151" s="23" t="n">
        <f aca="false">E151*$F$3*L151*F151/1000</f>
        <v>1542805.08192</v>
      </c>
      <c r="I151" s="23" t="n">
        <f aca="false">E151*$F$3*L151*G151/1000</f>
        <v>1542805.08192</v>
      </c>
      <c r="J151" s="23" t="n">
        <f aca="false">I151-H151</f>
        <v>0</v>
      </c>
      <c r="K151" s="24" t="n">
        <f aca="false">IFERROR(J151/H151,0)</f>
        <v>0</v>
      </c>
      <c r="L151" s="25" t="n">
        <f aca="false">IF(D151="район",IFERROR(VLOOKUP(B151,'БКПН (приказ 170)'!$A$4:$C$10,3,FALSE()),$F$2),$F$2)</f>
        <v>1686.17</v>
      </c>
    </row>
    <row r="152" customFormat="false" ht="15" hidden="false" customHeight="false" outlineLevel="0" collapsed="false">
      <c r="A152" s="20" t="s">
        <v>194</v>
      </c>
      <c r="B152" s="20" t="s">
        <v>17</v>
      </c>
      <c r="C152" s="20" t="str">
        <f aca="false">'Расчет Кплотн'!C152</f>
        <v>Мангистауский район</v>
      </c>
      <c r="D152" s="20" t="str">
        <f aca="false">'Расчет Кплотн'!D152</f>
        <v>район</v>
      </c>
      <c r="E152" s="21" t="n">
        <f aca="false">SUMIFS('РПН 01.08 по МО'!$D:$D,'РПН 01.08 по МО'!$E:$E,A152)</f>
        <v>30824</v>
      </c>
      <c r="F152" s="22" t="n">
        <f aca="false">'Расчет Кплотн'!K152</f>
        <v>2</v>
      </c>
      <c r="G152" s="22" t="n">
        <f aca="false">'Расчет Кплотн'!J152</f>
        <v>2</v>
      </c>
      <c r="H152" s="23" t="n">
        <f aca="false">E152*$F$3*L152*F152/1000</f>
        <v>1247388.09792</v>
      </c>
      <c r="I152" s="23" t="n">
        <f aca="false">E152*$F$3*L152*G152/1000</f>
        <v>1247388.09792</v>
      </c>
      <c r="J152" s="23" t="n">
        <f aca="false">I152-H152</f>
        <v>0</v>
      </c>
      <c r="K152" s="24" t="n">
        <f aca="false">IFERROR(J152/H152,0)</f>
        <v>0</v>
      </c>
      <c r="L152" s="25" t="n">
        <f aca="false">IF(D152="район",IFERROR(VLOOKUP(B152,'БКПН (приказ 170)'!$A$4:$C$10,3,FALSE()),$F$2),$F$2)</f>
        <v>1686.17</v>
      </c>
    </row>
    <row r="153" customFormat="false" ht="15" hidden="false" customHeight="false" outlineLevel="0" collapsed="false">
      <c r="A153" s="20" t="s">
        <v>195</v>
      </c>
      <c r="B153" s="20" t="s">
        <v>17</v>
      </c>
      <c r="C153" s="20" t="str">
        <f aca="false">'Расчет Кплотн'!C153</f>
        <v>Мунайлинский район</v>
      </c>
      <c r="D153" s="20" t="str">
        <f aca="false">'Расчет Кплотн'!D153</f>
        <v>район</v>
      </c>
      <c r="E153" s="21" t="n">
        <f aca="false">SUMIFS('РПН 01.08 по МО'!$D:$D,'РПН 01.08 по МО'!$E:$E,A153)</f>
        <v>173089</v>
      </c>
      <c r="F153" s="22" t="n">
        <f aca="false">'Расчет Кплотн'!K153</f>
        <v>1.061</v>
      </c>
      <c r="G153" s="22" t="n">
        <f aca="false">'Расчет Кплотн'!J153</f>
        <v>1.1481</v>
      </c>
      <c r="H153" s="23" t="n">
        <f aca="false">E153*$F$3*L153*F153/1000</f>
        <v>3715929.42428316</v>
      </c>
      <c r="I153" s="23" t="n">
        <f aca="false">E153*$F$3*L153*G153/1000</f>
        <v>4020978.86146984</v>
      </c>
      <c r="J153" s="23" t="n">
        <f aca="false">I153-H153</f>
        <v>305049.437186676</v>
      </c>
      <c r="K153" s="24" t="n">
        <f aca="false">IFERROR(J153/H153,0)</f>
        <v>0.0820923656927427</v>
      </c>
      <c r="L153" s="25" t="n">
        <f aca="false">IF(D153="район",IFERROR(VLOOKUP(B153,'БКПН (приказ 170)'!$A$4:$C$10,3,FALSE()),$F$2),$F$2)</f>
        <v>1686.17</v>
      </c>
    </row>
    <row r="154" customFormat="false" ht="15" hidden="false" customHeight="false" outlineLevel="0" collapsed="false">
      <c r="A154" s="20" t="s">
        <v>196</v>
      </c>
      <c r="B154" s="20" t="s">
        <v>17</v>
      </c>
      <c r="C154" s="20" t="str">
        <f aca="false">'Расчет Кплотн'!C154</f>
        <v>Тупкараганский район</v>
      </c>
      <c r="D154" s="20" t="str">
        <f aca="false">'Расчет Кплотн'!D154</f>
        <v>район</v>
      </c>
      <c r="E154" s="21" t="n">
        <f aca="false">SUMIFS('РПН 01.08 по МО'!$D:$D,'РПН 01.08 по МО'!$E:$E,A154)</f>
        <v>33055</v>
      </c>
      <c r="F154" s="22" t="n">
        <f aca="false">'Расчет Кплотн'!K154</f>
        <v>1.4236</v>
      </c>
      <c r="G154" s="22" t="n">
        <f aca="false">'Расчет Кплотн'!J154</f>
        <v>2</v>
      </c>
      <c r="H154" s="23" t="n">
        <f aca="false">E154*$F$3*L154*F154/1000</f>
        <v>952155.20321592</v>
      </c>
      <c r="I154" s="23" t="n">
        <f aca="false">E154*$F$3*L154*G154/1000</f>
        <v>1337672.3844</v>
      </c>
      <c r="J154" s="23" t="n">
        <f aca="false">I154-H154</f>
        <v>385517.18118408</v>
      </c>
      <c r="K154" s="24" t="n">
        <f aca="false">IFERROR(J154/H154,0)</f>
        <v>0.404889013767912</v>
      </c>
      <c r="L154" s="25" t="n">
        <f aca="false">IF(D154="район",IFERROR(VLOOKUP(B154,'БКПН (приказ 170)'!$A$4:$C$10,3,FALSE()),$F$2),$F$2)</f>
        <v>1686.17</v>
      </c>
    </row>
    <row r="155" customFormat="false" ht="15" hidden="false" customHeight="false" outlineLevel="0" collapsed="false">
      <c r="A155" s="20" t="s">
        <v>197</v>
      </c>
      <c r="B155" s="20" t="s">
        <v>18</v>
      </c>
      <c r="C155" s="20" t="str">
        <f aca="false">'Расчет Кплотн'!C155</f>
        <v>Павлодар</v>
      </c>
      <c r="D155" s="20" t="str">
        <f aca="false">'Расчет Кплотн'!D155</f>
        <v>областной центр</v>
      </c>
      <c r="E155" s="21" t="n">
        <f aca="false">SUMIFS('РПН 01.08 по МО'!$D:$D,'РПН 01.08 по МО'!$E:$E,A155)</f>
        <v>392193</v>
      </c>
      <c r="F155" s="22" t="n">
        <f aca="false">'Расчет Кплотн'!K155</f>
        <v>1</v>
      </c>
      <c r="G155" s="22" t="n">
        <f aca="false">'Расчет Кплотн'!J155</f>
        <v>1</v>
      </c>
      <c r="H155" s="23" t="n">
        <f aca="false">E155*$F$3*L155*F155/1000</f>
        <v>7935648.84972</v>
      </c>
      <c r="I155" s="23" t="n">
        <f aca="false">E155*$F$3*L155*G155/1000</f>
        <v>7935648.84972</v>
      </c>
      <c r="J155" s="23" t="n">
        <f aca="false">I155-H155</f>
        <v>0</v>
      </c>
      <c r="K155" s="24" t="n">
        <f aca="false">IFERROR(J155/H155,0)</f>
        <v>0</v>
      </c>
      <c r="L155" s="25" t="n">
        <f aca="false">IF(D155="район",IFERROR(VLOOKUP(B155,'БКПН (приказ 170)'!$A$4:$C$10,3,FALSE()),$F$2),$F$2)</f>
        <v>1686.17</v>
      </c>
    </row>
    <row r="156" customFormat="false" ht="15" hidden="false" customHeight="false" outlineLevel="0" collapsed="false">
      <c r="A156" s="20" t="s">
        <v>198</v>
      </c>
      <c r="B156" s="20" t="s">
        <v>18</v>
      </c>
      <c r="C156" s="20" t="str">
        <f aca="false">'Расчет Кплотн'!C156</f>
        <v>Аксу</v>
      </c>
      <c r="D156" s="20" t="str">
        <f aca="false">'Расчет Кплотн'!D156</f>
        <v>моногород / малый город</v>
      </c>
      <c r="E156" s="21" t="n">
        <f aca="false">SUMIFS('РПН 01.08 по МО'!$D:$D,'РПН 01.08 по МО'!$E:$E,A156)</f>
        <v>70759</v>
      </c>
      <c r="F156" s="22" t="n">
        <f aca="false">'Расчет Кплотн'!K156</f>
        <v>1.5</v>
      </c>
      <c r="G156" s="22" t="n">
        <f aca="false">'Расчет Кплотн'!J156</f>
        <v>1.5</v>
      </c>
      <c r="H156" s="23" t="n">
        <f aca="false">E156*$F$3*L156*F156/1000</f>
        <v>2147610.65454</v>
      </c>
      <c r="I156" s="23" t="n">
        <f aca="false">E156*$F$3*L156*G156/1000</f>
        <v>2147610.65454</v>
      </c>
      <c r="J156" s="23" t="n">
        <f aca="false">I156-H156</f>
        <v>0</v>
      </c>
      <c r="K156" s="24" t="n">
        <f aca="false">IFERROR(J156/H156,0)</f>
        <v>0</v>
      </c>
      <c r="L156" s="25" t="n">
        <f aca="false">IF(D156="район",IFERROR(VLOOKUP(B156,'БКПН (приказ 170)'!$A$4:$C$10,3,FALSE()),$F$2),$F$2)</f>
        <v>1686.17</v>
      </c>
    </row>
    <row r="157" customFormat="false" ht="15" hidden="false" customHeight="false" outlineLevel="0" collapsed="false">
      <c r="A157" s="20" t="s">
        <v>199</v>
      </c>
      <c r="B157" s="20" t="s">
        <v>18</v>
      </c>
      <c r="C157" s="20" t="str">
        <f aca="false">'Расчет Кплотн'!C157</f>
        <v>Экибастуз</v>
      </c>
      <c r="D157" s="20" t="str">
        <f aca="false">'Расчет Кплотн'!D157</f>
        <v>моногород / малый город</v>
      </c>
      <c r="E157" s="21" t="n">
        <f aca="false">SUMIFS('РПН 01.08 по МО'!$D:$D,'РПН 01.08 по МО'!$E:$E,A157)</f>
        <v>143609</v>
      </c>
      <c r="F157" s="22" t="n">
        <f aca="false">'Расчет Кплотн'!K157</f>
        <v>1.5</v>
      </c>
      <c r="G157" s="22" t="n">
        <f aca="false">'Расчет Кплотн'!J157</f>
        <v>1.5</v>
      </c>
      <c r="H157" s="23" t="n">
        <f aca="false">E157*$F$3*L157*F157/1000</f>
        <v>4358685.37554</v>
      </c>
      <c r="I157" s="23" t="n">
        <f aca="false">E157*$F$3*L157*G157/1000</f>
        <v>4358685.37554</v>
      </c>
      <c r="J157" s="23" t="n">
        <f aca="false">I157-H157</f>
        <v>0</v>
      </c>
      <c r="K157" s="24" t="n">
        <f aca="false">IFERROR(J157/H157,0)</f>
        <v>0</v>
      </c>
      <c r="L157" s="25" t="n">
        <f aca="false">IF(D157="район",IFERROR(VLOOKUP(B157,'БКПН (приказ 170)'!$A$4:$C$10,3,FALSE()),$F$2),$F$2)</f>
        <v>1686.17</v>
      </c>
    </row>
    <row r="158" customFormat="false" ht="15" hidden="false" customHeight="false" outlineLevel="0" collapsed="false">
      <c r="A158" s="20" t="s">
        <v>200</v>
      </c>
      <c r="B158" s="20" t="s">
        <v>18</v>
      </c>
      <c r="C158" s="20" t="str">
        <f aca="false">'Расчет Кплотн'!C158</f>
        <v>Актогайский район</v>
      </c>
      <c r="D158" s="20" t="str">
        <f aca="false">'Расчет Кплотн'!D158</f>
        <v>район</v>
      </c>
      <c r="E158" s="21" t="n">
        <f aca="false">SUMIFS('РПН 01.08 по МО'!$D:$D,'РПН 01.08 по МО'!$E:$E,A158)</f>
        <v>9614</v>
      </c>
      <c r="F158" s="22" t="n">
        <f aca="false">'Расчет Кплотн'!K158</f>
        <v>2</v>
      </c>
      <c r="G158" s="22" t="n">
        <f aca="false">'Расчет Кплотн'!J158</f>
        <v>2</v>
      </c>
      <c r="H158" s="23" t="n">
        <f aca="false">E158*$F$3*L158*F158/1000</f>
        <v>519112.16016</v>
      </c>
      <c r="I158" s="23" t="n">
        <f aca="false">E158*$F$3*L158*G158/1000</f>
        <v>519112.16016</v>
      </c>
      <c r="J158" s="23" t="n">
        <f aca="false">I158-H158</f>
        <v>0</v>
      </c>
      <c r="K158" s="24" t="n">
        <f aca="false">IFERROR(J158/H158,0)</f>
        <v>0</v>
      </c>
      <c r="L158" s="25" t="n">
        <f aca="false">IF(D158="район",IFERROR(VLOOKUP(B158,'БКПН (приказ 170)'!$A$4:$C$10,3,FALSE()),$F$2),$F$2)</f>
        <v>2249.81</v>
      </c>
    </row>
    <row r="159" customFormat="false" ht="15" hidden="false" customHeight="false" outlineLevel="0" collapsed="false">
      <c r="A159" s="20" t="s">
        <v>201</v>
      </c>
      <c r="B159" s="20" t="s">
        <v>18</v>
      </c>
      <c r="C159" s="20" t="str">
        <f aca="false">'Расчет Кплотн'!C159</f>
        <v>Баянаульский район</v>
      </c>
      <c r="D159" s="20" t="str">
        <f aca="false">'Расчет Кплотн'!D159</f>
        <v>район</v>
      </c>
      <c r="E159" s="21" t="n">
        <f aca="false">SUMIFS('РПН 01.08 по МО'!$D:$D,'РПН 01.08 по МО'!$E:$E,A159)</f>
        <v>19924</v>
      </c>
      <c r="F159" s="22" t="n">
        <f aca="false">'Расчет Кплотн'!K159</f>
        <v>2</v>
      </c>
      <c r="G159" s="22" t="n">
        <f aca="false">'Расчет Кплотн'!J159</f>
        <v>2</v>
      </c>
      <c r="H159" s="23" t="n">
        <f aca="false">E159*$F$3*L159*F159/1000</f>
        <v>1075805.14656</v>
      </c>
      <c r="I159" s="23" t="n">
        <f aca="false">E159*$F$3*L159*G159/1000</f>
        <v>1075805.14656</v>
      </c>
      <c r="J159" s="23" t="n">
        <f aca="false">I159-H159</f>
        <v>0</v>
      </c>
      <c r="K159" s="24" t="n">
        <f aca="false">IFERROR(J159/H159,0)</f>
        <v>0</v>
      </c>
      <c r="L159" s="25" t="n">
        <f aca="false">IF(D159="район",IFERROR(VLOOKUP(B159,'БКПН (приказ 170)'!$A$4:$C$10,3,FALSE()),$F$2),$F$2)</f>
        <v>2249.81</v>
      </c>
    </row>
    <row r="160" customFormat="false" ht="15" hidden="false" customHeight="false" outlineLevel="0" collapsed="false">
      <c r="A160" s="20" t="s">
        <v>202</v>
      </c>
      <c r="B160" s="20" t="s">
        <v>18</v>
      </c>
      <c r="C160" s="20" t="str">
        <f aca="false">'Расчет Кплотн'!C160</f>
        <v>Железинский район</v>
      </c>
      <c r="D160" s="20" t="str">
        <f aca="false">'Расчет Кплотн'!D160</f>
        <v>район</v>
      </c>
      <c r="E160" s="21" t="n">
        <f aca="false">SUMIFS('РПН 01.08 по МО'!$D:$D,'РПН 01.08 по МО'!$E:$E,A160)</f>
        <v>12168</v>
      </c>
      <c r="F160" s="22" t="n">
        <f aca="false">'Расчет Кплотн'!K160</f>
        <v>2</v>
      </c>
      <c r="G160" s="22" t="n">
        <f aca="false">'Расчет Кплотн'!J160</f>
        <v>2</v>
      </c>
      <c r="H160" s="23" t="n">
        <f aca="false">E160*$F$3*L160*F160/1000</f>
        <v>657016.51392</v>
      </c>
      <c r="I160" s="23" t="n">
        <f aca="false">E160*$F$3*L160*G160/1000</f>
        <v>657016.51392</v>
      </c>
      <c r="J160" s="23" t="n">
        <f aca="false">I160-H160</f>
        <v>0</v>
      </c>
      <c r="K160" s="24" t="n">
        <f aca="false">IFERROR(J160/H160,0)</f>
        <v>0</v>
      </c>
      <c r="L160" s="25" t="n">
        <f aca="false">IF(D160="район",IFERROR(VLOOKUP(B160,'БКПН (приказ 170)'!$A$4:$C$10,3,FALSE()),$F$2),$F$2)</f>
        <v>2249.81</v>
      </c>
    </row>
    <row r="161" customFormat="false" ht="15" hidden="false" customHeight="false" outlineLevel="0" collapsed="false">
      <c r="A161" s="20" t="s">
        <v>203</v>
      </c>
      <c r="B161" s="20" t="s">
        <v>18</v>
      </c>
      <c r="C161" s="20" t="str">
        <f aca="false">'Расчет Кплотн'!C161</f>
        <v>Иртышский район</v>
      </c>
      <c r="D161" s="20" t="str">
        <f aca="false">'Расчет Кплотн'!D161</f>
        <v>район</v>
      </c>
      <c r="E161" s="21" t="n">
        <f aca="false">SUMIFS('РПН 01.08 по МО'!$D:$D,'РПН 01.08 по МО'!$E:$E,A161)</f>
        <v>13636</v>
      </c>
      <c r="F161" s="22" t="n">
        <f aca="false">'Расчет Кплотн'!K161</f>
        <v>2</v>
      </c>
      <c r="G161" s="22" t="n">
        <f aca="false">'Расчет Кплотн'!J161</f>
        <v>2</v>
      </c>
      <c r="H161" s="23" t="n">
        <f aca="false">E161*$F$3*L161*F161/1000</f>
        <v>736281.81984</v>
      </c>
      <c r="I161" s="23" t="n">
        <f aca="false">E161*$F$3*L161*G161/1000</f>
        <v>736281.81984</v>
      </c>
      <c r="J161" s="23" t="n">
        <f aca="false">I161-H161</f>
        <v>0</v>
      </c>
      <c r="K161" s="24" t="n">
        <f aca="false">IFERROR(J161/H161,0)</f>
        <v>0</v>
      </c>
      <c r="L161" s="25" t="n">
        <f aca="false">IF(D161="район",IFERROR(VLOOKUP(B161,'БКПН (приказ 170)'!$A$4:$C$10,3,FALSE()),$F$2),$F$2)</f>
        <v>2249.81</v>
      </c>
    </row>
    <row r="162" customFormat="false" ht="15" hidden="false" customHeight="false" outlineLevel="0" collapsed="false">
      <c r="A162" s="20" t="s">
        <v>204</v>
      </c>
      <c r="B162" s="20" t="s">
        <v>18</v>
      </c>
      <c r="C162" s="20" t="str">
        <f aca="false">'Расчет Кплотн'!C162</f>
        <v>район Тереңкөл</v>
      </c>
      <c r="D162" s="20" t="str">
        <f aca="false">'Расчет Кплотн'!D162</f>
        <v>район</v>
      </c>
      <c r="E162" s="21" t="n">
        <f aca="false">SUMIFS('РПН 01.08 по МО'!$D:$D,'РПН 01.08 по МО'!$E:$E,A162)</f>
        <v>16792</v>
      </c>
      <c r="F162" s="22" t="n">
        <f aca="false">'Расчет Кплотн'!K162</f>
        <v>1.703</v>
      </c>
      <c r="G162" s="22" t="n">
        <f aca="false">'Расчет Кплотн'!J162</f>
        <v>2</v>
      </c>
      <c r="H162" s="23" t="n">
        <f aca="false">E162*$F$3*L162*F162/1000</f>
        <v>772047.75135072</v>
      </c>
      <c r="I162" s="23" t="n">
        <f aca="false">E162*$F$3*L162*G162/1000</f>
        <v>906691.42848</v>
      </c>
      <c r="J162" s="23" t="n">
        <f aca="false">I162-H162</f>
        <v>134643.67712928</v>
      </c>
      <c r="K162" s="24" t="n">
        <f aca="false">IFERROR(J162/H162,0)</f>
        <v>0.174398120963006</v>
      </c>
      <c r="L162" s="25" t="n">
        <f aca="false">IF(D162="район",IFERROR(VLOOKUP(B162,'БКПН (приказ 170)'!$A$4:$C$10,3,FALSE()),$F$2),$F$2)</f>
        <v>2249.81</v>
      </c>
    </row>
    <row r="163" customFormat="false" ht="15" hidden="false" customHeight="false" outlineLevel="0" collapsed="false">
      <c r="A163" s="20" t="s">
        <v>205</v>
      </c>
      <c r="B163" s="20" t="s">
        <v>18</v>
      </c>
      <c r="C163" s="20" t="str">
        <f aca="false">'Расчет Кплотн'!C163</f>
        <v>район Аққулы</v>
      </c>
      <c r="D163" s="20" t="str">
        <f aca="false">'Расчет Кплотн'!D163</f>
        <v>район</v>
      </c>
      <c r="E163" s="21" t="n">
        <f aca="false">SUMIFS('РПН 01.08 по МО'!$D:$D,'РПН 01.08 по МО'!$E:$E,A163)</f>
        <v>9350</v>
      </c>
      <c r="F163" s="22" t="n">
        <f aca="false">'Расчет Кплотн'!K163</f>
        <v>2</v>
      </c>
      <c r="G163" s="22" t="n">
        <f aca="false">'Расчет Кплотн'!J163</f>
        <v>2</v>
      </c>
      <c r="H163" s="23" t="n">
        <f aca="false">E163*$F$3*L163*F163/1000</f>
        <v>504857.364</v>
      </c>
      <c r="I163" s="23" t="n">
        <f aca="false">E163*$F$3*L163*G163/1000</f>
        <v>504857.364</v>
      </c>
      <c r="J163" s="23" t="n">
        <f aca="false">I163-H163</f>
        <v>0</v>
      </c>
      <c r="K163" s="24" t="n">
        <f aca="false">IFERROR(J163/H163,0)</f>
        <v>0</v>
      </c>
      <c r="L163" s="25" t="n">
        <f aca="false">IF(D163="район",IFERROR(VLOOKUP(B163,'БКПН (приказ 170)'!$A$4:$C$10,3,FALSE()),$F$2),$F$2)</f>
        <v>2249.81</v>
      </c>
    </row>
    <row r="164" customFormat="false" ht="15" hidden="false" customHeight="false" outlineLevel="0" collapsed="false">
      <c r="A164" s="20" t="s">
        <v>206</v>
      </c>
      <c r="B164" s="20" t="s">
        <v>18</v>
      </c>
      <c r="C164" s="20" t="str">
        <f aca="false">'Расчет Кплотн'!C164</f>
        <v>Майский район</v>
      </c>
      <c r="D164" s="20" t="str">
        <f aca="false">'Расчет Кплотн'!D164</f>
        <v>район</v>
      </c>
      <c r="E164" s="21" t="n">
        <f aca="false">SUMIFS('РПН 01.08 по МО'!$D:$D,'РПН 01.08 по МО'!$E:$E,A164)</f>
        <v>8134</v>
      </c>
      <c r="F164" s="22" t="n">
        <f aca="false">'Расчет Кплотн'!K164</f>
        <v>2</v>
      </c>
      <c r="G164" s="22" t="n">
        <f aca="false">'Расчет Кплотн'!J164</f>
        <v>2</v>
      </c>
      <c r="H164" s="23" t="n">
        <f aca="false">E164*$F$3*L164*F164/1000</f>
        <v>439198.90896</v>
      </c>
      <c r="I164" s="23" t="n">
        <f aca="false">E164*$F$3*L164*G164/1000</f>
        <v>439198.90896</v>
      </c>
      <c r="J164" s="23" t="n">
        <f aca="false">I164-H164</f>
        <v>0</v>
      </c>
      <c r="K164" s="24" t="n">
        <f aca="false">IFERROR(J164/H164,0)</f>
        <v>0</v>
      </c>
      <c r="L164" s="25" t="n">
        <f aca="false">IF(D164="район",IFERROR(VLOOKUP(B164,'БКПН (приказ 170)'!$A$4:$C$10,3,FALSE()),$F$2),$F$2)</f>
        <v>2249.81</v>
      </c>
    </row>
    <row r="165" customFormat="false" ht="15" hidden="false" customHeight="false" outlineLevel="0" collapsed="false">
      <c r="A165" s="20" t="s">
        <v>207</v>
      </c>
      <c r="B165" s="20" t="s">
        <v>18</v>
      </c>
      <c r="C165" s="20" t="str">
        <f aca="false">'Расчет Кплотн'!C165</f>
        <v>Павлодарский район</v>
      </c>
      <c r="D165" s="20" t="str">
        <f aca="false">'Расчет Кплотн'!D165</f>
        <v>район</v>
      </c>
      <c r="E165" s="21" t="n">
        <f aca="false">SUMIFS('РПН 01.08 по МО'!$D:$D,'РПН 01.08 по МО'!$E:$E,A165)</f>
        <v>23097</v>
      </c>
      <c r="F165" s="22" t="n">
        <f aca="false">'Расчет Кплотн'!K165</f>
        <v>1.4472</v>
      </c>
      <c r="G165" s="22" t="n">
        <f aca="false">'Расчет Кплотн'!J165</f>
        <v>2</v>
      </c>
      <c r="H165" s="23" t="n">
        <f aca="false">E165*$F$3*L165*F165/1000</f>
        <v>902425.205569248</v>
      </c>
      <c r="I165" s="23" t="n">
        <f aca="false">E165*$F$3*L165*G165/1000</f>
        <v>1247132.67768</v>
      </c>
      <c r="J165" s="23" t="n">
        <f aca="false">I165-H165</f>
        <v>344707.472110752</v>
      </c>
      <c r="K165" s="24" t="n">
        <f aca="false">IFERROR(J165/H165,0)</f>
        <v>0.381978993919292</v>
      </c>
      <c r="L165" s="25" t="n">
        <f aca="false">IF(D165="район",IFERROR(VLOOKUP(B165,'БКПН (приказ 170)'!$A$4:$C$10,3,FALSE()),$F$2),$F$2)</f>
        <v>2249.81</v>
      </c>
    </row>
    <row r="166" customFormat="false" ht="15" hidden="false" customHeight="false" outlineLevel="0" collapsed="false">
      <c r="A166" s="20" t="s">
        <v>208</v>
      </c>
      <c r="B166" s="20" t="s">
        <v>18</v>
      </c>
      <c r="C166" s="20" t="str">
        <f aca="false">'Расчет Кплотн'!C166</f>
        <v>Успенский район</v>
      </c>
      <c r="D166" s="20" t="str">
        <f aca="false">'Расчет Кплотн'!D166</f>
        <v>район</v>
      </c>
      <c r="E166" s="21" t="n">
        <f aca="false">SUMIFS('РПН 01.08 по МО'!$D:$D,'РПН 01.08 по МО'!$E:$E,A166)</f>
        <v>10577</v>
      </c>
      <c r="F166" s="22" t="n">
        <f aca="false">'Расчет Кплотн'!K166</f>
        <v>1.9044</v>
      </c>
      <c r="G166" s="22" t="n">
        <f aca="false">'Расчет Кплотн'!J166</f>
        <v>2</v>
      </c>
      <c r="H166" s="23" t="n">
        <f aca="false">E166*$F$3*L166*F166/1000</f>
        <v>543810.721927536</v>
      </c>
      <c r="I166" s="23" t="n">
        <f aca="false">E166*$F$3*L166*G166/1000</f>
        <v>571109.76888</v>
      </c>
      <c r="J166" s="23" t="n">
        <f aca="false">I166-H166</f>
        <v>27299.046952464</v>
      </c>
      <c r="K166" s="24" t="n">
        <f aca="false">IFERROR(J166/H166,0)</f>
        <v>0.0501995379122034</v>
      </c>
      <c r="L166" s="25" t="n">
        <f aca="false">IF(D166="район",IFERROR(VLOOKUP(B166,'БКПН (приказ 170)'!$A$4:$C$10,3,FALSE()),$F$2),$F$2)</f>
        <v>2249.81</v>
      </c>
    </row>
    <row r="167" customFormat="false" ht="15" hidden="false" customHeight="false" outlineLevel="0" collapsed="false">
      <c r="A167" s="20" t="s">
        <v>209</v>
      </c>
      <c r="B167" s="20" t="s">
        <v>18</v>
      </c>
      <c r="C167" s="20" t="str">
        <f aca="false">'Расчет Кплотн'!C167</f>
        <v>Щербактинский район</v>
      </c>
      <c r="D167" s="20" t="str">
        <f aca="false">'Расчет Кплотн'!D167</f>
        <v>район</v>
      </c>
      <c r="E167" s="21" t="n">
        <f aca="false">SUMIFS('РПН 01.08 по МО'!$D:$D,'РПН 01.08 по МО'!$E:$E,A167)</f>
        <v>16083</v>
      </c>
      <c r="F167" s="22" t="n">
        <f aca="false">'Расчет Кплотн'!K167</f>
        <v>1.7395</v>
      </c>
      <c r="G167" s="22" t="n">
        <f aca="false">'Расчет Кплотн'!J167</f>
        <v>2</v>
      </c>
      <c r="H167" s="23" t="n">
        <f aca="false">E167*$F$3*L167*F167/1000</f>
        <v>755298.43335702</v>
      </c>
      <c r="I167" s="23" t="n">
        <f aca="false">E167*$F$3*L167*G167/1000</f>
        <v>868408.66152</v>
      </c>
      <c r="J167" s="23" t="n">
        <f aca="false">I167-H167</f>
        <v>113110.22816298</v>
      </c>
      <c r="K167" s="24" t="n">
        <f aca="false">IFERROR(J167/H167,0)</f>
        <v>0.149755676918655</v>
      </c>
      <c r="L167" s="25" t="n">
        <f aca="false">IF(D167="район",IFERROR(VLOOKUP(B167,'БКПН (приказ 170)'!$A$4:$C$10,3,FALSE()),$F$2),$F$2)</f>
        <v>2249.81</v>
      </c>
    </row>
    <row r="168" customFormat="false" ht="15" hidden="false" customHeight="false" outlineLevel="0" collapsed="false">
      <c r="A168" s="20" t="s">
        <v>210</v>
      </c>
      <c r="B168" s="20" t="s">
        <v>19</v>
      </c>
      <c r="C168" s="20" t="str">
        <f aca="false">'Расчет Кплотн'!C168</f>
        <v>Петропавловск</v>
      </c>
      <c r="D168" s="20" t="str">
        <f aca="false">'Расчет Кплотн'!D168</f>
        <v>областной центр</v>
      </c>
      <c r="E168" s="21" t="n">
        <f aca="false">SUMIFS('РПН 01.08 по МО'!$D:$D,'РПН 01.08 по МО'!$E:$E,A168)</f>
        <v>238637</v>
      </c>
      <c r="F168" s="22" t="n">
        <f aca="false">'Расчет Кплотн'!K168</f>
        <v>1</v>
      </c>
      <c r="G168" s="22" t="n">
        <f aca="false">'Расчет Кплотн'!J168</f>
        <v>1</v>
      </c>
      <c r="H168" s="23" t="n">
        <f aca="false">E168*$F$3*L168*F168/1000</f>
        <v>4828590.60348</v>
      </c>
      <c r="I168" s="23" t="n">
        <f aca="false">E168*$F$3*L168*G168/1000</f>
        <v>4828590.60348</v>
      </c>
      <c r="J168" s="23" t="n">
        <f aca="false">I168-H168</f>
        <v>0</v>
      </c>
      <c r="K168" s="24" t="n">
        <f aca="false">IFERROR(J168/H168,0)</f>
        <v>0</v>
      </c>
      <c r="L168" s="25" t="n">
        <f aca="false">IF(D168="район",IFERROR(VLOOKUP(B168,'БКПН (приказ 170)'!$A$4:$C$10,3,FALSE()),$F$2),$F$2)</f>
        <v>1686.17</v>
      </c>
    </row>
    <row r="169" customFormat="false" ht="15" hidden="false" customHeight="false" outlineLevel="0" collapsed="false">
      <c r="A169" s="20" t="s">
        <v>211</v>
      </c>
      <c r="B169" s="20" t="s">
        <v>19</v>
      </c>
      <c r="C169" s="20" t="str">
        <f aca="false">'Расчет Кплотн'!C169</f>
        <v>Айыртауский район</v>
      </c>
      <c r="D169" s="20" t="str">
        <f aca="false">'Расчет Кплотн'!D169</f>
        <v>район</v>
      </c>
      <c r="E169" s="21" t="n">
        <f aca="false">SUMIFS('РПН 01.08 по МО'!$D:$D,'РПН 01.08 по МО'!$E:$E,A169)</f>
        <v>29469</v>
      </c>
      <c r="F169" s="22" t="n">
        <f aca="false">'Расчет Кплотн'!K169</f>
        <v>1.608</v>
      </c>
      <c r="G169" s="22" t="n">
        <f aca="false">'Расчет Кплотн'!J169</f>
        <v>2</v>
      </c>
      <c r="H169" s="23" t="n">
        <f aca="false">E169*$F$3*L169*F169/1000</f>
        <v>1166938.96093632</v>
      </c>
      <c r="I169" s="23" t="n">
        <f aca="false">E169*$F$3*L169*G169/1000</f>
        <v>1451416.61808</v>
      </c>
      <c r="J169" s="23" t="n">
        <f aca="false">I169-H169</f>
        <v>284477.65714368</v>
      </c>
      <c r="K169" s="24" t="n">
        <f aca="false">IFERROR(J169/H169,0)</f>
        <v>0.243781094527363</v>
      </c>
      <c r="L169" s="25" t="n">
        <f aca="false">IF(D169="район",IFERROR(VLOOKUP(B169,'БКПН (приказ 170)'!$A$4:$C$10,3,FALSE()),$F$2),$F$2)</f>
        <v>2052.18</v>
      </c>
    </row>
    <row r="170" customFormat="false" ht="15" hidden="false" customHeight="false" outlineLevel="0" collapsed="false">
      <c r="A170" s="20" t="s">
        <v>212</v>
      </c>
      <c r="B170" s="20" t="s">
        <v>19</v>
      </c>
      <c r="C170" s="20" t="str">
        <f aca="false">'Расчет Кплотн'!C170</f>
        <v>Акжарский район</v>
      </c>
      <c r="D170" s="20" t="str">
        <f aca="false">'Расчет Кплотн'!D170</f>
        <v>район</v>
      </c>
      <c r="E170" s="21" t="n">
        <f aca="false">SUMIFS('РПН 01.08 по МО'!$D:$D,'РПН 01.08 по МО'!$E:$E,A170)</f>
        <v>11070</v>
      </c>
      <c r="F170" s="22" t="n">
        <f aca="false">'Расчет Кплотн'!K170</f>
        <v>2</v>
      </c>
      <c r="G170" s="22" t="n">
        <f aca="false">'Расчет Кплотн'!J170</f>
        <v>2</v>
      </c>
      <c r="H170" s="23" t="n">
        <f aca="false">E170*$F$3*L170*F170/1000</f>
        <v>545223.1824</v>
      </c>
      <c r="I170" s="23" t="n">
        <f aca="false">E170*$F$3*L170*G170/1000</f>
        <v>545223.1824</v>
      </c>
      <c r="J170" s="23" t="n">
        <f aca="false">I170-H170</f>
        <v>0</v>
      </c>
      <c r="K170" s="24" t="n">
        <f aca="false">IFERROR(J170/H170,0)</f>
        <v>0</v>
      </c>
      <c r="L170" s="25" t="n">
        <f aca="false">IF(D170="район",IFERROR(VLOOKUP(B170,'БКПН (приказ 170)'!$A$4:$C$10,3,FALSE()),$F$2),$F$2)</f>
        <v>2052.18</v>
      </c>
    </row>
    <row r="171" customFormat="false" ht="15" hidden="false" customHeight="false" outlineLevel="0" collapsed="false">
      <c r="A171" s="20" t="s">
        <v>213</v>
      </c>
      <c r="B171" s="20" t="s">
        <v>19</v>
      </c>
      <c r="C171" s="20" t="str">
        <f aca="false">'Расчет Кплотн'!C171</f>
        <v>Район Магжана Жумабаева</v>
      </c>
      <c r="D171" s="20" t="str">
        <f aca="false">'Расчет Кплотн'!D171</f>
        <v>район</v>
      </c>
      <c r="E171" s="21" t="n">
        <f aca="false">SUMIFS('РПН 01.08 по МО'!$D:$D,'РПН 01.08 по МО'!$E:$E,A171)</f>
        <v>23984</v>
      </c>
      <c r="F171" s="22" t="n">
        <f aca="false">'Расчет Кплотн'!K171</f>
        <v>1.5895</v>
      </c>
      <c r="G171" s="22" t="n">
        <f aca="false">'Расчет Кплотн'!J171</f>
        <v>2</v>
      </c>
      <c r="H171" s="23" t="n">
        <f aca="false">E171*$F$3*L171*F171/1000</f>
        <v>938812.45917888</v>
      </c>
      <c r="I171" s="23" t="n">
        <f aca="false">E171*$F$3*L171*G171/1000</f>
        <v>1181267.64288</v>
      </c>
      <c r="J171" s="23" t="n">
        <f aca="false">I171-H171</f>
        <v>242455.18370112</v>
      </c>
      <c r="K171" s="24" t="n">
        <f aca="false">IFERROR(J171/H171,0)</f>
        <v>0.258257313620636</v>
      </c>
      <c r="L171" s="25" t="n">
        <f aca="false">IF(D171="район",IFERROR(VLOOKUP(B171,'БКПН (приказ 170)'!$A$4:$C$10,3,FALSE()),$F$2),$F$2)</f>
        <v>2052.18</v>
      </c>
    </row>
    <row r="172" customFormat="false" ht="15" hidden="false" customHeight="false" outlineLevel="0" collapsed="false">
      <c r="A172" s="20" t="s">
        <v>214</v>
      </c>
      <c r="B172" s="20" t="s">
        <v>19</v>
      </c>
      <c r="C172" s="20" t="str">
        <f aca="false">'Расчет Кплотн'!C172</f>
        <v>Есильский район</v>
      </c>
      <c r="D172" s="20" t="str">
        <f aca="false">'Расчет Кплотн'!D172</f>
        <v>район</v>
      </c>
      <c r="E172" s="21" t="n">
        <f aca="false">SUMIFS('РПН 01.08 по МО'!$D:$D,'РПН 01.08 по МО'!$E:$E,A172)</f>
        <v>19357</v>
      </c>
      <c r="F172" s="22" t="n">
        <f aca="false">'Расчет Кплотн'!K172</f>
        <v>1.4991</v>
      </c>
      <c r="G172" s="22" t="n">
        <f aca="false">'Расчет Кплотн'!J172</f>
        <v>2</v>
      </c>
      <c r="H172" s="23" t="n">
        <f aca="false">E172*$F$3*L172*F172/1000</f>
        <v>714603.848958792</v>
      </c>
      <c r="I172" s="23" t="n">
        <f aca="false">E172*$F$3*L172*G172/1000</f>
        <v>953377.15824</v>
      </c>
      <c r="J172" s="23" t="n">
        <f aca="false">I172-H172</f>
        <v>238773.309281208</v>
      </c>
      <c r="K172" s="24" t="n">
        <f aca="false">IFERROR(J172/H172,0)</f>
        <v>0.334133813621506</v>
      </c>
      <c r="L172" s="25" t="n">
        <f aca="false">IF(D172="район",IFERROR(VLOOKUP(B172,'БКПН (приказ 170)'!$A$4:$C$10,3,FALSE()),$F$2),$F$2)</f>
        <v>2052.18</v>
      </c>
    </row>
    <row r="173" customFormat="false" ht="15" hidden="false" customHeight="false" outlineLevel="0" collapsed="false">
      <c r="A173" s="20" t="s">
        <v>215</v>
      </c>
      <c r="B173" s="20" t="s">
        <v>19</v>
      </c>
      <c r="C173" s="20" t="str">
        <f aca="false">'Расчет Кплотн'!C173</f>
        <v>Жамбылский район</v>
      </c>
      <c r="D173" s="20" t="str">
        <f aca="false">'Расчет Кплотн'!D173</f>
        <v>район</v>
      </c>
      <c r="E173" s="21" t="n">
        <f aca="false">SUMIFS('РПН 01.08 по МО'!$D:$D,'РПН 01.08 по МО'!$E:$E,A173)</f>
        <v>15763</v>
      </c>
      <c r="F173" s="22" t="n">
        <f aca="false">'Расчет Кплотн'!K173</f>
        <v>1.8525</v>
      </c>
      <c r="G173" s="22" t="n">
        <f aca="false">'Расчет Кплотн'!J173</f>
        <v>2</v>
      </c>
      <c r="H173" s="23" t="n">
        <f aca="false">E173*$F$3*L173*F173/1000</f>
        <v>719107.4515482</v>
      </c>
      <c r="I173" s="23" t="n">
        <f aca="false">E173*$F$3*L173*G173/1000</f>
        <v>776364.32016</v>
      </c>
      <c r="J173" s="23" t="n">
        <f aca="false">I173-H173</f>
        <v>57256.8686118</v>
      </c>
      <c r="K173" s="24" t="n">
        <f aca="false">IFERROR(J173/H173,0)</f>
        <v>0.0796221322537112</v>
      </c>
      <c r="L173" s="25" t="n">
        <f aca="false">IF(D173="район",IFERROR(VLOOKUP(B173,'БКПН (приказ 170)'!$A$4:$C$10,3,FALSE()),$F$2),$F$2)</f>
        <v>2052.18</v>
      </c>
    </row>
    <row r="174" customFormat="false" ht="15" hidden="false" customHeight="false" outlineLevel="0" collapsed="false">
      <c r="A174" s="20" t="s">
        <v>216</v>
      </c>
      <c r="B174" s="20" t="s">
        <v>19</v>
      </c>
      <c r="C174" s="20" t="str">
        <f aca="false">'Расчет Кплотн'!C174</f>
        <v>Кызылжарский район</v>
      </c>
      <c r="D174" s="20" t="str">
        <f aca="false">'Расчет Кплотн'!D174</f>
        <v>район</v>
      </c>
      <c r="E174" s="21" t="n">
        <f aca="false">SUMIFS('РПН 01.08 по МО'!$D:$D,'РПН 01.08 по МО'!$E:$E,A174)</f>
        <v>40172</v>
      </c>
      <c r="F174" s="22" t="n">
        <f aca="false">'Расчет Кплотн'!K174</f>
        <v>1.272</v>
      </c>
      <c r="G174" s="22" t="n">
        <f aca="false">'Расчет Кплотн'!J174</f>
        <v>1.7767</v>
      </c>
      <c r="H174" s="23" t="n">
        <f aca="false">E174*$F$3*L174*F174/1000</f>
        <v>1258366.83058944</v>
      </c>
      <c r="I174" s="23" t="n">
        <f aca="false">E174*$F$3*L174*G174/1000</f>
        <v>1757657.50621718</v>
      </c>
      <c r="J174" s="23" t="n">
        <f aca="false">I174-H174</f>
        <v>499290.675627744</v>
      </c>
      <c r="K174" s="24" t="n">
        <f aca="false">IFERROR(J174/H174,0)</f>
        <v>0.396776729559748</v>
      </c>
      <c r="L174" s="25" t="n">
        <f aca="false">IF(D174="район",IFERROR(VLOOKUP(B174,'БКПН (приказ 170)'!$A$4:$C$10,3,FALSE()),$F$2),$F$2)</f>
        <v>2052.18</v>
      </c>
    </row>
    <row r="175" customFormat="false" ht="15" hidden="false" customHeight="false" outlineLevel="0" collapsed="false">
      <c r="A175" s="20" t="s">
        <v>217</v>
      </c>
      <c r="B175" s="20" t="s">
        <v>19</v>
      </c>
      <c r="C175" s="20" t="str">
        <f aca="false">'Расчет Кплотн'!C175</f>
        <v>Мамлютский район</v>
      </c>
      <c r="D175" s="20" t="str">
        <f aca="false">'Расчет Кплотн'!D175</f>
        <v>район</v>
      </c>
      <c r="E175" s="21" t="n">
        <f aca="false">SUMIFS('РПН 01.08 по МО'!$D:$D,'РПН 01.08 по МО'!$E:$E,A175)</f>
        <v>15862</v>
      </c>
      <c r="F175" s="22" t="n">
        <f aca="false">'Расчет Кплотн'!K175</f>
        <v>1.4825</v>
      </c>
      <c r="G175" s="22" t="n">
        <f aca="false">'Расчет Кплотн'!J175</f>
        <v>2</v>
      </c>
      <c r="H175" s="23" t="n">
        <f aca="false">E175*$F$3*L175*F175/1000</f>
        <v>579094.3722564</v>
      </c>
      <c r="I175" s="23" t="n">
        <f aca="false">E175*$F$3*L175*G175/1000</f>
        <v>781240.29984</v>
      </c>
      <c r="J175" s="23" t="n">
        <f aca="false">I175-H175</f>
        <v>202145.9275836</v>
      </c>
      <c r="K175" s="24" t="n">
        <f aca="false">IFERROR(J175/H175,0)</f>
        <v>0.349072512647555</v>
      </c>
      <c r="L175" s="25" t="n">
        <f aca="false">IF(D175="район",IFERROR(VLOOKUP(B175,'БКПН (приказ 170)'!$A$4:$C$10,3,FALSE()),$F$2),$F$2)</f>
        <v>2052.18</v>
      </c>
    </row>
    <row r="176" customFormat="false" ht="15" hidden="false" customHeight="false" outlineLevel="0" collapsed="false">
      <c r="A176" s="20" t="s">
        <v>218</v>
      </c>
      <c r="B176" s="20" t="s">
        <v>19</v>
      </c>
      <c r="C176" s="20" t="str">
        <f aca="false">'Расчет Кплотн'!C176</f>
        <v>Район Шал акына</v>
      </c>
      <c r="D176" s="20" t="str">
        <f aca="false">'Расчет Кплотн'!D176</f>
        <v>район</v>
      </c>
      <c r="E176" s="21" t="n">
        <f aca="false">SUMIFS('РПН 01.08 по МО'!$D:$D,'РПН 01.08 по МО'!$E:$E,A176)</f>
        <v>16061</v>
      </c>
      <c r="F176" s="22" t="n">
        <f aca="false">'Расчет Кплотн'!K176</f>
        <v>1.5577</v>
      </c>
      <c r="G176" s="22" t="n">
        <f aca="false">'Расчет Кплотн'!J176</f>
        <v>2</v>
      </c>
      <c r="H176" s="23" t="n">
        <f aca="false">E176*$F$3*L176*F176/1000</f>
        <v>616102.681247352</v>
      </c>
      <c r="I176" s="23" t="n">
        <f aca="false">E176*$F$3*L176*G176/1000</f>
        <v>791041.51152</v>
      </c>
      <c r="J176" s="23" t="n">
        <f aca="false">I176-H176</f>
        <v>174938.830272648</v>
      </c>
      <c r="K176" s="24" t="n">
        <f aca="false">IFERROR(J176/H176,0)</f>
        <v>0.283944276818386</v>
      </c>
      <c r="L176" s="25" t="n">
        <f aca="false">IF(D176="район",IFERROR(VLOOKUP(B176,'БКПН (приказ 170)'!$A$4:$C$10,3,FALSE()),$F$2),$F$2)</f>
        <v>2052.18</v>
      </c>
    </row>
    <row r="177" customFormat="false" ht="15" hidden="false" customHeight="false" outlineLevel="0" collapsed="false">
      <c r="A177" s="20" t="s">
        <v>219</v>
      </c>
      <c r="B177" s="20" t="s">
        <v>19</v>
      </c>
      <c r="C177" s="20" t="str">
        <f aca="false">'Расчет Кплотн'!C177</f>
        <v>Аккайынский район</v>
      </c>
      <c r="D177" s="20" t="str">
        <f aca="false">'Расчет Кплотн'!D177</f>
        <v>район</v>
      </c>
      <c r="E177" s="21" t="n">
        <f aca="false">SUMIFS('РПН 01.08 по МО'!$D:$D,'РПН 01.08 по МО'!$E:$E,A177)</f>
        <v>16606</v>
      </c>
      <c r="F177" s="22" t="n">
        <f aca="false">'Расчет Кплотн'!K177</f>
        <v>1.5355</v>
      </c>
      <c r="G177" s="22" t="n">
        <f aca="false">'Расчет Кплотн'!J177</f>
        <v>2</v>
      </c>
      <c r="H177" s="23" t="n">
        <f aca="false">E177*$F$3*L177*F177/1000</f>
        <v>627930.46090008</v>
      </c>
      <c r="I177" s="23" t="n">
        <f aca="false">E177*$F$3*L177*G177/1000</f>
        <v>817884.02592</v>
      </c>
      <c r="J177" s="23" t="n">
        <f aca="false">I177-H177</f>
        <v>189953.56501992</v>
      </c>
      <c r="K177" s="24" t="n">
        <f aca="false">IFERROR(J177/H177,0)</f>
        <v>0.302507326603712</v>
      </c>
      <c r="L177" s="25" t="n">
        <f aca="false">IF(D177="район",IFERROR(VLOOKUP(B177,'БКПН (приказ 170)'!$A$4:$C$10,3,FALSE()),$F$2),$F$2)</f>
        <v>2052.18</v>
      </c>
    </row>
    <row r="178" customFormat="false" ht="15" hidden="false" customHeight="false" outlineLevel="0" collapsed="false">
      <c r="A178" s="20" t="s">
        <v>220</v>
      </c>
      <c r="B178" s="20" t="s">
        <v>19</v>
      </c>
      <c r="C178" s="20" t="str">
        <f aca="false">'Расчет Кплотн'!C178</f>
        <v>Тайыншинский район</v>
      </c>
      <c r="D178" s="20" t="str">
        <f aca="false">'Расчет Кплотн'!D178</f>
        <v>район</v>
      </c>
      <c r="E178" s="21" t="n">
        <f aca="false">SUMIFS('РПН 01.08 по МО'!$D:$D,'РПН 01.08 по МО'!$E:$E,A178)</f>
        <v>36372</v>
      </c>
      <c r="F178" s="22" t="n">
        <f aca="false">'Расчет Кплотн'!K178</f>
        <v>1.5861</v>
      </c>
      <c r="G178" s="22" t="n">
        <f aca="false">'Расчет Кплотн'!J178</f>
        <v>2</v>
      </c>
      <c r="H178" s="23" t="n">
        <f aca="false">E178*$F$3*L178*F178/1000</f>
        <v>1420674.03901987</v>
      </c>
      <c r="I178" s="23" t="n">
        <f aca="false">E178*$F$3*L178*G178/1000</f>
        <v>1791405.38304</v>
      </c>
      <c r="J178" s="23" t="n">
        <f aca="false">I178-H178</f>
        <v>370731.344020128</v>
      </c>
      <c r="K178" s="24" t="n">
        <f aca="false">IFERROR(J178/H178,0)</f>
        <v>0.26095454258874</v>
      </c>
      <c r="L178" s="25" t="n">
        <f aca="false">IF(D178="район",IFERROR(VLOOKUP(B178,'БКПН (приказ 170)'!$A$4:$C$10,3,FALSE()),$F$2),$F$2)</f>
        <v>2052.18</v>
      </c>
    </row>
    <row r="179" customFormat="false" ht="15" hidden="false" customHeight="false" outlineLevel="0" collapsed="false">
      <c r="A179" s="20" t="s">
        <v>221</v>
      </c>
      <c r="B179" s="20" t="s">
        <v>19</v>
      </c>
      <c r="C179" s="20" t="str">
        <f aca="false">'Расчет Кплотн'!C179</f>
        <v>Тимирязевский район</v>
      </c>
      <c r="D179" s="20" t="str">
        <f aca="false">'Расчет Кплотн'!D179</f>
        <v>район</v>
      </c>
      <c r="E179" s="21" t="n">
        <f aca="false">SUMIFS('РПН 01.08 по МО'!$D:$D,'РПН 01.08 по МО'!$E:$E,A179)</f>
        <v>8484</v>
      </c>
      <c r="F179" s="22" t="n">
        <f aca="false">'Расчет Кплотн'!K179</f>
        <v>1.9426</v>
      </c>
      <c r="G179" s="22" t="n">
        <f aca="false">'Расчет Кплотн'!J179</f>
        <v>2</v>
      </c>
      <c r="H179" s="23" t="n">
        <f aca="false">E179*$F$3*L179*F179/1000</f>
        <v>405864.196081344</v>
      </c>
      <c r="I179" s="23" t="n">
        <f aca="false">E179*$F$3*L179*G179/1000</f>
        <v>417856.68288</v>
      </c>
      <c r="J179" s="23" t="n">
        <f aca="false">I179-H179</f>
        <v>11992.486798656</v>
      </c>
      <c r="K179" s="24" t="n">
        <f aca="false">IFERROR(J179/H179,0)</f>
        <v>0.0295480284155256</v>
      </c>
      <c r="L179" s="25" t="n">
        <f aca="false">IF(D179="район",IFERROR(VLOOKUP(B179,'БКПН (приказ 170)'!$A$4:$C$10,3,FALSE()),$F$2),$F$2)</f>
        <v>2052.18</v>
      </c>
    </row>
    <row r="180" customFormat="false" ht="15" hidden="false" customHeight="false" outlineLevel="0" collapsed="false">
      <c r="A180" s="20" t="s">
        <v>222</v>
      </c>
      <c r="B180" s="20" t="s">
        <v>19</v>
      </c>
      <c r="C180" s="20" t="str">
        <f aca="false">'Расчет Кплотн'!C180</f>
        <v>Уалихановский район</v>
      </c>
      <c r="D180" s="20" t="str">
        <f aca="false">'Расчет Кплотн'!D180</f>
        <v>район</v>
      </c>
      <c r="E180" s="21" t="n">
        <f aca="false">SUMIFS('РПН 01.08 по МО'!$D:$D,'РПН 01.08 по МО'!$E:$E,A180)</f>
        <v>10813</v>
      </c>
      <c r="F180" s="22" t="n">
        <f aca="false">'Расчет Кплотн'!K180</f>
        <v>2</v>
      </c>
      <c r="G180" s="22" t="n">
        <f aca="false">'Расчет Кплотн'!J180</f>
        <v>2</v>
      </c>
      <c r="H180" s="23" t="n">
        <f aca="false">E180*$F$3*L180*F180/1000</f>
        <v>532565.33616</v>
      </c>
      <c r="I180" s="23" t="n">
        <f aca="false">E180*$F$3*L180*G180/1000</f>
        <v>532565.33616</v>
      </c>
      <c r="J180" s="23" t="n">
        <f aca="false">I180-H180</f>
        <v>0</v>
      </c>
      <c r="K180" s="24" t="n">
        <f aca="false">IFERROR(J180/H180,0)</f>
        <v>0</v>
      </c>
      <c r="L180" s="25" t="n">
        <f aca="false">IF(D180="район",IFERROR(VLOOKUP(B180,'БКПН (приказ 170)'!$A$4:$C$10,3,FALSE()),$F$2),$F$2)</f>
        <v>2052.18</v>
      </c>
    </row>
    <row r="181" customFormat="false" ht="15" hidden="false" customHeight="false" outlineLevel="0" collapsed="false">
      <c r="A181" s="20" t="s">
        <v>223</v>
      </c>
      <c r="B181" s="20" t="s">
        <v>19</v>
      </c>
      <c r="C181" s="20" t="str">
        <f aca="false">'Расчет Кплотн'!C181</f>
        <v>Район им.Габита Мусрепова</v>
      </c>
      <c r="D181" s="20" t="str">
        <f aca="false">'Расчет Кплотн'!D181</f>
        <v>район</v>
      </c>
      <c r="E181" s="21" t="n">
        <f aca="false">SUMIFS('РПН 01.08 по МО'!$D:$D,'РПН 01.08 по МО'!$E:$E,A181)</f>
        <v>33093</v>
      </c>
      <c r="F181" s="22" t="n">
        <f aca="false">'Расчет Кплотн'!K181</f>
        <v>1.6405</v>
      </c>
      <c r="G181" s="22" t="n">
        <f aca="false">'Расчет Кплотн'!J181</f>
        <v>2</v>
      </c>
      <c r="H181" s="23" t="n">
        <f aca="false">E181*$F$3*L181*F181/1000</f>
        <v>1336931.23787964</v>
      </c>
      <c r="I181" s="23" t="n">
        <f aca="false">E181*$F$3*L181*G181/1000</f>
        <v>1629907.02576</v>
      </c>
      <c r="J181" s="23" t="n">
        <f aca="false">I181-H181</f>
        <v>292975.78788036</v>
      </c>
      <c r="K181" s="24" t="n">
        <f aca="false">IFERROR(J181/H181,0)</f>
        <v>0.21914050594331</v>
      </c>
      <c r="L181" s="25" t="n">
        <f aca="false">IF(D181="район",IFERROR(VLOOKUP(B181,'БКПН (приказ 170)'!$A$4:$C$10,3,FALSE()),$F$2),$F$2)</f>
        <v>2052.18</v>
      </c>
    </row>
    <row r="182" customFormat="false" ht="15" hidden="false" customHeight="false" outlineLevel="0" collapsed="false">
      <c r="A182" s="20" t="s">
        <v>224</v>
      </c>
      <c r="B182" s="20" t="s">
        <v>20</v>
      </c>
      <c r="C182" s="20" t="str">
        <f aca="false">'Расчет Кплотн'!C182</f>
        <v>Туркестан</v>
      </c>
      <c r="D182" s="20" t="str">
        <f aca="false">'Расчет Кплотн'!D182</f>
        <v>областной центр</v>
      </c>
      <c r="E182" s="21" t="n">
        <f aca="false">SUMIFS('РПН 01.08 по МО'!$D:$D,'РПН 01.08 по МО'!$E:$E,A182)</f>
        <v>285372</v>
      </c>
      <c r="F182" s="22" t="n">
        <f aca="false">'Расчет Кплотн'!K182</f>
        <v>1</v>
      </c>
      <c r="G182" s="22" t="n">
        <f aca="false">'Расчет Кплотн'!J182</f>
        <v>1</v>
      </c>
      <c r="H182" s="23" t="n">
        <f aca="false">E182*$F$3*L182*F182/1000</f>
        <v>5774228.46288</v>
      </c>
      <c r="I182" s="23" t="n">
        <f aca="false">E182*$F$3*L182*G182/1000</f>
        <v>5774228.46288</v>
      </c>
      <c r="J182" s="23" t="n">
        <f aca="false">I182-H182</f>
        <v>0</v>
      </c>
      <c r="K182" s="24" t="n">
        <f aca="false">IFERROR(J182/H182,0)</f>
        <v>0</v>
      </c>
      <c r="L182" s="25" t="n">
        <f aca="false">IF(D182="район",IFERROR(VLOOKUP(B182,'БКПН (приказ 170)'!$A$4:$C$10,3,FALSE()),$F$2),$F$2)</f>
        <v>1686.17</v>
      </c>
    </row>
    <row r="183" customFormat="false" ht="15" hidden="false" customHeight="false" outlineLevel="0" collapsed="false">
      <c r="A183" s="20" t="s">
        <v>225</v>
      </c>
      <c r="B183" s="20" t="s">
        <v>20</v>
      </c>
      <c r="C183" s="20" t="str">
        <f aca="false">'Расчет Кплотн'!C183</f>
        <v>Арысь</v>
      </c>
      <c r="D183" s="20" t="str">
        <f aca="false">'Расчет Кплотн'!D183</f>
        <v>моногород / малый город</v>
      </c>
      <c r="E183" s="21" t="n">
        <f aca="false">SUMIFS('РПН 01.08 по МО'!$D:$D,'РПН 01.08 по МО'!$E:$E,A183)</f>
        <v>69706</v>
      </c>
      <c r="F183" s="22" t="n">
        <f aca="false">'Расчет Кплотн'!K183</f>
        <v>1.5</v>
      </c>
      <c r="G183" s="22" t="n">
        <f aca="false">'Расчет Кплотн'!J183</f>
        <v>1.5</v>
      </c>
      <c r="H183" s="23" t="n">
        <f aca="false">E183*$F$3*L183*F183/1000</f>
        <v>2115650.98836</v>
      </c>
      <c r="I183" s="23" t="n">
        <f aca="false">E183*$F$3*L183*G183/1000</f>
        <v>2115650.98836</v>
      </c>
      <c r="J183" s="23" t="n">
        <f aca="false">I183-H183</f>
        <v>0</v>
      </c>
      <c r="K183" s="24" t="n">
        <f aca="false">IFERROR(J183/H183,0)</f>
        <v>0</v>
      </c>
      <c r="L183" s="25" t="n">
        <f aca="false">IF(D183="район",IFERROR(VLOOKUP(B183,'БКПН (приказ 170)'!$A$4:$C$10,3,FALSE()),$F$2),$F$2)</f>
        <v>1686.17</v>
      </c>
    </row>
    <row r="184" customFormat="false" ht="15" hidden="false" customHeight="false" outlineLevel="0" collapsed="false">
      <c r="A184" s="20" t="s">
        <v>226</v>
      </c>
      <c r="B184" s="20" t="s">
        <v>20</v>
      </c>
      <c r="C184" s="20" t="str">
        <f aca="false">'Расчет Кплотн'!C184</f>
        <v>Кентау</v>
      </c>
      <c r="D184" s="20" t="str">
        <f aca="false">'Расчет Кплотн'!D184</f>
        <v>моногород / малый город</v>
      </c>
      <c r="E184" s="21" t="n">
        <f aca="false">SUMIFS('РПН 01.08 по МО'!$D:$D,'РПН 01.08 по МО'!$E:$E,A184)</f>
        <v>107275</v>
      </c>
      <c r="F184" s="22" t="n">
        <f aca="false">'Расчет Кплотн'!K184</f>
        <v>1.5</v>
      </c>
      <c r="G184" s="22" t="n">
        <f aca="false">'Расчет Кплотн'!J184</f>
        <v>1.5</v>
      </c>
      <c r="H184" s="23" t="n">
        <f aca="false">E184*$F$3*L184*F184/1000</f>
        <v>3255909.9615</v>
      </c>
      <c r="I184" s="23" t="n">
        <f aca="false">E184*$F$3*L184*G184/1000</f>
        <v>3255909.9615</v>
      </c>
      <c r="J184" s="23" t="n">
        <f aca="false">I184-H184</f>
        <v>0</v>
      </c>
      <c r="K184" s="24" t="n">
        <f aca="false">IFERROR(J184/H184,0)</f>
        <v>0</v>
      </c>
      <c r="L184" s="25" t="n">
        <f aca="false">IF(D184="район",IFERROR(VLOOKUP(B184,'БКПН (приказ 170)'!$A$4:$C$10,3,FALSE()),$F$2),$F$2)</f>
        <v>1686.17</v>
      </c>
    </row>
    <row r="185" customFormat="false" ht="15" hidden="false" customHeight="false" outlineLevel="0" collapsed="false">
      <c r="A185" s="20" t="s">
        <v>227</v>
      </c>
      <c r="B185" s="20" t="s">
        <v>20</v>
      </c>
      <c r="C185" s="20" t="str">
        <f aca="false">'Расчет Кплотн'!C185</f>
        <v>район Байдибека</v>
      </c>
      <c r="D185" s="20" t="str">
        <f aca="false">'Расчет Кплотн'!D185</f>
        <v>район</v>
      </c>
      <c r="E185" s="21" t="n">
        <f aca="false">SUMIFS('РПН 01.08 по МО'!$D:$D,'РПН 01.08 по МО'!$E:$E,A185)</f>
        <v>43757</v>
      </c>
      <c r="F185" s="22" t="n">
        <f aca="false">'Расчет Кплотн'!K185</f>
        <v>1.3026</v>
      </c>
      <c r="G185" s="22" t="n">
        <f aca="false">'Расчет Кплотн'!J185</f>
        <v>1.8504</v>
      </c>
      <c r="H185" s="23" t="n">
        <f aca="false">E185*$F$3*L185*F185/1000</f>
        <v>1153297.14507353</v>
      </c>
      <c r="I185" s="23" t="n">
        <f aca="false">E185*$F$3*L185*G185/1000</f>
        <v>1638308.79567331</v>
      </c>
      <c r="J185" s="23" t="n">
        <f aca="false">I185-H185</f>
        <v>485011.650599784</v>
      </c>
      <c r="K185" s="24" t="n">
        <f aca="false">IFERROR(J185/H185,0)</f>
        <v>0.42054352832796</v>
      </c>
      <c r="L185" s="25" t="n">
        <f aca="false">IF(D185="район",IFERROR(VLOOKUP(B185,'БКПН (приказ 170)'!$A$4:$C$10,3,FALSE()),$F$2),$F$2)</f>
        <v>1686.17</v>
      </c>
    </row>
    <row r="186" customFormat="false" ht="15" hidden="false" customHeight="false" outlineLevel="0" collapsed="false">
      <c r="A186" s="20" t="s">
        <v>228</v>
      </c>
      <c r="B186" s="20" t="s">
        <v>20</v>
      </c>
      <c r="C186" s="20" t="str">
        <f aca="false">'Расчет Кплотн'!C186</f>
        <v>Жетысайский район</v>
      </c>
      <c r="D186" s="20" t="str">
        <f aca="false">'Расчет Кплотн'!D186</f>
        <v>район</v>
      </c>
      <c r="E186" s="21" t="n">
        <f aca="false">SUMIFS('РПН 01.08 по МО'!$D:$D,'РПН 01.08 по МО'!$E:$E,A186)</f>
        <v>170165</v>
      </c>
      <c r="F186" s="22" t="n">
        <f aca="false">'Расчет Кплотн'!K186</f>
        <v>1.011</v>
      </c>
      <c r="G186" s="22" t="n">
        <f aca="false">'Расчет Кплотн'!J186</f>
        <v>1.0313</v>
      </c>
      <c r="H186" s="23" t="n">
        <f aca="false">E186*$F$3*L186*F186/1000</f>
        <v>3480999.7961826</v>
      </c>
      <c r="I186" s="23" t="n">
        <f aca="false">E186*$F$3*L186*G186/1000</f>
        <v>3550895.24213958</v>
      </c>
      <c r="J186" s="23" t="n">
        <f aca="false">I186-H186</f>
        <v>69895.4459569808</v>
      </c>
      <c r="K186" s="24" t="n">
        <f aca="false">IFERROR(J186/H186,0)</f>
        <v>0.0200791295746788</v>
      </c>
      <c r="L186" s="25" t="n">
        <f aca="false">IF(D186="район",IFERROR(VLOOKUP(B186,'БКПН (приказ 170)'!$A$4:$C$10,3,FALSE()),$F$2),$F$2)</f>
        <v>1686.17</v>
      </c>
    </row>
    <row r="187" customFormat="false" ht="15" hidden="false" customHeight="false" outlineLevel="0" collapsed="false">
      <c r="A187" s="20" t="s">
        <v>229</v>
      </c>
      <c r="B187" s="20" t="s">
        <v>20</v>
      </c>
      <c r="C187" s="20" t="str">
        <f aca="false">'Расчет Кплотн'!C187</f>
        <v>Келесский район</v>
      </c>
      <c r="D187" s="20" t="str">
        <f aca="false">'Расчет Кплотн'!D187</f>
        <v>район</v>
      </c>
      <c r="E187" s="21" t="n">
        <f aca="false">SUMIFS('РПН 01.08 по МО'!$D:$D,'РПН 01.08 по МО'!$E:$E,A187)</f>
        <v>106146</v>
      </c>
      <c r="F187" s="22" t="n">
        <f aca="false">'Расчет Кплотн'!K187</f>
        <v>1.0537</v>
      </c>
      <c r="G187" s="22" t="n">
        <f aca="false">'Расчет Кплотн'!J187</f>
        <v>1.1695</v>
      </c>
      <c r="H187" s="23" t="n">
        <f aca="false">E187*$F$3*L187*F187/1000</f>
        <v>2263097.25124841</v>
      </c>
      <c r="I187" s="23" t="n">
        <f aca="false">E187*$F$3*L187*G187/1000</f>
        <v>2511808.13830788</v>
      </c>
      <c r="J187" s="23" t="n">
        <f aca="false">I187-H187</f>
        <v>248710.887059472</v>
      </c>
      <c r="K187" s="24" t="n">
        <f aca="false">IFERROR(J187/H187,0)</f>
        <v>0.109898453070134</v>
      </c>
      <c r="L187" s="25" t="n">
        <f aca="false">IF(D187="район",IFERROR(VLOOKUP(B187,'БКПН (приказ 170)'!$A$4:$C$10,3,FALSE()),$F$2),$F$2)</f>
        <v>1686.17</v>
      </c>
    </row>
    <row r="188" customFormat="false" ht="15" hidden="false" customHeight="false" outlineLevel="0" collapsed="false">
      <c r="A188" s="20" t="s">
        <v>230</v>
      </c>
      <c r="B188" s="20" t="s">
        <v>20</v>
      </c>
      <c r="C188" s="20" t="str">
        <f aca="false">'Расчет Кплотн'!C188</f>
        <v>Казыгуртский район</v>
      </c>
      <c r="D188" s="20" t="str">
        <f aca="false">'Расчет Кплотн'!D188</f>
        <v>район</v>
      </c>
      <c r="E188" s="21" t="n">
        <f aca="false">SUMIFS('РПН 01.08 по МО'!$D:$D,'РПН 01.08 по МО'!$E:$E,A188)</f>
        <v>99010</v>
      </c>
      <c r="F188" s="22" t="n">
        <f aca="false">'Расчет Кплотн'!K188</f>
        <v>1.0723</v>
      </c>
      <c r="G188" s="22" t="n">
        <f aca="false">'Расчет Кплотн'!J188</f>
        <v>1.2148</v>
      </c>
      <c r="H188" s="23" t="n">
        <f aca="false">E188*$F$3*L188*F188/1000</f>
        <v>2148216.11771892</v>
      </c>
      <c r="I188" s="23" t="n">
        <f aca="false">E188*$F$3*L188*G188/1000</f>
        <v>2433696.67052592</v>
      </c>
      <c r="J188" s="23" t="n">
        <f aca="false">I188-H188</f>
        <v>285480.552807</v>
      </c>
      <c r="K188" s="24" t="n">
        <f aca="false">IFERROR(J188/H188,0)</f>
        <v>0.132891914576145</v>
      </c>
      <c r="L188" s="25" t="n">
        <f aca="false">IF(D188="район",IFERROR(VLOOKUP(B188,'БКПН (приказ 170)'!$A$4:$C$10,3,FALSE()),$F$2),$F$2)</f>
        <v>1686.17</v>
      </c>
    </row>
    <row r="189" customFormat="false" ht="15" hidden="false" customHeight="false" outlineLevel="0" collapsed="false">
      <c r="A189" s="20" t="s">
        <v>231</v>
      </c>
      <c r="B189" s="20" t="s">
        <v>20</v>
      </c>
      <c r="C189" s="20" t="str">
        <f aca="false">'Расчет Кплотн'!C189</f>
        <v>Мактааральский район</v>
      </c>
      <c r="D189" s="20" t="str">
        <f aca="false">'Расчет Кплотн'!D189</f>
        <v>район</v>
      </c>
      <c r="E189" s="21" t="n">
        <f aca="false">SUMIFS('РПН 01.08 по МО'!$D:$D,'РПН 01.08 по МО'!$E:$E,A189)</f>
        <v>113502</v>
      </c>
      <c r="F189" s="22" t="n">
        <f aca="false">'Расчет Кплотн'!K189</f>
        <v>1.0127</v>
      </c>
      <c r="G189" s="22" t="n">
        <f aca="false">'Расчет Кплотн'!J189</f>
        <v>1.0367</v>
      </c>
      <c r="H189" s="23" t="n">
        <f aca="false">E189*$F$3*L189*F189/1000</f>
        <v>2325770.87898262</v>
      </c>
      <c r="I189" s="23" t="n">
        <f aca="false">E189*$F$3*L189*G189/1000</f>
        <v>2380889.37517654</v>
      </c>
      <c r="J189" s="23" t="n">
        <f aca="false">I189-H189</f>
        <v>55118.4961939193</v>
      </c>
      <c r="K189" s="24" t="n">
        <f aca="false">IFERROR(J189/H189,0)</f>
        <v>0.0236990224153251</v>
      </c>
      <c r="L189" s="25" t="n">
        <f aca="false">IF(D189="район",IFERROR(VLOOKUP(B189,'БКПН (приказ 170)'!$A$4:$C$10,3,FALSE()),$F$2),$F$2)</f>
        <v>1686.17</v>
      </c>
    </row>
    <row r="190" customFormat="false" ht="15" hidden="false" customHeight="false" outlineLevel="0" collapsed="false">
      <c r="A190" s="20" t="s">
        <v>232</v>
      </c>
      <c r="B190" s="20" t="s">
        <v>20</v>
      </c>
      <c r="C190" s="20" t="str">
        <f aca="false">'Расчет Кплотн'!C190</f>
        <v>Ордабасынский район</v>
      </c>
      <c r="D190" s="20" t="str">
        <f aca="false">'Расчет Кплотн'!D190</f>
        <v>район</v>
      </c>
      <c r="E190" s="21" t="n">
        <f aca="false">SUMIFS('РПН 01.08 по МО'!$D:$D,'РПН 01.08 по МО'!$E:$E,A190)</f>
        <v>144046</v>
      </c>
      <c r="F190" s="22" t="n">
        <f aca="false">'Расчет Кплотн'!K190</f>
        <v>1.0433</v>
      </c>
      <c r="G190" s="22" t="n">
        <f aca="false">'Расчет Кплотн'!J190</f>
        <v>1.0956</v>
      </c>
      <c r="H190" s="23" t="n">
        <f aca="false">E190*$F$3*L190*F190/1000</f>
        <v>3040836.11420887</v>
      </c>
      <c r="I190" s="23" t="n">
        <f aca="false">E190*$F$3*L190*G190/1000</f>
        <v>3193271.3953103</v>
      </c>
      <c r="J190" s="23" t="n">
        <f aca="false">I190-H190</f>
        <v>152435.281101432</v>
      </c>
      <c r="K190" s="24" t="n">
        <f aca="false">IFERROR(J190/H190,0)</f>
        <v>0.0501293971053387</v>
      </c>
      <c r="L190" s="25" t="n">
        <f aca="false">IF(D190="район",IFERROR(VLOOKUP(B190,'БКПН (приказ 170)'!$A$4:$C$10,3,FALSE()),$F$2),$F$2)</f>
        <v>1686.17</v>
      </c>
    </row>
    <row r="191" customFormat="false" ht="15" hidden="false" customHeight="false" outlineLevel="0" collapsed="false">
      <c r="A191" s="20" t="s">
        <v>233</v>
      </c>
      <c r="B191" s="20" t="s">
        <v>20</v>
      </c>
      <c r="C191" s="20" t="str">
        <f aca="false">'Расчет Кплотн'!C191</f>
        <v>Отрарский район</v>
      </c>
      <c r="D191" s="20" t="str">
        <f aca="false">'Расчет Кплотн'!D191</f>
        <v>район</v>
      </c>
      <c r="E191" s="21" t="n">
        <f aca="false">SUMIFS('РПН 01.08 по МО'!$D:$D,'РПН 01.08 по МО'!$E:$E,A191)</f>
        <v>43690</v>
      </c>
      <c r="F191" s="22" t="n">
        <f aca="false">'Расчет Кплотн'!K191</f>
        <v>1.6677</v>
      </c>
      <c r="G191" s="22" t="n">
        <f aca="false">'Расчет Кплотн'!J191</f>
        <v>2</v>
      </c>
      <c r="H191" s="23" t="n">
        <f aca="false">E191*$F$3*L191*F191/1000</f>
        <v>1474288.83871452</v>
      </c>
      <c r="I191" s="23" t="n">
        <f aca="false">E191*$F$3*L191*G191/1000</f>
        <v>1768050.4152</v>
      </c>
      <c r="J191" s="23" t="n">
        <f aca="false">I191-H191</f>
        <v>293761.57648548</v>
      </c>
      <c r="K191" s="24" t="n">
        <f aca="false">IFERROR(J191/H191,0)</f>
        <v>0.199256460994184</v>
      </c>
      <c r="L191" s="25" t="n">
        <f aca="false">IF(D191="район",IFERROR(VLOOKUP(B191,'БКПН (приказ 170)'!$A$4:$C$10,3,FALSE()),$F$2),$F$2)</f>
        <v>1686.17</v>
      </c>
    </row>
    <row r="192" customFormat="false" ht="15" hidden="false" customHeight="false" outlineLevel="0" collapsed="false">
      <c r="A192" s="20" t="s">
        <v>234</v>
      </c>
      <c r="B192" s="20" t="s">
        <v>20</v>
      </c>
      <c r="C192" s="20" t="str">
        <f aca="false">'Расчет Кплотн'!C192</f>
        <v>Сайрамский район</v>
      </c>
      <c r="D192" s="20" t="str">
        <f aca="false">'Расчет Кплотн'!D192</f>
        <v>район</v>
      </c>
      <c r="E192" s="21" t="n">
        <f aca="false">SUMIFS('РПН 01.08 по МО'!$D:$D,'РПН 01.08 по МО'!$E:$E,A192)</f>
        <v>266680</v>
      </c>
      <c r="F192" s="22" t="n">
        <f aca="false">'Расчет Кплотн'!K192</f>
        <v>1.0097</v>
      </c>
      <c r="G192" s="22" t="n">
        <f aca="false">'Расчет Кплотн'!J192</f>
        <v>1.0211</v>
      </c>
      <c r="H192" s="23" t="n">
        <f aca="false">E192*$F$3*L192*F192/1000</f>
        <v>5448355.12093584</v>
      </c>
      <c r="I192" s="23" t="n">
        <f aca="false">E192*$F$3*L192*G192/1000</f>
        <v>5509869.67810992</v>
      </c>
      <c r="J192" s="23" t="n">
        <f aca="false">I192-H192</f>
        <v>61514.5571740801</v>
      </c>
      <c r="K192" s="24" t="n">
        <f aca="false">IFERROR(J192/H192,0)</f>
        <v>0.0112904823214816</v>
      </c>
      <c r="L192" s="25" t="n">
        <f aca="false">IF(D192="район",IFERROR(VLOOKUP(B192,'БКПН (приказ 170)'!$A$4:$C$10,3,FALSE()),$F$2),$F$2)</f>
        <v>1686.17</v>
      </c>
    </row>
    <row r="193" customFormat="false" ht="15" hidden="false" customHeight="false" outlineLevel="0" collapsed="false">
      <c r="A193" s="20" t="s">
        <v>235</v>
      </c>
      <c r="B193" s="20" t="s">
        <v>20</v>
      </c>
      <c r="C193" s="20" t="str">
        <f aca="false">'Расчет Кплотн'!C193</f>
        <v>Сарыагашский район</v>
      </c>
      <c r="D193" s="20" t="str">
        <f aca="false">'Расчет Кплотн'!D193</f>
        <v>район</v>
      </c>
      <c r="E193" s="21" t="n">
        <f aca="false">SUMIFS('РПН 01.08 по МО'!$D:$D,'РПН 01.08 по МО'!$E:$E,A193)</f>
        <v>246186</v>
      </c>
      <c r="F193" s="22" t="n">
        <f aca="false">'Расчет Кплотн'!K193</f>
        <v>1.0393</v>
      </c>
      <c r="G193" s="22" t="n">
        <f aca="false">'Расчет Кплотн'!J193</f>
        <v>1.0872</v>
      </c>
      <c r="H193" s="23" t="n">
        <f aca="false">E193*$F$3*L193*F193/1000</f>
        <v>5177103.93013759</v>
      </c>
      <c r="I193" s="23" t="n">
        <f aca="false">E193*$F$3*L193*G193/1000</f>
        <v>5415709.99022957</v>
      </c>
      <c r="J193" s="23" t="n">
        <f aca="false">I193-H193</f>
        <v>238606.060091976</v>
      </c>
      <c r="K193" s="24" t="n">
        <f aca="false">IFERROR(J193/H193,0)</f>
        <v>0.046088713557202</v>
      </c>
      <c r="L193" s="25" t="n">
        <f aca="false">IF(D193="район",IFERROR(VLOOKUP(B193,'БКПН (приказ 170)'!$A$4:$C$10,3,FALSE()),$F$2),$F$2)</f>
        <v>1686.17</v>
      </c>
    </row>
    <row r="194" customFormat="false" ht="15" hidden="false" customHeight="false" outlineLevel="0" collapsed="false">
      <c r="A194" s="20" t="s">
        <v>236</v>
      </c>
      <c r="B194" s="20" t="s">
        <v>20</v>
      </c>
      <c r="C194" s="20" t="str">
        <f aca="false">'Расчет Кплотн'!C194</f>
        <v>район Сауран</v>
      </c>
      <c r="D194" s="20" t="str">
        <f aca="false">'Расчет Кплотн'!D194</f>
        <v>район</v>
      </c>
      <c r="E194" s="21" t="n">
        <f aca="false">SUMIFS('РПН 01.08 по МО'!$D:$D,'РПН 01.08 по МО'!$E:$E,A194)</f>
        <v>60062</v>
      </c>
      <c r="F194" s="22" t="n">
        <f aca="false">'Расчет Кплотн'!K194</f>
        <v>1.1468</v>
      </c>
      <c r="G194" s="22" t="n">
        <f aca="false">'Расчет Кплотн'!J194</f>
        <v>1.5289</v>
      </c>
      <c r="H194" s="23" t="n">
        <f aca="false">E194*$F$3*L194*F194/1000</f>
        <v>1393702.49693846</v>
      </c>
      <c r="I194" s="23" t="n">
        <f aca="false">E194*$F$3*L194*G194/1000</f>
        <v>1858067.44643287</v>
      </c>
      <c r="J194" s="23" t="n">
        <f aca="false">I194-H194</f>
        <v>464364.949494408</v>
      </c>
      <c r="K194" s="24" t="n">
        <f aca="false">IFERROR(J194/H194,0)</f>
        <v>0.333188001395186</v>
      </c>
      <c r="L194" s="25" t="n">
        <f aca="false">IF(D194="район",IFERROR(VLOOKUP(B194,'БКПН (приказ 170)'!$A$4:$C$10,3,FALSE()),$F$2),$F$2)</f>
        <v>1686.17</v>
      </c>
    </row>
    <row r="195" customFormat="false" ht="15" hidden="false" customHeight="false" outlineLevel="0" collapsed="false">
      <c r="A195" s="20" t="s">
        <v>237</v>
      </c>
      <c r="B195" s="20" t="s">
        <v>20</v>
      </c>
      <c r="C195" s="20" t="str">
        <f aca="false">'Расчет Кплотн'!C195</f>
        <v>Сузакский район</v>
      </c>
      <c r="D195" s="20" t="str">
        <f aca="false">'Расчет Кплотн'!D195</f>
        <v>район</v>
      </c>
      <c r="E195" s="21" t="n">
        <f aca="false">SUMIFS('РПН 01.08 по МО'!$D:$D,'РПН 01.08 по МО'!$E:$E,A195)</f>
        <v>55573</v>
      </c>
      <c r="F195" s="22" t="n">
        <f aca="false">'Расчет Кплотн'!K195</f>
        <v>2</v>
      </c>
      <c r="G195" s="22" t="n">
        <f aca="false">'Расчет Кплотн'!J195</f>
        <v>2</v>
      </c>
      <c r="H195" s="23" t="n">
        <f aca="false">E195*$F$3*L195*F195/1000</f>
        <v>2248932.60984</v>
      </c>
      <c r="I195" s="23" t="n">
        <f aca="false">E195*$F$3*L195*G195/1000</f>
        <v>2248932.60984</v>
      </c>
      <c r="J195" s="23" t="n">
        <f aca="false">I195-H195</f>
        <v>0</v>
      </c>
      <c r="K195" s="24" t="n">
        <f aca="false">IFERROR(J195/H195,0)</f>
        <v>0</v>
      </c>
      <c r="L195" s="25" t="n">
        <f aca="false">IF(D195="район",IFERROR(VLOOKUP(B195,'БКПН (приказ 170)'!$A$4:$C$10,3,FALSE()),$F$2),$F$2)</f>
        <v>1686.17</v>
      </c>
    </row>
    <row r="196" customFormat="false" ht="15" hidden="false" customHeight="false" outlineLevel="0" collapsed="false">
      <c r="A196" s="20" t="s">
        <v>238</v>
      </c>
      <c r="B196" s="20" t="s">
        <v>20</v>
      </c>
      <c r="C196" s="20" t="str">
        <f aca="false">'Расчет Кплотн'!C196</f>
        <v>Толебийский район</v>
      </c>
      <c r="D196" s="20" t="str">
        <f aca="false">'Расчет Кплотн'!D196</f>
        <v>район</v>
      </c>
      <c r="E196" s="21" t="n">
        <f aca="false">SUMIFS('РПН 01.08 по МО'!$D:$D,'РПН 01.08 по МО'!$E:$E,A196)</f>
        <v>115090</v>
      </c>
      <c r="F196" s="22" t="n">
        <f aca="false">'Расчет Кплотн'!K196</f>
        <v>1.0509</v>
      </c>
      <c r="G196" s="22" t="n">
        <f aca="false">'Расчет Кплотн'!J196</f>
        <v>1.1352</v>
      </c>
      <c r="H196" s="23" t="n">
        <f aca="false">E196*$F$3*L196*F196/1000</f>
        <v>2447268.30887724</v>
      </c>
      <c r="I196" s="23" t="n">
        <f aca="false">E196*$F$3*L196*G196/1000</f>
        <v>2643580.72531872</v>
      </c>
      <c r="J196" s="23" t="n">
        <f aca="false">I196-H196</f>
        <v>196312.41644148</v>
      </c>
      <c r="K196" s="24" t="n">
        <f aca="false">IFERROR(J196/H196,0)</f>
        <v>0.0802169568940907</v>
      </c>
      <c r="L196" s="25" t="n">
        <f aca="false">IF(D196="район",IFERROR(VLOOKUP(B196,'БКПН (приказ 170)'!$A$4:$C$10,3,FALSE()),$F$2),$F$2)</f>
        <v>1686.17</v>
      </c>
    </row>
    <row r="197" customFormat="false" ht="15" hidden="false" customHeight="false" outlineLevel="0" collapsed="false">
      <c r="A197" s="20" t="s">
        <v>239</v>
      </c>
      <c r="B197" s="20" t="s">
        <v>20</v>
      </c>
      <c r="C197" s="20" t="str">
        <f aca="false">'Расчет Кплотн'!C197</f>
        <v>Тюлькубасский район</v>
      </c>
      <c r="D197" s="20" t="str">
        <f aca="false">'Расчет Кплотн'!D197</f>
        <v>район</v>
      </c>
      <c r="E197" s="21" t="n">
        <f aca="false">SUMIFS('РПН 01.08 по МО'!$D:$D,'РПН 01.08 по МО'!$E:$E,A197)</f>
        <v>96675</v>
      </c>
      <c r="F197" s="22" t="n">
        <f aca="false">'Расчет Кплотн'!K197</f>
        <v>1.0444</v>
      </c>
      <c r="G197" s="22" t="n">
        <f aca="false">'Расчет Кплотн'!J197</f>
        <v>1.1243</v>
      </c>
      <c r="H197" s="23" t="n">
        <f aca="false">E197*$F$3*L197*F197/1000</f>
        <v>2042977.8032748</v>
      </c>
      <c r="I197" s="23" t="n">
        <f aca="false">E197*$F$3*L197*G197/1000</f>
        <v>2199272.2560531</v>
      </c>
      <c r="J197" s="23" t="n">
        <f aca="false">I197-H197</f>
        <v>156294.4527783</v>
      </c>
      <c r="K197" s="24" t="n">
        <f aca="false">IFERROR(J197/H197,0)</f>
        <v>0.0765032554576792</v>
      </c>
      <c r="L197" s="25" t="n">
        <f aca="false">IF(D197="район",IFERROR(VLOOKUP(B197,'БКПН (приказ 170)'!$A$4:$C$10,3,FALSE()),$F$2),$F$2)</f>
        <v>1686.17</v>
      </c>
    </row>
    <row r="198" customFormat="false" ht="15" hidden="false" customHeight="false" outlineLevel="0" collapsed="false">
      <c r="A198" s="20" t="s">
        <v>240</v>
      </c>
      <c r="B198" s="20" t="s">
        <v>20</v>
      </c>
      <c r="C198" s="20" t="str">
        <f aca="false">'Расчет Кплотн'!C198</f>
        <v>Шардаринский район</v>
      </c>
      <c r="D198" s="20" t="str">
        <f aca="false">'Расчет Кплотн'!D198</f>
        <v>район</v>
      </c>
      <c r="E198" s="21" t="n">
        <f aca="false">SUMIFS('РПН 01.08 по МО'!$D:$D,'РПН 01.08 по МО'!$E:$E,A198)</f>
        <v>69505</v>
      </c>
      <c r="F198" s="22" t="n">
        <f aca="false">'Расчет Кплотн'!K198</f>
        <v>1.3141</v>
      </c>
      <c r="G198" s="22" t="n">
        <f aca="false">'Расчет Кплотн'!J198</f>
        <v>1.9531</v>
      </c>
      <c r="H198" s="23" t="n">
        <f aca="false">E198*$F$3*L198*F198/1000</f>
        <v>1848106.80925782</v>
      </c>
      <c r="I198" s="23" t="n">
        <f aca="false">E198*$F$3*L198*G198/1000</f>
        <v>2746775.29043562</v>
      </c>
      <c r="J198" s="23" t="n">
        <f aca="false">I198-H198</f>
        <v>898668.4811778</v>
      </c>
      <c r="K198" s="24" t="n">
        <f aca="false">IFERROR(J198/H198,0)</f>
        <v>0.48626436344266</v>
      </c>
      <c r="L198" s="25" t="n">
        <f aca="false">IF(D198="район",IFERROR(VLOOKUP(B198,'БКПН (приказ 170)'!$A$4:$C$10,3,FALSE()),$F$2),$F$2)</f>
        <v>1686.17</v>
      </c>
    </row>
    <row r="199" customFormat="false" ht="15" hidden="false" customHeight="false" outlineLevel="0" collapsed="false">
      <c r="A199" s="20" t="s">
        <v>241</v>
      </c>
      <c r="B199" s="20" t="s">
        <v>23</v>
      </c>
      <c r="C199" s="20" t="str">
        <f aca="false">'Расчет Кплотн'!C199</f>
        <v>Жезказган</v>
      </c>
      <c r="D199" s="20" t="str">
        <f aca="false">'Расчет Кплотн'!D199</f>
        <v>областной центр</v>
      </c>
      <c r="E199" s="21" t="n">
        <f aca="false">SUMIFS('РПН 01.08 по МО'!$D:$D,'РПН 01.08 по МО'!$E:$E,A199)</f>
        <v>113631</v>
      </c>
      <c r="F199" s="22" t="n">
        <f aca="false">'Расчет Кплотн'!K199</f>
        <v>1</v>
      </c>
      <c r="G199" s="22" t="n">
        <f aca="false">'Расчет Кплотн'!J199</f>
        <v>1</v>
      </c>
      <c r="H199" s="23" t="n">
        <f aca="false">E199*$F$3*L199*F199/1000</f>
        <v>2299214.19924</v>
      </c>
      <c r="I199" s="23" t="n">
        <f aca="false">E199*$F$3*L199*G199/1000</f>
        <v>2299214.19924</v>
      </c>
      <c r="J199" s="23" t="n">
        <f aca="false">I199-H199</f>
        <v>0</v>
      </c>
      <c r="K199" s="24" t="n">
        <f aca="false">IFERROR(J199/H199,0)</f>
        <v>0</v>
      </c>
      <c r="L199" s="25" t="n">
        <f aca="false">IF(D199="район",IFERROR(VLOOKUP(B199,'БКПН (приказ 170)'!$A$4:$C$10,3,FALSE()),$F$2),$F$2)</f>
        <v>1686.17</v>
      </c>
    </row>
    <row r="200" customFormat="false" ht="15" hidden="false" customHeight="false" outlineLevel="0" collapsed="false">
      <c r="A200" s="20" t="s">
        <v>242</v>
      </c>
      <c r="B200" s="20" t="s">
        <v>23</v>
      </c>
      <c r="C200" s="20" t="str">
        <f aca="false">'Расчет Кплотн'!C200</f>
        <v>Каражал</v>
      </c>
      <c r="D200" s="20" t="str">
        <f aca="false">'Расчет Кплотн'!D200</f>
        <v>моногород / малый город</v>
      </c>
      <c r="E200" s="21" t="n">
        <f aca="false">SUMIFS('РПН 01.08 по МО'!$D:$D,'РПН 01.08 по МО'!$E:$E,A200)</f>
        <v>16464</v>
      </c>
      <c r="F200" s="22" t="n">
        <f aca="false">'Расчет Кплотн'!K200</f>
        <v>1.5</v>
      </c>
      <c r="G200" s="22" t="n">
        <f aca="false">'Расчет Кплотн'!J200</f>
        <v>1.5</v>
      </c>
      <c r="H200" s="23" t="n">
        <f aca="false">E200*$F$3*L200*F200/1000</f>
        <v>499699.85184</v>
      </c>
      <c r="I200" s="23" t="n">
        <f aca="false">E200*$F$3*L200*G200/1000</f>
        <v>499699.85184</v>
      </c>
      <c r="J200" s="23" t="n">
        <f aca="false">I200-H200</f>
        <v>0</v>
      </c>
      <c r="K200" s="24" t="n">
        <f aca="false">IFERROR(J200/H200,0)</f>
        <v>0</v>
      </c>
      <c r="L200" s="25" t="n">
        <f aca="false">IF(D200="район",IFERROR(VLOOKUP(B200,'БКПН (приказ 170)'!$A$4:$C$10,3,FALSE()),$F$2),$F$2)</f>
        <v>1686.17</v>
      </c>
    </row>
    <row r="201" customFormat="false" ht="15" hidden="false" customHeight="false" outlineLevel="0" collapsed="false">
      <c r="A201" s="20" t="s">
        <v>243</v>
      </c>
      <c r="B201" s="20" t="s">
        <v>23</v>
      </c>
      <c r="C201" s="20" t="str">
        <f aca="false">'Расчет Кплотн'!C201</f>
        <v>Сатпаев</v>
      </c>
      <c r="D201" s="20" t="str">
        <f aca="false">'Расчет Кплотн'!D201</f>
        <v>моногород / малый город</v>
      </c>
      <c r="E201" s="21" t="n">
        <f aca="false">SUMIFS('РПН 01.08 по МО'!$D:$D,'РПН 01.08 по МО'!$E:$E,A201)</f>
        <v>48449</v>
      </c>
      <c r="F201" s="22" t="n">
        <f aca="false">'Расчет Кплотн'!K201</f>
        <v>1.5</v>
      </c>
      <c r="G201" s="22" t="n">
        <f aca="false">'Расчет Кплотн'!J201</f>
        <v>1.5</v>
      </c>
      <c r="H201" s="23" t="n">
        <f aca="false">E201*$F$3*L201*F201/1000</f>
        <v>1470478.50594</v>
      </c>
      <c r="I201" s="23" t="n">
        <f aca="false">E201*$F$3*L201*G201/1000</f>
        <v>1470478.50594</v>
      </c>
      <c r="J201" s="23" t="n">
        <f aca="false">I201-H201</f>
        <v>0</v>
      </c>
      <c r="K201" s="24" t="n">
        <f aca="false">IFERROR(J201/H201,0)</f>
        <v>0</v>
      </c>
      <c r="L201" s="25" t="n">
        <f aca="false">IF(D201="район",IFERROR(VLOOKUP(B201,'БКПН (приказ 170)'!$A$4:$C$10,3,FALSE()),$F$2),$F$2)</f>
        <v>1686.17</v>
      </c>
    </row>
    <row r="202" customFormat="false" ht="15" hidden="false" customHeight="false" outlineLevel="0" collapsed="false">
      <c r="A202" s="20" t="s">
        <v>244</v>
      </c>
      <c r="B202" s="20" t="s">
        <v>23</v>
      </c>
      <c r="C202" s="20" t="str">
        <f aca="false">'Расчет Кплотн'!C202</f>
        <v>Жанааркинский район</v>
      </c>
      <c r="D202" s="20" t="str">
        <f aca="false">'Расчет Кплотн'!D202</f>
        <v>район</v>
      </c>
      <c r="E202" s="21" t="n">
        <f aca="false">SUMIFS('РПН 01.08 по МО'!$D:$D,'РПН 01.08 по МО'!$E:$E,A202)</f>
        <v>27646</v>
      </c>
      <c r="F202" s="22" t="n">
        <f aca="false">'Расчет Кплотн'!K202</f>
        <v>2</v>
      </c>
      <c r="G202" s="22" t="n">
        <f aca="false">'Расчет Кплотн'!J202</f>
        <v>2</v>
      </c>
      <c r="H202" s="23" t="n">
        <f aca="false">E202*$F$3*L202*F202/1000</f>
        <v>1228086.18864</v>
      </c>
      <c r="I202" s="23" t="n">
        <f aca="false">E202*$F$3*L202*G202/1000</f>
        <v>1228086.18864</v>
      </c>
      <c r="J202" s="23" t="n">
        <f aca="false">I202-H202</f>
        <v>0</v>
      </c>
      <c r="K202" s="24" t="n">
        <f aca="false">IFERROR(J202/H202,0)</f>
        <v>0</v>
      </c>
      <c r="L202" s="25" t="n">
        <f aca="false">IF(D202="район",IFERROR(VLOOKUP(B202,'БКПН (приказ 170)'!$A$4:$C$10,3,FALSE()),$F$2),$F$2)</f>
        <v>1850.91</v>
      </c>
    </row>
    <row r="203" customFormat="false" ht="15" hidden="false" customHeight="false" outlineLevel="0" collapsed="false">
      <c r="A203" s="20" t="s">
        <v>245</v>
      </c>
      <c r="B203" s="20" t="s">
        <v>23</v>
      </c>
      <c r="C203" s="20" t="str">
        <f aca="false">'Расчет Кплотн'!C203</f>
        <v>Улытауский район</v>
      </c>
      <c r="D203" s="20" t="str">
        <f aca="false">'Расчет Кплотн'!D203</f>
        <v>район</v>
      </c>
      <c r="E203" s="21" t="n">
        <f aca="false">SUMIFS('РПН 01.08 по МО'!$D:$D,'РПН 01.08 по МО'!$E:$E,A203)</f>
        <v>8282</v>
      </c>
      <c r="F203" s="22" t="n">
        <f aca="false">'Расчет Кплотн'!K203</f>
        <v>2</v>
      </c>
      <c r="G203" s="22" t="n">
        <f aca="false">'Расчет Кплотн'!J203</f>
        <v>2</v>
      </c>
      <c r="H203" s="23" t="n">
        <f aca="false">E203*$F$3*L203*F203/1000</f>
        <v>367901.67888</v>
      </c>
      <c r="I203" s="23" t="n">
        <f aca="false">E203*$F$3*L203*G203/1000</f>
        <v>367901.67888</v>
      </c>
      <c r="J203" s="23" t="n">
        <f aca="false">I203-H203</f>
        <v>0</v>
      </c>
      <c r="K203" s="24" t="n">
        <f aca="false">IFERROR(J203/H203,0)</f>
        <v>0</v>
      </c>
      <c r="L203" s="25" t="n">
        <f aca="false">IF(D203="район",IFERROR(VLOOKUP(B203,'БКПН (приказ 170)'!$A$4:$C$10,3,FALSE()),$F$2),$F$2)</f>
        <v>1850.91</v>
      </c>
    </row>
    <row r="204" customFormat="false" ht="15" hidden="false" customHeight="false" outlineLevel="0" collapsed="false">
      <c r="A204" s="20" t="s">
        <v>246</v>
      </c>
      <c r="B204" s="20" t="s">
        <v>11</v>
      </c>
      <c r="C204" s="20" t="str">
        <f aca="false">'Расчет Кплотн'!C204</f>
        <v>Усть-Каменогорск</v>
      </c>
      <c r="D204" s="20" t="str">
        <f aca="false">'Расчет Кплотн'!D204</f>
        <v>областной центр</v>
      </c>
      <c r="E204" s="21" t="n">
        <f aca="false">SUMIFS('РПН 01.08 по МО'!$D:$D,'РПН 01.08 по МО'!$E:$E,A204)</f>
        <v>389424</v>
      </c>
      <c r="F204" s="22" t="n">
        <f aca="false">'Расчет Кплотн'!K204</f>
        <v>1</v>
      </c>
      <c r="G204" s="22" t="n">
        <f aca="false">'Расчет Кплотн'!J204</f>
        <v>1</v>
      </c>
      <c r="H204" s="23" t="n">
        <f aca="false">E204*$F$3*L204*F204/1000</f>
        <v>7879620.79296</v>
      </c>
      <c r="I204" s="23" t="n">
        <f aca="false">E204*$F$3*L204*G204/1000</f>
        <v>7879620.79296</v>
      </c>
      <c r="J204" s="23" t="n">
        <f aca="false">I204-H204</f>
        <v>0</v>
      </c>
      <c r="K204" s="24" t="n">
        <f aca="false">IFERROR(J204/H204,0)</f>
        <v>0</v>
      </c>
      <c r="L204" s="25" t="n">
        <f aca="false">IF(D204="район",IFERROR(VLOOKUP(B204,'БКПН (приказ 170)'!$A$4:$C$10,3,FALSE()),$F$2),$F$2)</f>
        <v>1686.17</v>
      </c>
    </row>
    <row r="205" customFormat="false" ht="15" hidden="false" customHeight="false" outlineLevel="0" collapsed="false">
      <c r="A205" s="20" t="s">
        <v>247</v>
      </c>
      <c r="B205" s="20" t="s">
        <v>11</v>
      </c>
      <c r="C205" s="20" t="str">
        <f aca="false">'Расчет Кплотн'!C205</f>
        <v>Риддер</v>
      </c>
      <c r="D205" s="20" t="str">
        <f aca="false">'Расчет Кплотн'!D205</f>
        <v>моногород / малый город</v>
      </c>
      <c r="E205" s="21" t="n">
        <f aca="false">SUMIFS('РПН 01.08 по МО'!$D:$D,'РПН 01.08 по МО'!$E:$E,A205)</f>
        <v>51538</v>
      </c>
      <c r="F205" s="22" t="n">
        <f aca="false">'Расчет Кплотн'!K205</f>
        <v>1.5</v>
      </c>
      <c r="G205" s="22" t="n">
        <f aca="false">'Расчет Кплотн'!J205</f>
        <v>1.5</v>
      </c>
      <c r="H205" s="23" t="n">
        <f aca="false">E205*$F$3*L205*F205/1000</f>
        <v>1564232.93028</v>
      </c>
      <c r="I205" s="23" t="n">
        <f aca="false">E205*$F$3*L205*G205/1000</f>
        <v>1564232.93028</v>
      </c>
      <c r="J205" s="23" t="n">
        <f aca="false">I205-H205</f>
        <v>0</v>
      </c>
      <c r="K205" s="24" t="n">
        <f aca="false">IFERROR(J205/H205,0)</f>
        <v>0</v>
      </c>
      <c r="L205" s="25" t="n">
        <f aca="false">IF(D205="район",IFERROR(VLOOKUP(B205,'БКПН (приказ 170)'!$A$4:$C$10,3,FALSE()),$F$2),$F$2)</f>
        <v>1686.17</v>
      </c>
    </row>
    <row r="206" customFormat="false" ht="15" hidden="false" customHeight="false" outlineLevel="0" collapsed="false">
      <c r="A206" s="20" t="s">
        <v>248</v>
      </c>
      <c r="B206" s="20" t="s">
        <v>11</v>
      </c>
      <c r="C206" s="20" t="str">
        <f aca="false">'Расчет Кплотн'!C206</f>
        <v>Глубоковский район</v>
      </c>
      <c r="D206" s="20" t="str">
        <f aca="false">'Расчет Кплотн'!D206</f>
        <v>район</v>
      </c>
      <c r="E206" s="21" t="n">
        <f aca="false">SUMIFS('РПН 01.08 по МО'!$D:$D,'РПН 01.08 по МО'!$E:$E,A206)</f>
        <v>47500</v>
      </c>
      <c r="F206" s="22" t="n">
        <f aca="false">'Расчет Кплотн'!K206</f>
        <v>1.2641</v>
      </c>
      <c r="G206" s="22" t="n">
        <f aca="false">'Расчет Кплотн'!J206</f>
        <v>1.7782</v>
      </c>
      <c r="H206" s="23" t="n">
        <f aca="false">E206*$F$3*L206*F206/1000</f>
        <v>1377601.89567</v>
      </c>
      <c r="I206" s="23" t="n">
        <f aca="false">E206*$F$3*L206*G206/1000</f>
        <v>1937862.26634</v>
      </c>
      <c r="J206" s="23" t="n">
        <f aca="false">I206-H206</f>
        <v>560260.37067</v>
      </c>
      <c r="K206" s="24" t="n">
        <f aca="false">IFERROR(J206/H206,0)</f>
        <v>0.406692508504074</v>
      </c>
      <c r="L206" s="25" t="n">
        <f aca="false">IF(D206="район",IFERROR(VLOOKUP(B206,'БКПН (приказ 170)'!$A$4:$C$10,3,FALSE()),$F$2),$F$2)</f>
        <v>1911.91</v>
      </c>
    </row>
    <row r="207" customFormat="false" ht="15" hidden="false" customHeight="false" outlineLevel="0" collapsed="false">
      <c r="A207" s="20" t="s">
        <v>249</v>
      </c>
      <c r="B207" s="20" t="s">
        <v>11</v>
      </c>
      <c r="C207" s="20" t="str">
        <f aca="false">'Расчет Кплотн'!C207</f>
        <v>Зайсанский район</v>
      </c>
      <c r="D207" s="20" t="str">
        <f aca="false">'Расчет Кплотн'!D207</f>
        <v>район</v>
      </c>
      <c r="E207" s="21" t="n">
        <f aca="false">SUMIFS('РПН 01.08 по МО'!$D:$D,'РПН 01.08 по МО'!$E:$E,A207)</f>
        <v>32344</v>
      </c>
      <c r="F207" s="22" t="n">
        <f aca="false">'Расчет Кплотн'!K207</f>
        <v>1.5962</v>
      </c>
      <c r="G207" s="22" t="n">
        <f aca="false">'Расчет Кплотн'!J207</f>
        <v>2</v>
      </c>
      <c r="H207" s="23" t="n">
        <f aca="false">E207*$F$3*L207*F207/1000</f>
        <v>1184485.43711098</v>
      </c>
      <c r="I207" s="23" t="n">
        <f aca="false">E207*$F$3*L207*G207/1000</f>
        <v>1484131.60896</v>
      </c>
      <c r="J207" s="23" t="n">
        <f aca="false">I207-H207</f>
        <v>299646.171849024</v>
      </c>
      <c r="K207" s="24" t="n">
        <f aca="false">IFERROR(J207/H207,0)</f>
        <v>0.252975817566721</v>
      </c>
      <c r="L207" s="25" t="n">
        <f aca="false">IF(D207="район",IFERROR(VLOOKUP(B207,'БКПН (приказ 170)'!$A$4:$C$10,3,FALSE()),$F$2),$F$2)</f>
        <v>1911.91</v>
      </c>
    </row>
    <row r="208" customFormat="false" ht="15" hidden="false" customHeight="false" outlineLevel="0" collapsed="false">
      <c r="A208" s="20" t="s">
        <v>250</v>
      </c>
      <c r="B208" s="20" t="s">
        <v>11</v>
      </c>
      <c r="C208" s="20" t="str">
        <f aca="false">'Расчет Кплотн'!C208</f>
        <v>район Алтай</v>
      </c>
      <c r="D208" s="20" t="str">
        <f aca="false">'Расчет Кплотн'!D208</f>
        <v>район</v>
      </c>
      <c r="E208" s="21" t="n">
        <f aca="false">SUMIFS('РПН 01.08 по МО'!$D:$D,'РПН 01.08 по МО'!$E:$E,A208)</f>
        <v>56419</v>
      </c>
      <c r="F208" s="22" t="n">
        <f aca="false">'Расчет Кплотн'!K208</f>
        <v>1.3549</v>
      </c>
      <c r="G208" s="22" t="n">
        <f aca="false">'Расчет Кплотн'!J208</f>
        <v>1.9417</v>
      </c>
      <c r="H208" s="23" t="n">
        <f aca="false">E208*$F$3*L208*F208/1000</f>
        <v>1753805.05605505</v>
      </c>
      <c r="I208" s="23" t="n">
        <f aca="false">E208*$F$3*L208*G208/1000</f>
        <v>2513368.71897712</v>
      </c>
      <c r="J208" s="23" t="n">
        <f aca="false">I208-H208</f>
        <v>759563.662922064</v>
      </c>
      <c r="K208" s="24" t="n">
        <f aca="false">IFERROR(J208/H208,0)</f>
        <v>0.433094693335302</v>
      </c>
      <c r="L208" s="25" t="n">
        <f aca="false">IF(D208="район",IFERROR(VLOOKUP(B208,'БКПН (приказ 170)'!$A$4:$C$10,3,FALSE()),$F$2),$F$2)</f>
        <v>1911.91</v>
      </c>
    </row>
    <row r="209" customFormat="false" ht="15" hidden="false" customHeight="false" outlineLevel="0" collapsed="false">
      <c r="A209" s="20" t="s">
        <v>251</v>
      </c>
      <c r="B209" s="20" t="s">
        <v>11</v>
      </c>
      <c r="C209" s="20" t="str">
        <f aca="false">'Расчет Кплотн'!C209</f>
        <v>Курчумский район</v>
      </c>
      <c r="D209" s="20" t="str">
        <f aca="false">'Расчет Кплотн'!D209</f>
        <v>район</v>
      </c>
      <c r="E209" s="26" t="n">
        <f aca="false">SUMIFS('РПН 01.08 по МО'!$D:$D,'РПН 01.08 по МО'!$E:$E,A209)-E211</f>
        <v>13343</v>
      </c>
      <c r="F209" s="22" t="n">
        <f aca="false">'Расчет Кплотн'!K209</f>
        <v>2</v>
      </c>
      <c r="G209" s="22" t="n">
        <f aca="false">'Расчет Кплотн'!J209</f>
        <v>2</v>
      </c>
      <c r="H209" s="23" t="n">
        <f aca="false">E209*$F$3*L209*F209/1000</f>
        <v>612254.76312</v>
      </c>
      <c r="I209" s="23" t="n">
        <f aca="false">E209*$F$3*L209*G209/1000</f>
        <v>612254.76312</v>
      </c>
      <c r="J209" s="23" t="n">
        <f aca="false">I209-H209</f>
        <v>0</v>
      </c>
      <c r="K209" s="24" t="n">
        <f aca="false">IFERROR(J209/H209,0)</f>
        <v>0</v>
      </c>
      <c r="L209" s="25" t="n">
        <f aca="false">IF(D209="район",IFERROR(VLOOKUP(B209,'БКПН (приказ 170)'!$A$4:$C$10,3,FALSE()),$F$2),$F$2)</f>
        <v>1911.91</v>
      </c>
    </row>
    <row r="210" customFormat="false" ht="15" hidden="false" customHeight="false" outlineLevel="0" collapsed="false">
      <c r="A210" s="20" t="s">
        <v>252</v>
      </c>
      <c r="B210" s="20" t="s">
        <v>11</v>
      </c>
      <c r="C210" s="20" t="str">
        <f aca="false">'Расчет Кплотн'!C210</f>
        <v>Катон-Карагайский район</v>
      </c>
      <c r="D210" s="20" t="str">
        <f aca="false">'Расчет Кплотн'!D210</f>
        <v>район</v>
      </c>
      <c r="E210" s="21" t="n">
        <f aca="false">SUMIFS('РПН 01.08 по МО'!$D:$D,'РПН 01.08 по МО'!$E:$E,A210)</f>
        <v>8541</v>
      </c>
      <c r="F210" s="22" t="n">
        <f aca="false">'Расчет Кплотн'!K210</f>
        <v>2</v>
      </c>
      <c r="G210" s="22" t="n">
        <f aca="false">'Расчет Кплотн'!J210</f>
        <v>2</v>
      </c>
      <c r="H210" s="23" t="n">
        <f aca="false">E210*$F$3*L210*F210/1000</f>
        <v>391910.95944</v>
      </c>
      <c r="I210" s="23" t="n">
        <f aca="false">E210*$F$3*L210*G210/1000</f>
        <v>391910.95944</v>
      </c>
      <c r="J210" s="23" t="n">
        <f aca="false">I210-H210</f>
        <v>0</v>
      </c>
      <c r="K210" s="24" t="n">
        <f aca="false">IFERROR(J210/H210,0)</f>
        <v>0</v>
      </c>
      <c r="L210" s="25" t="n">
        <f aca="false">IF(D210="район",IFERROR(VLOOKUP(B210,'БКПН (приказ 170)'!$A$4:$C$10,3,FALSE()),$F$2),$F$2)</f>
        <v>1911.91</v>
      </c>
    </row>
    <row r="211" customFormat="false" ht="15" hidden="false" customHeight="false" outlineLevel="0" collapsed="false">
      <c r="A211" s="20" t="s">
        <v>253</v>
      </c>
      <c r="B211" s="20" t="s">
        <v>11</v>
      </c>
      <c r="C211" s="20" t="str">
        <f aca="false">'Расчет Кплотн'!C211</f>
        <v>район Марқакөл</v>
      </c>
      <c r="D211" s="20" t="str">
        <f aca="false">'Расчет Кплотн'!D211</f>
        <v>район</v>
      </c>
      <c r="E211" s="26" t="n">
        <f aca="false">'Расчет Кплотн'!G211</f>
        <v>6285</v>
      </c>
      <c r="F211" s="22" t="n">
        <f aca="false">'Расчет Кплотн'!K211</f>
        <v>2</v>
      </c>
      <c r="G211" s="22" t="n">
        <f aca="false">'Расчет Кплотн'!J211</f>
        <v>2</v>
      </c>
      <c r="H211" s="23" t="n">
        <f aca="false">E211*$F$3*L211*F211/1000</f>
        <v>288392.5044</v>
      </c>
      <c r="I211" s="23" t="n">
        <f aca="false">E211*$F$3*L211*G211/1000</f>
        <v>288392.5044</v>
      </c>
      <c r="J211" s="23" t="n">
        <f aca="false">I211-H211</f>
        <v>0</v>
      </c>
      <c r="K211" s="24" t="n">
        <f aca="false">IFERROR(J211/H211,0)</f>
        <v>0</v>
      </c>
      <c r="L211" s="25" t="n">
        <f aca="false">IF(D211="район",IFERROR(VLOOKUP(B211,'БКПН (приказ 170)'!$A$4:$C$10,3,FALSE()),$F$2),$F$2)</f>
        <v>1911.91</v>
      </c>
    </row>
    <row r="212" customFormat="false" ht="15" hidden="false" customHeight="false" outlineLevel="0" collapsed="false">
      <c r="A212" s="20" t="s">
        <v>254</v>
      </c>
      <c r="B212" s="20" t="s">
        <v>11</v>
      </c>
      <c r="C212" s="20" t="str">
        <f aca="false">'Расчет Кплотн'!C212</f>
        <v>район Самар</v>
      </c>
      <c r="D212" s="20" t="str">
        <f aca="false">'Расчет Кплотн'!D212</f>
        <v>район</v>
      </c>
      <c r="E212" s="21" t="n">
        <f aca="false">SUMIFS('РПН 01.08 по МО'!$D:$D,'РПН 01.08 по МО'!$E:$E,A212)</f>
        <v>10576</v>
      </c>
      <c r="F212" s="22" t="n">
        <f aca="false">'Расчет Кплотн'!K212</f>
        <v>1.9345</v>
      </c>
      <c r="G212" s="22" t="n">
        <f aca="false">'Расчет Кплотн'!J212</f>
        <v>2</v>
      </c>
      <c r="H212" s="23" t="n">
        <f aca="false">E212*$F$3*L212*F212/1000</f>
        <v>469395.44075424</v>
      </c>
      <c r="I212" s="23" t="n">
        <f aca="false">E212*$F$3*L212*G212/1000</f>
        <v>485288.64384</v>
      </c>
      <c r="J212" s="23" t="n">
        <f aca="false">I212-H212</f>
        <v>15893.20308576</v>
      </c>
      <c r="K212" s="24" t="n">
        <f aca="false">IFERROR(J212/H212,0)</f>
        <v>0.0338588782631171</v>
      </c>
      <c r="L212" s="25" t="n">
        <f aca="false">IF(D212="район",IFERROR(VLOOKUP(B212,'БКПН (приказ 170)'!$A$4:$C$10,3,FALSE()),$F$2),$F$2)</f>
        <v>1911.91</v>
      </c>
    </row>
    <row r="213" customFormat="false" ht="15" hidden="false" customHeight="false" outlineLevel="0" collapsed="false">
      <c r="A213" s="20" t="s">
        <v>255</v>
      </c>
      <c r="B213" s="20" t="s">
        <v>11</v>
      </c>
      <c r="C213" s="20" t="str">
        <f aca="false">'Расчет Кплотн'!C213</f>
        <v>Тарбагатайский район</v>
      </c>
      <c r="D213" s="20" t="str">
        <f aca="false">'Расчет Кплотн'!D213</f>
        <v>район</v>
      </c>
      <c r="E213" s="21" t="n">
        <f aca="false">SUMIFS('РПН 01.08 по МО'!$D:$D,'РПН 01.08 по МО'!$E:$E,A213)</f>
        <v>16838</v>
      </c>
      <c r="F213" s="22" t="n">
        <f aca="false">'Расчет Кплотн'!K213</f>
        <v>2</v>
      </c>
      <c r="G213" s="22" t="n">
        <f aca="false">'Расчет Кплотн'!J213</f>
        <v>2</v>
      </c>
      <c r="H213" s="23" t="n">
        <f aca="false">E213*$F$3*L213*F213/1000</f>
        <v>772625.77392</v>
      </c>
      <c r="I213" s="23" t="n">
        <f aca="false">E213*$F$3*L213*G213/1000</f>
        <v>772625.77392</v>
      </c>
      <c r="J213" s="23" t="n">
        <f aca="false">I213-H213</f>
        <v>0</v>
      </c>
      <c r="K213" s="24" t="n">
        <f aca="false">IFERROR(J213/H213,0)</f>
        <v>0</v>
      </c>
      <c r="L213" s="25" t="n">
        <f aca="false">IF(D213="район",IFERROR(VLOOKUP(B213,'БКПН (приказ 170)'!$A$4:$C$10,3,FALSE()),$F$2),$F$2)</f>
        <v>1911.91</v>
      </c>
    </row>
    <row r="214" customFormat="false" ht="15" hidden="false" customHeight="false" outlineLevel="0" collapsed="false">
      <c r="A214" s="20" t="s">
        <v>256</v>
      </c>
      <c r="B214" s="20" t="s">
        <v>11</v>
      </c>
      <c r="C214" s="20" t="str">
        <f aca="false">'Расчет Кплотн'!C214</f>
        <v>Уланский район</v>
      </c>
      <c r="D214" s="20" t="str">
        <f aca="false">'Расчет Кплотн'!D214</f>
        <v>район</v>
      </c>
      <c r="E214" s="21" t="n">
        <f aca="false">SUMIFS('РПН 01.08 по МО'!$D:$D,'РПН 01.08 по МО'!$E:$E,A214)</f>
        <v>28068</v>
      </c>
      <c r="F214" s="22" t="n">
        <f aca="false">'Расчет Кплотн'!K214</f>
        <v>1.5835</v>
      </c>
      <c r="G214" s="22" t="n">
        <f aca="false">'Расчет Кплотн'!J214</f>
        <v>2</v>
      </c>
      <c r="H214" s="23" t="n">
        <f aca="false">E214*$F$3*L214*F214/1000</f>
        <v>1019713.63469976</v>
      </c>
      <c r="I214" s="23" t="n">
        <f aca="false">E214*$F$3*L214*G214/1000</f>
        <v>1287923.75712</v>
      </c>
      <c r="J214" s="23" t="n">
        <f aca="false">I214-H214</f>
        <v>268210.12242024</v>
      </c>
      <c r="K214" s="24" t="n">
        <f aca="false">IFERROR(J214/H214,0)</f>
        <v>0.263024944742659</v>
      </c>
      <c r="L214" s="25" t="n">
        <f aca="false">IF(D214="район",IFERROR(VLOOKUP(B214,'БКПН (приказ 170)'!$A$4:$C$10,3,FALSE()),$F$2),$F$2)</f>
        <v>1911.91</v>
      </c>
    </row>
    <row r="215" customFormat="false" ht="15" hidden="false" customHeight="false" outlineLevel="0" collapsed="false">
      <c r="A215" s="20" t="s">
        <v>257</v>
      </c>
      <c r="B215" s="20" t="s">
        <v>11</v>
      </c>
      <c r="C215" s="20" t="str">
        <f aca="false">'Расчет Кплотн'!C215</f>
        <v>район Үлкен Нарын</v>
      </c>
      <c r="D215" s="20" t="str">
        <f aca="false">'Расчет Кплотн'!D215</f>
        <v>район</v>
      </c>
      <c r="E215" s="21" t="n">
        <f aca="false">SUMIFS('РПН 01.08 по МО'!$D:$D,'РПН 01.08 по МО'!$E:$E,A215)</f>
        <v>9397</v>
      </c>
      <c r="F215" s="22" t="n">
        <f aca="false">'Расчет Кплотн'!K215</f>
        <v>2</v>
      </c>
      <c r="G215" s="22" t="n">
        <f aca="false">'Расчет Кплотн'!J215</f>
        <v>2</v>
      </c>
      <c r="H215" s="23" t="n">
        <f aca="false">E215*$F$3*L215*F215/1000</f>
        <v>431189.23848</v>
      </c>
      <c r="I215" s="23" t="n">
        <f aca="false">E215*$F$3*L215*G215/1000</f>
        <v>431189.23848</v>
      </c>
      <c r="J215" s="23" t="n">
        <f aca="false">I215-H215</f>
        <v>0</v>
      </c>
      <c r="K215" s="24" t="n">
        <f aca="false">IFERROR(J215/H215,0)</f>
        <v>0</v>
      </c>
      <c r="L215" s="25" t="n">
        <f aca="false">IF(D215="район",IFERROR(VLOOKUP(B215,'БКПН (приказ 170)'!$A$4:$C$10,3,FALSE()),$F$2),$F$2)</f>
        <v>1911.91</v>
      </c>
    </row>
    <row r="216" customFormat="false" ht="15" hidden="false" customHeight="false" outlineLevel="0" collapsed="false">
      <c r="A216" s="20" t="s">
        <v>258</v>
      </c>
      <c r="B216" s="20" t="s">
        <v>11</v>
      </c>
      <c r="C216" s="20" t="str">
        <f aca="false">'Расчет Кплотн'!C216</f>
        <v>Шемонаихинский район</v>
      </c>
      <c r="D216" s="20" t="str">
        <f aca="false">'Расчет Кплотн'!D216</f>
        <v>район</v>
      </c>
      <c r="E216" s="21" t="n">
        <f aca="false">SUMIFS('РПН 01.08 по МО'!$D:$D,'РПН 01.08 по МО'!$E:$E,A216)</f>
        <v>39767</v>
      </c>
      <c r="F216" s="22" t="n">
        <f aca="false">'Расчет Кплотн'!K216</f>
        <v>1.1942</v>
      </c>
      <c r="G216" s="22" t="n">
        <f aca="false">'Расчет Кплотн'!J216</f>
        <v>1.5016</v>
      </c>
      <c r="H216" s="23" t="n">
        <f aca="false">E216*$F$3*L216*F216/1000</f>
        <v>1089553.56719009</v>
      </c>
      <c r="I216" s="23" t="n">
        <f aca="false">E216*$F$3*L216*G216/1000</f>
        <v>1370016.44321942</v>
      </c>
      <c r="J216" s="23" t="n">
        <f aca="false">I216-H216</f>
        <v>280462.876029336</v>
      </c>
      <c r="K216" s="24" t="n">
        <f aca="false">IFERROR(J216/H216,0)</f>
        <v>0.257410818958298</v>
      </c>
      <c r="L216" s="25" t="n">
        <f aca="false">IF(D216="район",IFERROR(VLOOKUP(B216,'БКПН (приказ 170)'!$A$4:$C$10,3,FALSE()),$F$2),$F$2)</f>
        <v>1911.91</v>
      </c>
    </row>
    <row r="217" customFormat="false" ht="15" hidden="false" customHeight="false" outlineLevel="0" collapsed="false">
      <c r="A217" s="20" t="s">
        <v>259</v>
      </c>
      <c r="B217" s="20" t="s">
        <v>25</v>
      </c>
      <c r="C217" s="20" t="str">
        <f aca="false">'Расчет Кплотн'!C217</f>
        <v>г. Астана</v>
      </c>
      <c r="D217" s="20" t="str">
        <f aca="false">'Расчет Кплотн'!D217</f>
        <v>город респ. значения</v>
      </c>
      <c r="E217" s="21" t="n">
        <f aca="false">SUMIFS('РПН 01.08 по МО'!$D:$D,'РПН 01.08 по МО'!$E:$E,A217)</f>
        <v>1700015</v>
      </c>
      <c r="F217" s="22" t="n">
        <f aca="false">'Расчет Кплотн'!K217</f>
        <v>1</v>
      </c>
      <c r="G217" s="22" t="n">
        <f aca="false">'Расчет Кплотн'!J217</f>
        <v>1</v>
      </c>
      <c r="H217" s="23" t="n">
        <f aca="false">E217*$F$3*L217*F217/1000</f>
        <v>34398171.5106</v>
      </c>
      <c r="I217" s="23" t="n">
        <f aca="false">E217*$F$3*L217*G217/1000</f>
        <v>34398171.5106</v>
      </c>
      <c r="J217" s="23" t="n">
        <f aca="false">I217-H217</f>
        <v>0</v>
      </c>
      <c r="K217" s="24" t="n">
        <f aca="false">IFERROR(J217/H217,0)</f>
        <v>0</v>
      </c>
      <c r="L217" s="25" t="n">
        <f aca="false">IF(D217="район",IFERROR(VLOOKUP(B217,'БКПН (приказ 170)'!$A$4:$C$10,3,FALSE()),$F$2),$F$2)</f>
        <v>1686.17</v>
      </c>
    </row>
    <row r="218" customFormat="false" ht="15" hidden="false" customHeight="false" outlineLevel="0" collapsed="false">
      <c r="A218" s="20" t="s">
        <v>260</v>
      </c>
      <c r="B218" s="20" t="s">
        <v>24</v>
      </c>
      <c r="C218" s="20" t="str">
        <f aca="false">'Расчет Кплотн'!C218</f>
        <v>г. Алматы</v>
      </c>
      <c r="D218" s="20" t="str">
        <f aca="false">'Расчет Кплотн'!D218</f>
        <v>город респ. значения</v>
      </c>
      <c r="E218" s="21" t="n">
        <f aca="false">SUMIFS('РПН 01.08 по МО'!$D:$D,'РПН 01.08 по МО'!$E:$E,A218)</f>
        <v>2398435</v>
      </c>
      <c r="F218" s="22" t="n">
        <f aca="false">'Расчет Кплотн'!K218</f>
        <v>1</v>
      </c>
      <c r="G218" s="22" t="n">
        <f aca="false">'Расчет Кплотн'!J218</f>
        <v>1</v>
      </c>
      <c r="H218" s="23" t="n">
        <f aca="false">E218*$F$3*L218*F218/1000</f>
        <v>48530029.7274</v>
      </c>
      <c r="I218" s="23" t="n">
        <f aca="false">E218*$F$3*L218*G218/1000</f>
        <v>48530029.7274</v>
      </c>
      <c r="J218" s="23" t="n">
        <f aca="false">I218-H218</f>
        <v>0</v>
      </c>
      <c r="K218" s="24" t="n">
        <f aca="false">IFERROR(J218/H218,0)</f>
        <v>0</v>
      </c>
      <c r="L218" s="25" t="n">
        <f aca="false">IF(D218="район",IFERROR(VLOOKUP(B218,'БКПН (приказ 170)'!$A$4:$C$10,3,FALSE()),$F$2),$F$2)</f>
        <v>1686.17</v>
      </c>
    </row>
    <row r="219" customFormat="false" ht="15" hidden="false" customHeight="false" outlineLevel="0" collapsed="false">
      <c r="A219" s="20" t="s">
        <v>261</v>
      </c>
      <c r="B219" s="20" t="s">
        <v>26</v>
      </c>
      <c r="C219" s="20" t="str">
        <f aca="false">'Расчет Кплотн'!C219</f>
        <v>г. Шымкент</v>
      </c>
      <c r="D219" s="20" t="str">
        <f aca="false">'Расчет Кплотн'!D219</f>
        <v>город респ. значения</v>
      </c>
      <c r="E219" s="21" t="n">
        <f aca="false">SUMIFS('РПН 01.08 по МО'!$D:$D,'РПН 01.08 по МО'!$E:$E,A219)</f>
        <v>1295884</v>
      </c>
      <c r="F219" s="22" t="n">
        <f aca="false">'Расчет Кплотн'!K219</f>
        <v>1</v>
      </c>
      <c r="G219" s="22" t="n">
        <f aca="false">'Расчет Кплотн'!J219</f>
        <v>1</v>
      </c>
      <c r="H219" s="23" t="n">
        <f aca="false">E219*$F$3*L219*F219/1000</f>
        <v>26220968.69136</v>
      </c>
      <c r="I219" s="23" t="n">
        <f aca="false">E219*$F$3*L219*G219/1000</f>
        <v>26220968.69136</v>
      </c>
      <c r="J219" s="23" t="n">
        <f aca="false">I219-H219</f>
        <v>0</v>
      </c>
      <c r="K219" s="24" t="n">
        <f aca="false">IFERROR(J219/H219,0)</f>
        <v>0</v>
      </c>
      <c r="L219" s="25" t="n">
        <f aca="false">IF(D219="район",IFERROR(VLOOKUP(B219,'БКПН (приказ 170)'!$A$4:$C$10,3,FALSE()),$F$2),$F$2)</f>
        <v>1686.17</v>
      </c>
    </row>
  </sheetData>
  <autoFilter ref="A6:L2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4" min="13" style="0" width="13"/>
  </cols>
  <sheetData>
    <row r="1" customFormat="false" ht="15.75" hidden="false" customHeight="true" outlineLevel="0" collapsed="false">
      <c r="A1" s="1" t="s">
        <v>262</v>
      </c>
    </row>
    <row r="2" customFormat="false" ht="15" hidden="false" customHeight="false" outlineLevel="0" collapsed="false">
      <c r="A2" s="7" t="s">
        <v>263</v>
      </c>
    </row>
    <row r="3" customFormat="false" ht="15" hidden="false" customHeight="false" outlineLevel="0" collapsed="false">
      <c r="A3" s="16" t="s">
        <v>264</v>
      </c>
      <c r="I3" s="27" t="n">
        <f aca="false">ROUND(CORREL(M8:M219,N8:N219),4)</f>
        <v>0.689</v>
      </c>
    </row>
    <row r="4" customFormat="false" ht="15" hidden="false" customHeight="false" outlineLevel="0" collapsed="false">
      <c r="A4" s="16" t="s">
        <v>265</v>
      </c>
      <c r="I4" s="27" t="n">
        <f aca="false">H7</f>
        <v>7.44417596002993</v>
      </c>
    </row>
    <row r="6" customFormat="false" ht="69.75" hidden="false" customHeight="true" outlineLevel="0" collapsed="false">
      <c r="A6" s="2" t="s">
        <v>266</v>
      </c>
      <c r="B6" s="2" t="s">
        <v>1</v>
      </c>
      <c r="C6" s="2" t="s">
        <v>37</v>
      </c>
      <c r="D6" s="2" t="s">
        <v>49</v>
      </c>
      <c r="E6" s="2" t="s">
        <v>267</v>
      </c>
      <c r="F6" s="2" t="s">
        <v>268</v>
      </c>
      <c r="G6" s="2" t="s">
        <v>269</v>
      </c>
      <c r="H6" s="2" t="s">
        <v>270</v>
      </c>
      <c r="I6" s="2" t="s">
        <v>271</v>
      </c>
      <c r="J6" s="2" t="s">
        <v>40</v>
      </c>
      <c r="K6" s="2" t="s">
        <v>39</v>
      </c>
      <c r="L6" s="2" t="s">
        <v>272</v>
      </c>
      <c r="M6" s="28" t="s">
        <v>273</v>
      </c>
      <c r="N6" s="28" t="s">
        <v>274</v>
      </c>
    </row>
    <row r="7" customFormat="false" ht="15" hidden="false" customHeight="false" outlineLevel="0" collapsed="false">
      <c r="A7" s="8"/>
      <c r="B7" s="8"/>
      <c r="C7" s="8" t="s">
        <v>27</v>
      </c>
      <c r="D7" s="8"/>
      <c r="E7" s="29" t="n">
        <f aca="false">SUM(E8:E219)</f>
        <v>272496.500739868</v>
      </c>
      <c r="F7" s="29" t="n">
        <f aca="false">SUM(F8:F219)</f>
        <v>2724965.00739868</v>
      </c>
      <c r="G7" s="9" t="n">
        <f aca="false">SUM(G8:G219)</f>
        <v>20285119</v>
      </c>
      <c r="H7" s="11" t="n">
        <f aca="false">G7/F7</f>
        <v>7.44417596002993</v>
      </c>
      <c r="I7" s="10"/>
      <c r="J7" s="10" t="n">
        <f aca="false">SUMPRODUCT(G8:G219,J8:J219)/G7</f>
        <v>1.25151826591207</v>
      </c>
      <c r="K7" s="10" t="n">
        <f aca="false">SUMPRODUCT(G8:G219,K8:K219)/G7</f>
        <v>1.17836903080036</v>
      </c>
      <c r="L7" s="30" t="n">
        <f aca="false">J7-K7</f>
        <v>0.0731492351117093</v>
      </c>
    </row>
    <row r="8" customFormat="false" ht="15" hidden="false" customHeight="false" outlineLevel="0" collapsed="false">
      <c r="A8" s="20" t="s">
        <v>50</v>
      </c>
      <c r="B8" s="20" t="s">
        <v>21</v>
      </c>
      <c r="C8" s="20" t="s">
        <v>275</v>
      </c>
      <c r="D8" s="31" t="s">
        <v>276</v>
      </c>
      <c r="E8" s="32" t="n">
        <f aca="false">SUMIFS('Площадь МСХ'!$D:$D,'Площадь МСХ'!$E:$E,A8)</f>
        <v>29.8213</v>
      </c>
      <c r="F8" s="32" t="n">
        <f aca="false">E8*10</f>
        <v>298.213</v>
      </c>
      <c r="G8" s="21" t="n">
        <f aca="false">SUMIFS('РПН по МО'!$E:$E,'РПН по МО'!$F:$F,A8)</f>
        <v>366217</v>
      </c>
      <c r="H8" s="25" t="n">
        <f aca="false">IF(G8&gt;0,G8/F8,"")</f>
        <v>1228.03834842881</v>
      </c>
      <c r="I8" s="22" t="n">
        <f aca="false">IF(G8&gt;0,ROUND(1+$I$3*$I$4/H8,4),"")</f>
        <v>1.0042</v>
      </c>
      <c r="J8" s="33" t="n">
        <f aca="false">IF(D8="район",MIN(I8,2),IF(D8="город респ. значения",1,IF(D8="областной центр",1,1.5)))</f>
        <v>1</v>
      </c>
      <c r="K8" s="34" t="n">
        <v>1</v>
      </c>
      <c r="L8" s="35" t="n">
        <f aca="false">J8-K8</f>
        <v>0</v>
      </c>
      <c r="M8" s="36" t="n">
        <f aca="false">IF(D8="город респ. значения","",H8)</f>
        <v>1228.03834842881</v>
      </c>
      <c r="N8" s="37" t="n">
        <f aca="false">IF(D8="город респ. значения","",G8)</f>
        <v>366217</v>
      </c>
    </row>
    <row r="9" customFormat="false" ht="15" hidden="false" customHeight="false" outlineLevel="0" collapsed="false">
      <c r="A9" s="20" t="s">
        <v>51</v>
      </c>
      <c r="B9" s="20" t="s">
        <v>21</v>
      </c>
      <c r="C9" s="20" t="s">
        <v>277</v>
      </c>
      <c r="D9" s="31" t="s">
        <v>278</v>
      </c>
      <c r="E9" s="32" t="n">
        <f aca="false">SUMIFS('Площадь МСХ'!$D:$D,'Площадь МСХ'!$E:$E,A9)</f>
        <v>11.0000033</v>
      </c>
      <c r="F9" s="32" t="n">
        <f aca="false">E9*10</f>
        <v>110.000033</v>
      </c>
      <c r="G9" s="21" t="n">
        <f aca="false">SUMIFS('РПН по МО'!$E:$E,'РПН по МО'!$F:$F,A9)</f>
        <v>9984</v>
      </c>
      <c r="H9" s="25" t="n">
        <f aca="false">IF(G9&gt;0,G9/F9,"")</f>
        <v>90.7636091345536</v>
      </c>
      <c r="I9" s="22" t="n">
        <f aca="false">IF(G9&gt;0,ROUND(1+$I$3*$I$4/H9,4),"")</f>
        <v>1.0565</v>
      </c>
      <c r="J9" s="33" t="n">
        <f aca="false">IF(D9="район",MIN(I9,2),IF(D9="город респ. значения",1,IF(D9="областной центр",1,1.5)))</f>
        <v>1.5</v>
      </c>
      <c r="K9" s="34" t="n">
        <v>1.5</v>
      </c>
      <c r="L9" s="35" t="n">
        <f aca="false">J9-K9</f>
        <v>0</v>
      </c>
      <c r="M9" s="36" t="n">
        <f aca="false">IF(D9="город респ. значения","",H9)</f>
        <v>90.7636091345536</v>
      </c>
      <c r="N9" s="37" t="n">
        <f aca="false">IF(D9="город респ. значения","",G9)</f>
        <v>9984</v>
      </c>
    </row>
    <row r="10" customFormat="false" ht="15" hidden="false" customHeight="false" outlineLevel="0" collapsed="false">
      <c r="A10" s="20" t="s">
        <v>52</v>
      </c>
      <c r="B10" s="20" t="s">
        <v>21</v>
      </c>
      <c r="C10" s="20" t="s">
        <v>279</v>
      </c>
      <c r="D10" s="31" t="s">
        <v>280</v>
      </c>
      <c r="E10" s="32" t="n">
        <f aca="false">SUMIFS('Площадь МСХ'!$D:$D,'Площадь МСХ'!$E:$E,A10)</f>
        <v>2009.391</v>
      </c>
      <c r="F10" s="32" t="n">
        <f aca="false">E10*10</f>
        <v>20093.91</v>
      </c>
      <c r="G10" s="21" t="n">
        <f aca="false">SUMIFS('РПН по МО'!$E:$E,'РПН по МО'!$F:$F,A10)</f>
        <v>10869</v>
      </c>
      <c r="H10" s="25" t="n">
        <f aca="false">IF(G10&gt;0,G10/F10,"")</f>
        <v>0.540910156360808</v>
      </c>
      <c r="I10" s="22" t="n">
        <f aca="false">IF(G10&gt;0,ROUND(1+$I$3*$I$4/H10,4),"")</f>
        <v>10.4822</v>
      </c>
      <c r="J10" s="33" t="n">
        <f aca="false">IF(D10="район",MIN(I10,2),IF(D10="город респ. значения",1,IF(D10="областной центр",1,1.5)))</f>
        <v>2</v>
      </c>
      <c r="K10" s="34" t="n">
        <v>2</v>
      </c>
      <c r="L10" s="35" t="n">
        <f aca="false">J10-K10</f>
        <v>0</v>
      </c>
      <c r="M10" s="36" t="n">
        <f aca="false">IF(D10="город респ. значения","",H10)</f>
        <v>0.540910156360808</v>
      </c>
      <c r="N10" s="37" t="n">
        <f aca="false">IF(D10="город респ. значения","",G10)</f>
        <v>10869</v>
      </c>
    </row>
    <row r="11" customFormat="false" ht="15" hidden="false" customHeight="false" outlineLevel="0" collapsed="false">
      <c r="A11" s="20" t="s">
        <v>53</v>
      </c>
      <c r="B11" s="20" t="s">
        <v>21</v>
      </c>
      <c r="C11" s="20" t="s">
        <v>281</v>
      </c>
      <c r="D11" s="31" t="s">
        <v>280</v>
      </c>
      <c r="E11" s="32" t="n">
        <f aca="false">SUMIFS('Площадь МСХ'!$D:$D,'Площадь МСХ'!$E:$E,A11)</f>
        <v>1356.19</v>
      </c>
      <c r="F11" s="32" t="n">
        <f aca="false">E11*10</f>
        <v>13561.9</v>
      </c>
      <c r="G11" s="21" t="n">
        <f aca="false">SUMIFS('РПН по МО'!$E:$E,'РПН по МО'!$F:$F,A11)</f>
        <v>16638</v>
      </c>
      <c r="H11" s="25" t="n">
        <f aca="false">IF(G11&gt;0,G11/F11,"")</f>
        <v>1.22681925098991</v>
      </c>
      <c r="I11" s="22" t="n">
        <f aca="false">IF(G11&gt;0,ROUND(1+$I$3*$I$4/H11,4),"")</f>
        <v>5.1808</v>
      </c>
      <c r="J11" s="33" t="n">
        <f aca="false">IF(D11="район",MIN(I11,2),IF(D11="город респ. значения",1,IF(D11="областной центр",1,1.5)))</f>
        <v>2</v>
      </c>
      <c r="K11" s="34" t="n">
        <v>2</v>
      </c>
      <c r="L11" s="35" t="n">
        <f aca="false">J11-K11</f>
        <v>0</v>
      </c>
      <c r="M11" s="36" t="n">
        <f aca="false">IF(D11="город респ. значения","",H11)</f>
        <v>1.22681925098991</v>
      </c>
      <c r="N11" s="37" t="n">
        <f aca="false">IF(D11="город респ. значения","",G11)</f>
        <v>16638</v>
      </c>
    </row>
    <row r="12" customFormat="false" ht="15" hidden="false" customHeight="false" outlineLevel="0" collapsed="false">
      <c r="A12" s="20" t="s">
        <v>54</v>
      </c>
      <c r="B12" s="20" t="s">
        <v>21</v>
      </c>
      <c r="C12" s="20" t="s">
        <v>282</v>
      </c>
      <c r="D12" s="31" t="s">
        <v>280</v>
      </c>
      <c r="E12" s="32" t="n">
        <f aca="false">SUMIFS('Площадь МСХ'!$D:$D,'Площадь МСХ'!$E:$E,A12)</f>
        <v>4958.803</v>
      </c>
      <c r="F12" s="32" t="n">
        <f aca="false">E12*10</f>
        <v>49588.03</v>
      </c>
      <c r="G12" s="21" t="n">
        <f aca="false">SUMIFS('РПН по МО'!$E:$E,'РПН по МО'!$F:$F,A12)</f>
        <v>60929</v>
      </c>
      <c r="H12" s="25" t="n">
        <f aca="false">IF(G12&gt;0,G12/F12,"")</f>
        <v>1.22870378194092</v>
      </c>
      <c r="I12" s="22" t="n">
        <f aca="false">IF(G12&gt;0,ROUND(1+$I$3*$I$4/H12,4),"")</f>
        <v>5.1743</v>
      </c>
      <c r="J12" s="33" t="n">
        <f aca="false">IF(D12="район",MIN(I12,2),IF(D12="город респ. значения",1,IF(D12="областной центр",1,1.5)))</f>
        <v>2</v>
      </c>
      <c r="K12" s="34" t="n">
        <v>2</v>
      </c>
      <c r="L12" s="35" t="n">
        <f aca="false">J12-K12</f>
        <v>0</v>
      </c>
      <c r="M12" s="36" t="n">
        <f aca="false">IF(D12="город респ. значения","",H12)</f>
        <v>1.22870378194092</v>
      </c>
      <c r="N12" s="37" t="n">
        <f aca="false">IF(D12="город респ. значения","",G12)</f>
        <v>60929</v>
      </c>
    </row>
    <row r="13" customFormat="false" ht="15" hidden="false" customHeight="false" outlineLevel="0" collapsed="false">
      <c r="A13" s="20" t="s">
        <v>55</v>
      </c>
      <c r="B13" s="20" t="s">
        <v>21</v>
      </c>
      <c r="C13" s="20" t="s">
        <v>283</v>
      </c>
      <c r="D13" s="31" t="s">
        <v>280</v>
      </c>
      <c r="E13" s="32" t="n">
        <f aca="false">SUMIFS('Площадь МСХ'!$D:$D,'Площадь МСХ'!$E:$E,A13)</f>
        <v>1137.3767</v>
      </c>
      <c r="F13" s="32" t="n">
        <f aca="false">E13*10</f>
        <v>11373.767</v>
      </c>
      <c r="G13" s="21" t="n">
        <f aca="false">SUMIFS('РПН по МО'!$E:$E,'РПН по МО'!$F:$F,A13)</f>
        <v>14632</v>
      </c>
      <c r="H13" s="25" t="n">
        <f aca="false">IF(G13&gt;0,G13/F13,"")</f>
        <v>1.28646911792724</v>
      </c>
      <c r="I13" s="22" t="n">
        <f aca="false">IF(G13&gt;0,ROUND(1+$I$3*$I$4/H13,4),"")</f>
        <v>4.9869</v>
      </c>
      <c r="J13" s="33" t="n">
        <f aca="false">IF(D13="район",MIN(I13,2),IF(D13="город респ. значения",1,IF(D13="областной центр",1,1.5)))</f>
        <v>2</v>
      </c>
      <c r="K13" s="34" t="n">
        <v>2</v>
      </c>
      <c r="L13" s="35" t="n">
        <f aca="false">J13-K13</f>
        <v>0</v>
      </c>
      <c r="M13" s="36" t="n">
        <f aca="false">IF(D13="город респ. значения","",H13)</f>
        <v>1.28646911792724</v>
      </c>
      <c r="N13" s="37" t="n">
        <f aca="false">IF(D13="город респ. значения","",G13)</f>
        <v>14632</v>
      </c>
    </row>
    <row r="14" customFormat="false" ht="15" hidden="false" customHeight="false" outlineLevel="0" collapsed="false">
      <c r="A14" s="20" t="s">
        <v>56</v>
      </c>
      <c r="B14" s="20" t="s">
        <v>21</v>
      </c>
      <c r="C14" s="20" t="s">
        <v>284</v>
      </c>
      <c r="D14" s="31" t="s">
        <v>280</v>
      </c>
      <c r="E14" s="32" t="n">
        <f aca="false">SUMIFS('Площадь МСХ'!$D:$D,'Площадь МСХ'!$E:$E,A14)</f>
        <v>698.992</v>
      </c>
      <c r="F14" s="32" t="n">
        <f aca="false">E14*10</f>
        <v>6989.92</v>
      </c>
      <c r="G14" s="21" t="n">
        <f aca="false">SUMIFS('РПН по МО'!$E:$E,'РПН по МО'!$F:$F,A14)</f>
        <v>28478</v>
      </c>
      <c r="H14" s="25" t="n">
        <f aca="false">IF(G14&gt;0,G14/F14,"")</f>
        <v>4.0741524938769</v>
      </c>
      <c r="I14" s="22" t="n">
        <f aca="false">IF(G14&gt;0,ROUND(1+$I$3*$I$4/H14,4),"")</f>
        <v>2.2589</v>
      </c>
      <c r="J14" s="33" t="n">
        <f aca="false">IF(D14="район",MIN(I14,2),IF(D14="город респ. значения",1,IF(D14="областной центр",1,1.5)))</f>
        <v>2</v>
      </c>
      <c r="K14" s="34" t="n">
        <v>1.4339</v>
      </c>
      <c r="L14" s="35" t="n">
        <f aca="false">J14-K14</f>
        <v>0.5661</v>
      </c>
      <c r="M14" s="36" t="n">
        <f aca="false">IF(D14="город респ. значения","",H14)</f>
        <v>4.0741524938769</v>
      </c>
      <c r="N14" s="37" t="n">
        <f aca="false">IF(D14="город респ. значения","",G14)</f>
        <v>28478</v>
      </c>
    </row>
    <row r="15" customFormat="false" ht="15" hidden="false" customHeight="false" outlineLevel="0" collapsed="false">
      <c r="A15" s="20" t="s">
        <v>57</v>
      </c>
      <c r="B15" s="20" t="s">
        <v>21</v>
      </c>
      <c r="C15" s="20" t="s">
        <v>285</v>
      </c>
      <c r="D15" s="31" t="s">
        <v>280</v>
      </c>
      <c r="E15" s="32" t="n">
        <f aca="false">SUMIFS('Площадь МСХ'!$D:$D,'Площадь МСХ'!$E:$E,A15)</f>
        <v>2754.401</v>
      </c>
      <c r="F15" s="32" t="n">
        <f aca="false">E15*10</f>
        <v>27544.01</v>
      </c>
      <c r="G15" s="21" t="n">
        <f aca="false">SUMIFS('РПН по МО'!$E:$E,'РПН по МО'!$F:$F,A15)</f>
        <v>3768</v>
      </c>
      <c r="H15" s="25" t="n">
        <f aca="false">IF(G15&gt;0,G15/F15,"")</f>
        <v>0.13679925326777</v>
      </c>
      <c r="I15" s="22" t="n">
        <f aca="false">IF(G15&gt;0,ROUND(1+$I$3*$I$4/H15,4),"")</f>
        <v>38.4932</v>
      </c>
      <c r="J15" s="33" t="n">
        <f aca="false">IF(D15="район",MIN(I15,2),IF(D15="город респ. значения",1,IF(D15="областной центр",1,1.5)))</f>
        <v>2</v>
      </c>
      <c r="K15" s="38" t="n">
        <v>1</v>
      </c>
      <c r="L15" s="35" t="n">
        <f aca="false">J15-K15</f>
        <v>1</v>
      </c>
      <c r="M15" s="36" t="n">
        <f aca="false">IF(D15="город респ. значения","",H15)</f>
        <v>0.13679925326777</v>
      </c>
      <c r="N15" s="37" t="n">
        <f aca="false">IF(D15="город респ. значения","",G15)</f>
        <v>3768</v>
      </c>
    </row>
    <row r="16" customFormat="false" ht="15" hidden="false" customHeight="false" outlineLevel="0" collapsed="false">
      <c r="A16" s="20" t="s">
        <v>58</v>
      </c>
      <c r="B16" s="20" t="s">
        <v>21</v>
      </c>
      <c r="C16" s="20" t="s">
        <v>286</v>
      </c>
      <c r="D16" s="31" t="s">
        <v>280</v>
      </c>
      <c r="E16" s="32" t="n">
        <f aca="false">SUMIFS('Площадь МСХ'!$D:$D,'Площадь МСХ'!$E:$E,A16)</f>
        <v>2340.38</v>
      </c>
      <c r="F16" s="32" t="n">
        <f aca="false">E16*10</f>
        <v>23403.8</v>
      </c>
      <c r="G16" s="21" t="n">
        <f aca="false">SUMIFS('РПН по МО'!$E:$E,'РПН по МО'!$F:$F,A16)</f>
        <v>31967</v>
      </c>
      <c r="H16" s="25" t="n">
        <f aca="false">IF(G16&gt;0,G16/F16,"")</f>
        <v>1.3658893000282</v>
      </c>
      <c r="I16" s="22" t="n">
        <f aca="false">IF(G16&gt;0,ROUND(1+$I$3*$I$4/H16,4),"")</f>
        <v>4.7551</v>
      </c>
      <c r="J16" s="33" t="n">
        <f aca="false">IF(D16="район",MIN(I16,2),IF(D16="город респ. значения",1,IF(D16="областной центр",1,1.5)))</f>
        <v>2</v>
      </c>
      <c r="K16" s="34" t="n">
        <v>2</v>
      </c>
      <c r="L16" s="35" t="n">
        <f aca="false">J16-K16</f>
        <v>0</v>
      </c>
      <c r="M16" s="36" t="n">
        <f aca="false">IF(D16="город респ. значения","",H16)</f>
        <v>1.3658893000282</v>
      </c>
      <c r="N16" s="37" t="n">
        <f aca="false">IF(D16="город респ. значения","",G16)</f>
        <v>31967</v>
      </c>
    </row>
    <row r="17" customFormat="false" ht="15" hidden="false" customHeight="false" outlineLevel="0" collapsed="false">
      <c r="A17" s="20" t="s">
        <v>59</v>
      </c>
      <c r="B17" s="20" t="s">
        <v>21</v>
      </c>
      <c r="C17" s="20" t="s">
        <v>287</v>
      </c>
      <c r="D17" s="31" t="s">
        <v>280</v>
      </c>
      <c r="E17" s="32" t="n">
        <f aca="false">SUMIFS('Площадь МСХ'!$D:$D,'Площадь МСХ'!$E:$E,A17)</f>
        <v>909.936</v>
      </c>
      <c r="F17" s="32" t="n">
        <f aca="false">E17*10</f>
        <v>9099.36</v>
      </c>
      <c r="G17" s="21" t="n">
        <f aca="false">SUMIFS('РПН по МО'!$E:$E,'РПН по МО'!$F:$F,A17)</f>
        <v>11645</v>
      </c>
      <c r="H17" s="25" t="n">
        <f aca="false">IF(G17&gt;0,G17/F17,"")</f>
        <v>1.27976033479278</v>
      </c>
      <c r="I17" s="22" t="n">
        <f aca="false">IF(G17&gt;0,ROUND(1+$I$3*$I$4/H17,4),"")</f>
        <v>5.0078</v>
      </c>
      <c r="J17" s="33" t="n">
        <f aca="false">IF(D17="район",MIN(I17,2),IF(D17="город респ. значения",1,IF(D17="областной центр",1,1.5)))</f>
        <v>2</v>
      </c>
      <c r="K17" s="34" t="n">
        <v>2</v>
      </c>
      <c r="L17" s="35" t="n">
        <f aca="false">J17-K17</f>
        <v>0</v>
      </c>
      <c r="M17" s="36" t="n">
        <f aca="false">IF(D17="город респ. значения","",H17)</f>
        <v>1.27976033479278</v>
      </c>
      <c r="N17" s="37" t="n">
        <f aca="false">IF(D17="город респ. значения","",G17)</f>
        <v>11645</v>
      </c>
    </row>
    <row r="18" customFormat="false" ht="15" hidden="false" customHeight="false" outlineLevel="0" collapsed="false">
      <c r="A18" s="20" t="s">
        <v>60</v>
      </c>
      <c r="B18" s="20" t="s">
        <v>21</v>
      </c>
      <c r="C18" s="20" t="s">
        <v>288</v>
      </c>
      <c r="D18" s="31" t="s">
        <v>280</v>
      </c>
      <c r="E18" s="32" t="n">
        <f aca="false">SUMIFS('Площадь МСХ'!$D:$D,'Площадь МСХ'!$E:$E,A18)</f>
        <v>1137.466</v>
      </c>
      <c r="F18" s="32" t="n">
        <f aca="false">E18*10</f>
        <v>11374.66</v>
      </c>
      <c r="G18" s="21" t="n">
        <f aca="false">SUMIFS('РПН по МО'!$E:$E,'РПН по МО'!$F:$F,A18)</f>
        <v>22908</v>
      </c>
      <c r="H18" s="25" t="n">
        <f aca="false">IF(G18&gt;0,G18/F18,"")</f>
        <v>2.0139503070861</v>
      </c>
      <c r="I18" s="22" t="n">
        <f aca="false">IF(G18&gt;0,ROUND(1+$I$3*$I$4/H18,4),"")</f>
        <v>3.5468</v>
      </c>
      <c r="J18" s="33" t="n">
        <f aca="false">IF(D18="район",MIN(I18,2),IF(D18="город респ. значения",1,IF(D18="областной центр",1,1.5)))</f>
        <v>2</v>
      </c>
      <c r="K18" s="38" t="n">
        <v>1.6934</v>
      </c>
      <c r="L18" s="35" t="n">
        <f aca="false">J18-K18</f>
        <v>0.3066</v>
      </c>
      <c r="M18" s="36" t="n">
        <f aca="false">IF(D18="город респ. значения","",H18)</f>
        <v>2.0139503070861</v>
      </c>
      <c r="N18" s="37" t="n">
        <f aca="false">IF(D18="город респ. значения","",G18)</f>
        <v>22908</v>
      </c>
    </row>
    <row r="19" customFormat="false" ht="15" hidden="false" customHeight="false" outlineLevel="0" collapsed="false">
      <c r="A19" s="20" t="s">
        <v>61</v>
      </c>
      <c r="B19" s="20" t="s">
        <v>21</v>
      </c>
      <c r="C19" s="20" t="s">
        <v>289</v>
      </c>
      <c r="D19" s="31" t="s">
        <v>280</v>
      </c>
      <c r="E19" s="32" t="n">
        <f aca="false">SUMIFS('Площадь МСХ'!$D:$D,'Площадь МСХ'!$E:$E,A19)</f>
        <v>1203.906</v>
      </c>
      <c r="F19" s="32" t="n">
        <f aca="false">E19*10</f>
        <v>12039.06</v>
      </c>
      <c r="G19" s="21" t="n">
        <f aca="false">SUMIFS('РПН по МО'!$E:$E,'РПН по МО'!$F:$F,A19)</f>
        <v>34662</v>
      </c>
      <c r="H19" s="25" t="n">
        <f aca="false">IF(G19&gt;0,G19/F19,"")</f>
        <v>2.87912843693777</v>
      </c>
      <c r="I19" s="22" t="n">
        <f aca="false">IF(G19&gt;0,ROUND(1+$I$3*$I$4/H19,4),"")</f>
        <v>2.7815</v>
      </c>
      <c r="J19" s="33" t="n">
        <f aca="false">IF(D19="район",MIN(I19,2),IF(D19="город респ. значения",1,IF(D19="областной центр",1,1.5)))</f>
        <v>2</v>
      </c>
      <c r="K19" s="34" t="n">
        <v>1.6934</v>
      </c>
      <c r="L19" s="35" t="n">
        <f aca="false">J19-K19</f>
        <v>0.3066</v>
      </c>
      <c r="M19" s="36" t="n">
        <f aca="false">IF(D19="город респ. значения","",H19)</f>
        <v>2.87912843693777</v>
      </c>
      <c r="N19" s="37" t="n">
        <f aca="false">IF(D19="город респ. значения","",G19)</f>
        <v>34662</v>
      </c>
    </row>
    <row r="20" customFormat="false" ht="15" hidden="false" customHeight="false" outlineLevel="0" collapsed="false">
      <c r="A20" s="20" t="s">
        <v>62</v>
      </c>
      <c r="B20" s="20" t="s">
        <v>7</v>
      </c>
      <c r="C20" s="20" t="s">
        <v>290</v>
      </c>
      <c r="D20" s="31" t="s">
        <v>276</v>
      </c>
      <c r="E20" s="32" t="n">
        <f aca="false">SUMIFS('Площадь МСХ'!$D:$D,'Площадь МСХ'!$E:$E,A20)</f>
        <v>42.518</v>
      </c>
      <c r="F20" s="32" t="n">
        <f aca="false">E20*10</f>
        <v>425.18</v>
      </c>
      <c r="G20" s="21" t="n">
        <f aca="false">SUMIFS('РПН по МО'!$E:$E,'РПН по МО'!$F:$F,A20)</f>
        <v>296662</v>
      </c>
      <c r="H20" s="25" t="n">
        <f aca="false">IF(G20&gt;0,G20/F20,"")</f>
        <v>697.732724963545</v>
      </c>
      <c r="I20" s="22" t="n">
        <f aca="false">IF(G20&gt;0,ROUND(1+$I$3*$I$4/H20,4),"")</f>
        <v>1.0074</v>
      </c>
      <c r="J20" s="33" t="n">
        <f aca="false">IF(D20="район",MIN(I20,2),IF(D20="город респ. значения",1,IF(D20="областной центр",1,1.5)))</f>
        <v>1</v>
      </c>
      <c r="K20" s="34" t="n">
        <v>1</v>
      </c>
      <c r="L20" s="35" t="n">
        <f aca="false">J20-K20</f>
        <v>0</v>
      </c>
      <c r="M20" s="36" t="n">
        <f aca="false">IF(D20="город респ. значения","",H20)</f>
        <v>697.732724963545</v>
      </c>
      <c r="N20" s="37" t="n">
        <f aca="false">IF(D20="город респ. значения","",G20)</f>
        <v>296662</v>
      </c>
    </row>
    <row r="21" customFormat="false" ht="15" hidden="false" customHeight="false" outlineLevel="0" collapsed="false">
      <c r="A21" s="20" t="s">
        <v>63</v>
      </c>
      <c r="B21" s="20" t="s">
        <v>7</v>
      </c>
      <c r="C21" s="20" t="s">
        <v>291</v>
      </c>
      <c r="D21" s="31" t="s">
        <v>278</v>
      </c>
      <c r="E21" s="32" t="n">
        <f aca="false">SUMIFS('Площадь МСХ'!$D:$D,'Площадь МСХ'!$E:$E,A21)</f>
        <v>13.6604</v>
      </c>
      <c r="F21" s="32" t="n">
        <f aca="false">E21*10</f>
        <v>136.604</v>
      </c>
      <c r="G21" s="21" t="n">
        <f aca="false">SUMIFS('РПН по МО'!$E:$E,'РПН по МО'!$F:$F,A21)</f>
        <v>29170</v>
      </c>
      <c r="H21" s="25" t="n">
        <f aca="false">IF(G21&gt;0,G21/F21,"")</f>
        <v>213.536938889052</v>
      </c>
      <c r="I21" s="22" t="n">
        <f aca="false">IF(G21&gt;0,ROUND(1+$I$3*$I$4/H21,4),"")</f>
        <v>1.024</v>
      </c>
      <c r="J21" s="33" t="n">
        <f aca="false">IF(D21="район",MIN(I21,2),IF(D21="город респ. значения",1,IF(D21="областной центр",1,1.5)))</f>
        <v>1.5</v>
      </c>
      <c r="K21" s="34" t="n">
        <v>1.5</v>
      </c>
      <c r="L21" s="35" t="n">
        <f aca="false">J21-K21</f>
        <v>0</v>
      </c>
      <c r="M21" s="36" t="n">
        <f aca="false">IF(D21="город респ. значения","",H21)</f>
        <v>213.536938889052</v>
      </c>
      <c r="N21" s="37" t="n">
        <f aca="false">IF(D21="город респ. значения","",G21)</f>
        <v>29170</v>
      </c>
    </row>
    <row r="22" customFormat="false" ht="15" hidden="false" customHeight="false" outlineLevel="0" collapsed="false">
      <c r="A22" s="20" t="s">
        <v>64</v>
      </c>
      <c r="B22" s="20" t="s">
        <v>7</v>
      </c>
      <c r="C22" s="20" t="s">
        <v>292</v>
      </c>
      <c r="D22" s="31" t="s">
        <v>278</v>
      </c>
      <c r="E22" s="32" t="n">
        <f aca="false">SUMIFS('Площадь МСХ'!$D:$D,'Площадь МСХ'!$E:$E,A22)</f>
        <v>290.54</v>
      </c>
      <c r="F22" s="32" t="n">
        <f aca="false">E22*10</f>
        <v>2905.4</v>
      </c>
      <c r="G22" s="21" t="n">
        <f aca="false">SUMIFS('РПН по МО'!$E:$E,'РПН по МО'!$F:$F,A22)</f>
        <v>4981</v>
      </c>
      <c r="H22" s="25" t="n">
        <f aca="false">IF(G22&gt;0,G22/F22,"")</f>
        <v>1.71439388724444</v>
      </c>
      <c r="I22" s="22" t="n">
        <f aca="false">IF(G22&gt;0,ROUND(1+$I$3*$I$4/H22,4),"")</f>
        <v>3.9917</v>
      </c>
      <c r="J22" s="33" t="n">
        <f aca="false">IF(D22="район",MIN(I22,2),IF(D22="город респ. значения",1,IF(D22="областной центр",1,1.5)))</f>
        <v>1.5</v>
      </c>
      <c r="K22" s="34" t="n">
        <v>1.5</v>
      </c>
      <c r="L22" s="35" t="n">
        <f aca="false">J22-K22</f>
        <v>0</v>
      </c>
      <c r="M22" s="36" t="n">
        <f aca="false">IF(D22="город респ. значения","",H22)</f>
        <v>1.71439388724444</v>
      </c>
      <c r="N22" s="37" t="n">
        <f aca="false">IF(D22="город респ. значения","",G22)</f>
        <v>4981</v>
      </c>
    </row>
    <row r="23" customFormat="false" ht="15" hidden="false" customHeight="false" outlineLevel="0" collapsed="false">
      <c r="A23" s="20" t="s">
        <v>65</v>
      </c>
      <c r="B23" s="20" t="s">
        <v>7</v>
      </c>
      <c r="C23" s="20" t="s">
        <v>293</v>
      </c>
      <c r="D23" s="31" t="s">
        <v>280</v>
      </c>
      <c r="E23" s="32" t="n">
        <f aca="false">SUMIFS('Площадь МСХ'!$D:$D,'Площадь МСХ'!$E:$E,A23)</f>
        <v>815.528</v>
      </c>
      <c r="F23" s="32" t="n">
        <f aca="false">E23*10</f>
        <v>8155.28</v>
      </c>
      <c r="G23" s="21" t="n">
        <f aca="false">SUMIFS('РПН по МО'!$E:$E,'РПН по МО'!$F:$F,A23)</f>
        <v>22417</v>
      </c>
      <c r="H23" s="25" t="n">
        <f aca="false">IF(G23&gt;0,G23/F23,"")</f>
        <v>2.74877134813274</v>
      </c>
      <c r="I23" s="22" t="n">
        <f aca="false">IF(G23&gt;0,ROUND(1+$I$3*$I$4/H23,4),"")</f>
        <v>2.8659</v>
      </c>
      <c r="J23" s="33" t="n">
        <f aca="false">IF(D23="район",MIN(I23,2),IF(D23="город респ. значения",1,IF(D23="областной центр",1,1.5)))</f>
        <v>2</v>
      </c>
      <c r="K23" s="34" t="n">
        <v>1.6873</v>
      </c>
      <c r="L23" s="35" t="n">
        <f aca="false">J23-K23</f>
        <v>0.3127</v>
      </c>
      <c r="M23" s="36" t="n">
        <f aca="false">IF(D23="город респ. значения","",H23)</f>
        <v>2.74877134813274</v>
      </c>
      <c r="N23" s="37" t="n">
        <f aca="false">IF(D23="город респ. значения","",G23)</f>
        <v>22417</v>
      </c>
    </row>
    <row r="24" customFormat="false" ht="15" hidden="false" customHeight="false" outlineLevel="0" collapsed="false">
      <c r="A24" s="20" t="s">
        <v>66</v>
      </c>
      <c r="B24" s="20" t="s">
        <v>7</v>
      </c>
      <c r="C24" s="20" t="s">
        <v>294</v>
      </c>
      <c r="D24" s="31" t="s">
        <v>280</v>
      </c>
      <c r="E24" s="32" t="n">
        <f aca="false">SUMIFS('Площадь МСХ'!$D:$D,'Площадь МСХ'!$E:$E,A24)</f>
        <v>584.786</v>
      </c>
      <c r="F24" s="32" t="n">
        <f aca="false">E24*10</f>
        <v>5847.86</v>
      </c>
      <c r="G24" s="21" t="n">
        <f aca="false">SUMIFS('РПН по МО'!$E:$E,'РПН по МО'!$F:$F,A24)</f>
        <v>24999</v>
      </c>
      <c r="H24" s="25" t="n">
        <f aca="false">IF(G24&gt;0,G24/F24,"")</f>
        <v>4.27489714186044</v>
      </c>
      <c r="I24" s="22" t="n">
        <f aca="false">IF(G24&gt;0,ROUND(1+$I$3*$I$4/H24,4),"")</f>
        <v>2.1998</v>
      </c>
      <c r="J24" s="33" t="n">
        <f aca="false">IF(D24="район",MIN(I24,2),IF(D24="город респ. значения",1,IF(D24="областной центр",1,1.5)))</f>
        <v>2</v>
      </c>
      <c r="K24" s="34" t="n">
        <v>1.4783</v>
      </c>
      <c r="L24" s="35" t="n">
        <f aca="false">J24-K24</f>
        <v>0.5217</v>
      </c>
      <c r="M24" s="36" t="n">
        <f aca="false">IF(D24="город респ. значения","",H24)</f>
        <v>4.27489714186044</v>
      </c>
      <c r="N24" s="37" t="n">
        <f aca="false">IF(D24="город респ. значения","",G24)</f>
        <v>24999</v>
      </c>
    </row>
    <row r="25" customFormat="false" ht="15" hidden="false" customHeight="false" outlineLevel="0" collapsed="false">
      <c r="A25" s="20" t="s">
        <v>67</v>
      </c>
      <c r="B25" s="20" t="s">
        <v>7</v>
      </c>
      <c r="C25" s="20" t="s">
        <v>295</v>
      </c>
      <c r="D25" s="31" t="s">
        <v>280</v>
      </c>
      <c r="E25" s="32" t="n">
        <f aca="false">SUMIFS('Площадь МСХ'!$D:$D,'Площадь МСХ'!$E:$E,A25)</f>
        <v>737.838</v>
      </c>
      <c r="F25" s="32" t="n">
        <f aca="false">E25*10</f>
        <v>7378.38</v>
      </c>
      <c r="G25" s="21" t="n">
        <f aca="false">SUMIFS('РПН по МО'!$E:$E,'РПН по МО'!$F:$F,A25)</f>
        <v>18492</v>
      </c>
      <c r="H25" s="25" t="n">
        <f aca="false">IF(G25&gt;0,G25/F25,"")</f>
        <v>2.50624120741952</v>
      </c>
      <c r="I25" s="22" t="n">
        <f aca="false">IF(G25&gt;0,ROUND(1+$I$3*$I$4/H25,4),"")</f>
        <v>3.0465</v>
      </c>
      <c r="J25" s="33" t="n">
        <f aca="false">IF(D25="район",MIN(I25,2),IF(D25="город респ. значения",1,IF(D25="областной центр",1,1.5)))</f>
        <v>2</v>
      </c>
      <c r="K25" s="34" t="n">
        <v>1.7655</v>
      </c>
      <c r="L25" s="35" t="n">
        <f aca="false">J25-K25</f>
        <v>0.2345</v>
      </c>
      <c r="M25" s="36" t="n">
        <f aca="false">IF(D25="город респ. значения","",H25)</f>
        <v>2.50624120741952</v>
      </c>
      <c r="N25" s="37" t="n">
        <f aca="false">IF(D25="город респ. значения","",G25)</f>
        <v>18492</v>
      </c>
    </row>
    <row r="26" customFormat="false" ht="15" hidden="false" customHeight="false" outlineLevel="0" collapsed="false">
      <c r="A26" s="20" t="s">
        <v>68</v>
      </c>
      <c r="B26" s="20" t="s">
        <v>7</v>
      </c>
      <c r="C26" s="20" t="s">
        <v>296</v>
      </c>
      <c r="D26" s="31" t="s">
        <v>280</v>
      </c>
      <c r="E26" s="32" t="n">
        <f aca="false">SUMIFS('Площадь МСХ'!$D:$D,'Площадь МСХ'!$E:$E,A26)</f>
        <v>1063.496</v>
      </c>
      <c r="F26" s="32" t="n">
        <f aca="false">E26*10</f>
        <v>10634.96</v>
      </c>
      <c r="G26" s="21" t="n">
        <f aca="false">SUMIFS('РПН по МО'!$E:$E,'РПН по МО'!$F:$F,A26)</f>
        <v>43140</v>
      </c>
      <c r="H26" s="25" t="n">
        <f aca="false">IF(G26&gt;0,G26/F26,"")</f>
        <v>4.05643274633849</v>
      </c>
      <c r="I26" s="22" t="n">
        <f aca="false">IF(G26&gt;0,ROUND(1+$I$3*$I$4/H26,4),"")</f>
        <v>2.2644</v>
      </c>
      <c r="J26" s="33" t="n">
        <f aca="false">IF(D26="район",MIN(I26,2),IF(D26="город респ. значения",1,IF(D26="областной центр",1,1.5)))</f>
        <v>2</v>
      </c>
      <c r="K26" s="34" t="n">
        <v>1.5024</v>
      </c>
      <c r="L26" s="35" t="n">
        <f aca="false">J26-K26</f>
        <v>0.4976</v>
      </c>
      <c r="M26" s="36" t="n">
        <f aca="false">IF(D26="город респ. значения","",H26)</f>
        <v>4.05643274633849</v>
      </c>
      <c r="N26" s="37" t="n">
        <f aca="false">IF(D26="город респ. значения","",G26)</f>
        <v>43140</v>
      </c>
    </row>
    <row r="27" customFormat="false" ht="15" hidden="false" customHeight="false" outlineLevel="0" collapsed="false">
      <c r="A27" s="20" t="s">
        <v>69</v>
      </c>
      <c r="B27" s="20" t="s">
        <v>7</v>
      </c>
      <c r="C27" s="20" t="s">
        <v>297</v>
      </c>
      <c r="D27" s="31" t="s">
        <v>280</v>
      </c>
      <c r="E27" s="32" t="n">
        <f aca="false">SUMIFS('Площадь МСХ'!$D:$D,'Площадь МСХ'!$E:$E,A27)</f>
        <v>508.335</v>
      </c>
      <c r="F27" s="32" t="n">
        <f aca="false">E27*10</f>
        <v>5083.35</v>
      </c>
      <c r="G27" s="21" t="n">
        <f aca="false">SUMIFS('РПН по МО'!$E:$E,'РПН по МО'!$F:$F,A27)</f>
        <v>27446</v>
      </c>
      <c r="H27" s="25" t="n">
        <f aca="false">IF(G27&gt;0,G27/F27,"")</f>
        <v>5.39919541247406</v>
      </c>
      <c r="I27" s="22" t="n">
        <f aca="false">IF(G27&gt;0,ROUND(1+$I$3*$I$4/H27,4),"")</f>
        <v>1.95</v>
      </c>
      <c r="J27" s="33" t="n">
        <f aca="false">IF(D27="район",MIN(I27,2),IF(D27="город респ. значения",1,IF(D27="областной центр",1,1.5)))</f>
        <v>1.95</v>
      </c>
      <c r="K27" s="34" t="n">
        <v>1.3585</v>
      </c>
      <c r="L27" s="35" t="n">
        <f aca="false">J27-K27</f>
        <v>0.5915</v>
      </c>
      <c r="M27" s="36" t="n">
        <f aca="false">IF(D27="город респ. значения","",H27)</f>
        <v>5.39919541247406</v>
      </c>
      <c r="N27" s="37" t="n">
        <f aca="false">IF(D27="город респ. значения","",G27)</f>
        <v>27446</v>
      </c>
    </row>
    <row r="28" customFormat="false" ht="15" hidden="false" customHeight="false" outlineLevel="0" collapsed="false">
      <c r="A28" s="20" t="s">
        <v>70</v>
      </c>
      <c r="B28" s="20" t="s">
        <v>7</v>
      </c>
      <c r="C28" s="20" t="s">
        <v>298</v>
      </c>
      <c r="D28" s="31" t="s">
        <v>280</v>
      </c>
      <c r="E28" s="32" t="n">
        <f aca="false">SUMIFS('Площадь МСХ'!$D:$D,'Площадь МСХ'!$E:$E,A28)</f>
        <v>541.185</v>
      </c>
      <c r="F28" s="32" t="n">
        <f aca="false">E28*10</f>
        <v>5411.85</v>
      </c>
      <c r="G28" s="21" t="n">
        <f aca="false">SUMIFS('РПН по МО'!$E:$E,'РПН по МО'!$F:$F,A28)</f>
        <v>4948</v>
      </c>
      <c r="H28" s="25" t="n">
        <f aca="false">IF(G28&gt;0,G28/F28,"")</f>
        <v>0.914289937821632</v>
      </c>
      <c r="I28" s="22" t="n">
        <f aca="false">IF(G28&gt;0,ROUND(1+$I$3*$I$4/H28,4),"")</f>
        <v>6.6099</v>
      </c>
      <c r="J28" s="33" t="n">
        <f aca="false">IF(D28="район",MIN(I28,2),IF(D28="город респ. значения",1,IF(D28="областной центр",1,1.5)))</f>
        <v>2</v>
      </c>
      <c r="K28" s="34" t="n">
        <v>2</v>
      </c>
      <c r="L28" s="35" t="n">
        <f aca="false">J28-K28</f>
        <v>0</v>
      </c>
      <c r="M28" s="36" t="n">
        <f aca="false">IF(D28="город респ. значения","",H28)</f>
        <v>0.914289937821632</v>
      </c>
      <c r="N28" s="37" t="n">
        <f aca="false">IF(D28="город респ. значения","",G28)</f>
        <v>4948</v>
      </c>
    </row>
    <row r="29" customFormat="false" ht="15" hidden="false" customHeight="false" outlineLevel="0" collapsed="false">
      <c r="A29" s="20" t="s">
        <v>71</v>
      </c>
      <c r="B29" s="20" t="s">
        <v>7</v>
      </c>
      <c r="C29" s="20" t="s">
        <v>299</v>
      </c>
      <c r="D29" s="31" t="s">
        <v>280</v>
      </c>
      <c r="E29" s="32" t="n">
        <f aca="false">SUMIFS('Площадь МСХ'!$D:$D,'Площадь МСХ'!$E:$E,A29)</f>
        <v>1098.899</v>
      </c>
      <c r="F29" s="32" t="n">
        <f aca="false">E29*10</f>
        <v>10988.99</v>
      </c>
      <c r="G29" s="21" t="n">
        <f aca="false">SUMIFS('РПН по МО'!$E:$E,'РПН по МО'!$F:$F,A29)</f>
        <v>10616</v>
      </c>
      <c r="H29" s="25" t="n">
        <f aca="false">IF(G29&gt;0,G29/F29,"")</f>
        <v>0.966057845170484</v>
      </c>
      <c r="I29" s="22" t="n">
        <f aca="false">IF(G29&gt;0,ROUND(1+$I$3*$I$4/H29,4),"")</f>
        <v>6.3092</v>
      </c>
      <c r="J29" s="33" t="n">
        <f aca="false">IF(D29="район",MIN(I29,2),IF(D29="город респ. значения",1,IF(D29="областной центр",1,1.5)))</f>
        <v>2</v>
      </c>
      <c r="K29" s="34" t="n">
        <v>2</v>
      </c>
      <c r="L29" s="35" t="n">
        <f aca="false">J29-K29</f>
        <v>0</v>
      </c>
      <c r="M29" s="36" t="n">
        <f aca="false">IF(D29="город респ. значения","",H29)</f>
        <v>0.966057845170484</v>
      </c>
      <c r="N29" s="37" t="n">
        <f aca="false">IF(D29="город респ. значения","",G29)</f>
        <v>10616</v>
      </c>
    </row>
    <row r="30" customFormat="false" ht="15" hidden="false" customHeight="false" outlineLevel="0" collapsed="false">
      <c r="A30" s="20" t="s">
        <v>72</v>
      </c>
      <c r="B30" s="20" t="s">
        <v>7</v>
      </c>
      <c r="C30" s="20" t="s">
        <v>300</v>
      </c>
      <c r="D30" s="31" t="s">
        <v>280</v>
      </c>
      <c r="E30" s="32" t="n">
        <f aca="false">SUMIFS('Площадь МСХ'!$D:$D,'Площадь МСХ'!$E:$E,A30)</f>
        <v>1765.815</v>
      </c>
      <c r="F30" s="32" t="n">
        <f aca="false">E30*10</f>
        <v>17658.15</v>
      </c>
      <c r="G30" s="21" t="n">
        <f aca="false">SUMIFS('РПН по МО'!$E:$E,'РПН по МО'!$F:$F,A30)</f>
        <v>21873</v>
      </c>
      <c r="H30" s="25" t="n">
        <f aca="false">IF(G30&gt;0,G30/F30,"")</f>
        <v>1.23869148240331</v>
      </c>
      <c r="I30" s="22" t="n">
        <f aca="false">IF(G30&gt;0,ROUND(1+$I$3*$I$4/H30,4),"")</f>
        <v>5.1407</v>
      </c>
      <c r="J30" s="33" t="n">
        <f aca="false">IF(D30="район",MIN(I30,2),IF(D30="город респ. значения",1,IF(D30="областной центр",1,1.5)))</f>
        <v>2</v>
      </c>
      <c r="K30" s="34" t="n">
        <v>2</v>
      </c>
      <c r="L30" s="35" t="n">
        <f aca="false">J30-K30</f>
        <v>0</v>
      </c>
      <c r="M30" s="36" t="n">
        <f aca="false">IF(D30="город респ. значения","",H30)</f>
        <v>1.23869148240331</v>
      </c>
      <c r="N30" s="37" t="n">
        <f aca="false">IF(D30="город респ. значения","",G30)</f>
        <v>21873</v>
      </c>
    </row>
    <row r="31" customFormat="false" ht="15" hidden="false" customHeight="false" outlineLevel="0" collapsed="false">
      <c r="A31" s="20" t="s">
        <v>73</v>
      </c>
      <c r="B31" s="20" t="s">
        <v>7</v>
      </c>
      <c r="C31" s="20" t="s">
        <v>301</v>
      </c>
      <c r="D31" s="31" t="s">
        <v>280</v>
      </c>
      <c r="E31" s="32" t="n">
        <f aca="false">SUMIFS('Площадь МСХ'!$D:$D,'Площадь МСХ'!$E:$E,A31)</f>
        <v>796.685</v>
      </c>
      <c r="F31" s="32" t="n">
        <f aca="false">E31*10</f>
        <v>7966.85</v>
      </c>
      <c r="G31" s="21" t="n">
        <f aca="false">SUMIFS('РПН по МО'!$E:$E,'РПН по МО'!$F:$F,A31)</f>
        <v>20048</v>
      </c>
      <c r="H31" s="25" t="n">
        <f aca="false">IF(G31&gt;0,G31/F31,"")</f>
        <v>2.51642744623032</v>
      </c>
      <c r="I31" s="22" t="n">
        <f aca="false">IF(G31&gt;0,ROUND(1+$I$3*$I$4/H31,4),"")</f>
        <v>3.0382</v>
      </c>
      <c r="J31" s="33" t="n">
        <f aca="false">IF(D31="район",MIN(I31,2),IF(D31="город респ. значения",1,IF(D31="областной центр",1,1.5)))</f>
        <v>2</v>
      </c>
      <c r="K31" s="34" t="n">
        <v>1.7914</v>
      </c>
      <c r="L31" s="35" t="n">
        <f aca="false">J31-K31</f>
        <v>0.2086</v>
      </c>
      <c r="M31" s="36" t="n">
        <f aca="false">IF(D31="город респ. значения","",H31)</f>
        <v>2.51642744623032</v>
      </c>
      <c r="N31" s="37" t="n">
        <f aca="false">IF(D31="город респ. значения","",G31)</f>
        <v>20048</v>
      </c>
    </row>
    <row r="32" customFormat="false" ht="15" hidden="false" customHeight="false" outlineLevel="0" collapsed="false">
      <c r="A32" s="20" t="s">
        <v>74</v>
      </c>
      <c r="B32" s="20" t="s">
        <v>7</v>
      </c>
      <c r="C32" s="20" t="s">
        <v>302</v>
      </c>
      <c r="D32" s="31" t="s">
        <v>280</v>
      </c>
      <c r="E32" s="32" t="n">
        <f aca="false">SUMIFS('Площадь МСХ'!$D:$D,'Площадь МСХ'!$E:$E,A32)</f>
        <v>969.264</v>
      </c>
      <c r="F32" s="32" t="n">
        <f aca="false">E32*10</f>
        <v>9692.64</v>
      </c>
      <c r="G32" s="21" t="n">
        <f aca="false">SUMIFS('РПН по МО'!$E:$E,'РПН по МО'!$F:$F,A32)</f>
        <v>14365</v>
      </c>
      <c r="H32" s="25" t="n">
        <f aca="false">IF(G32&gt;0,G32/F32,"")</f>
        <v>1.48205236137936</v>
      </c>
      <c r="I32" s="22" t="n">
        <f aca="false">IF(G32&gt;0,ROUND(1+$I$3*$I$4/H32,4),"")</f>
        <v>4.4608</v>
      </c>
      <c r="J32" s="33" t="n">
        <f aca="false">IF(D32="район",MIN(I32,2),IF(D32="город респ. значения",1,IF(D32="областной центр",1,1.5)))</f>
        <v>2</v>
      </c>
      <c r="K32" s="34" t="n">
        <v>2</v>
      </c>
      <c r="L32" s="35" t="n">
        <f aca="false">J32-K32</f>
        <v>0</v>
      </c>
      <c r="M32" s="36" t="n">
        <f aca="false">IF(D32="город респ. значения","",H32)</f>
        <v>1.48205236137936</v>
      </c>
      <c r="N32" s="37" t="n">
        <f aca="false">IF(D32="город респ. значения","",G32)</f>
        <v>14365</v>
      </c>
    </row>
    <row r="33" customFormat="false" ht="15" hidden="false" customHeight="false" outlineLevel="0" collapsed="false">
      <c r="A33" s="20" t="s">
        <v>75</v>
      </c>
      <c r="B33" s="20" t="s">
        <v>7</v>
      </c>
      <c r="C33" s="20" t="s">
        <v>303</v>
      </c>
      <c r="D33" s="31" t="s">
        <v>280</v>
      </c>
      <c r="E33" s="32" t="n">
        <f aca="false">SUMIFS('Площадь МСХ'!$D:$D,'Площадь МСХ'!$E:$E,A33)</f>
        <v>1205.936</v>
      </c>
      <c r="F33" s="32" t="n">
        <f aca="false">E33*10</f>
        <v>12059.36</v>
      </c>
      <c r="G33" s="21" t="n">
        <f aca="false">SUMIFS('РПН по МО'!$E:$E,'РПН по МО'!$F:$F,A33)</f>
        <v>11920</v>
      </c>
      <c r="H33" s="25" t="n">
        <f aca="false">IF(G33&gt;0,G33/F33,"")</f>
        <v>0.988443831181754</v>
      </c>
      <c r="I33" s="22" t="n">
        <f aca="false">IF(G33&gt;0,ROUND(1+$I$3*$I$4/H33,4),"")</f>
        <v>6.189</v>
      </c>
      <c r="J33" s="33" t="n">
        <f aca="false">IF(D33="район",MIN(I33,2),IF(D33="город респ. значения",1,IF(D33="областной центр",1,1.5)))</f>
        <v>2</v>
      </c>
      <c r="K33" s="34" t="n">
        <v>2</v>
      </c>
      <c r="L33" s="35" t="n">
        <f aca="false">J33-K33</f>
        <v>0</v>
      </c>
      <c r="M33" s="36" t="n">
        <f aca="false">IF(D33="город респ. значения","",H33)</f>
        <v>0.988443831181754</v>
      </c>
      <c r="N33" s="37" t="n">
        <f aca="false">IF(D33="город респ. значения","",G33)</f>
        <v>11920</v>
      </c>
    </row>
    <row r="34" customFormat="false" ht="15" hidden="false" customHeight="false" outlineLevel="0" collapsed="false">
      <c r="A34" s="20" t="s">
        <v>76</v>
      </c>
      <c r="B34" s="20" t="s">
        <v>7</v>
      </c>
      <c r="C34" s="20" t="s">
        <v>304</v>
      </c>
      <c r="D34" s="31" t="s">
        <v>280</v>
      </c>
      <c r="E34" s="32" t="n">
        <f aca="false">SUMIFS('Площадь МСХ'!$D:$D,'Площадь МСХ'!$E:$E,A34)</f>
        <v>780.81</v>
      </c>
      <c r="F34" s="32" t="n">
        <f aca="false">E34*10</f>
        <v>7808.1</v>
      </c>
      <c r="G34" s="21" t="n">
        <f aca="false">SUMIFS('РПН по МО'!$E:$E,'РПН по МО'!$F:$F,A34)</f>
        <v>20255</v>
      </c>
      <c r="H34" s="25" t="n">
        <f aca="false">IF(G34&gt;0,G34/F34,"")</f>
        <v>2.59410099768189</v>
      </c>
      <c r="I34" s="22" t="n">
        <f aca="false">IF(G34&gt;0,ROUND(1+$I$3*$I$4/H34,4),"")</f>
        <v>2.9772</v>
      </c>
      <c r="J34" s="33" t="n">
        <f aca="false">IF(D34="район",MIN(I34,2),IF(D34="город респ. значения",1,IF(D34="областной центр",1,1.5)))</f>
        <v>2</v>
      </c>
      <c r="K34" s="34" t="n">
        <v>1.4584</v>
      </c>
      <c r="L34" s="35" t="n">
        <f aca="false">J34-K34</f>
        <v>0.5416</v>
      </c>
      <c r="M34" s="36" t="n">
        <f aca="false">IF(D34="город респ. значения","",H34)</f>
        <v>2.59410099768189</v>
      </c>
      <c r="N34" s="37" t="n">
        <f aca="false">IF(D34="город респ. значения","",G34)</f>
        <v>20255</v>
      </c>
    </row>
    <row r="35" customFormat="false" ht="15" hidden="false" customHeight="false" outlineLevel="0" collapsed="false">
      <c r="A35" s="20" t="s">
        <v>77</v>
      </c>
      <c r="B35" s="20" t="s">
        <v>7</v>
      </c>
      <c r="C35" s="20" t="s">
        <v>305</v>
      </c>
      <c r="D35" s="31" t="s">
        <v>280</v>
      </c>
      <c r="E35" s="32" t="n">
        <f aca="false">SUMIFS('Площадь МСХ'!$D:$D,'Площадь МСХ'!$E:$E,A35)</f>
        <v>931.097</v>
      </c>
      <c r="F35" s="32" t="n">
        <f aca="false">E35*10</f>
        <v>9310.97</v>
      </c>
      <c r="G35" s="21" t="n">
        <f aca="false">SUMIFS('РПН по МО'!$E:$E,'РПН по МО'!$F:$F,A35)</f>
        <v>6868</v>
      </c>
      <c r="H35" s="25" t="n">
        <f aca="false">IF(G35&gt;0,G35/F35,"")</f>
        <v>0.737624543951919</v>
      </c>
      <c r="I35" s="22" t="n">
        <f aca="false">IF(G35&gt;0,ROUND(1+$I$3*$I$4/H35,4),"")</f>
        <v>7.9535</v>
      </c>
      <c r="J35" s="33" t="n">
        <f aca="false">IF(D35="район",MIN(I35,2),IF(D35="город респ. значения",1,IF(D35="областной центр",1,1.5)))</f>
        <v>2</v>
      </c>
      <c r="K35" s="34" t="n">
        <v>2</v>
      </c>
      <c r="L35" s="35" t="n">
        <f aca="false">J35-K35</f>
        <v>0</v>
      </c>
      <c r="M35" s="36" t="n">
        <f aca="false">IF(D35="город респ. значения","",H35)</f>
        <v>0.737624543951919</v>
      </c>
      <c r="N35" s="37" t="n">
        <f aca="false">IF(D35="город респ. значения","",G35)</f>
        <v>6868</v>
      </c>
    </row>
    <row r="36" customFormat="false" ht="15" hidden="false" customHeight="false" outlineLevel="0" collapsed="false">
      <c r="A36" s="20" t="s">
        <v>78</v>
      </c>
      <c r="B36" s="20" t="s">
        <v>7</v>
      </c>
      <c r="C36" s="20" t="s">
        <v>306</v>
      </c>
      <c r="D36" s="31" t="s">
        <v>280</v>
      </c>
      <c r="E36" s="32" t="n">
        <f aca="false">SUMIFS('Площадь МСХ'!$D:$D,'Площадь МСХ'!$E:$E,A36)</f>
        <v>638.259</v>
      </c>
      <c r="F36" s="32" t="n">
        <f aca="false">E36*10</f>
        <v>6382.59</v>
      </c>
      <c r="G36" s="21" t="n">
        <f aca="false">SUMIFS('РПН по МО'!$E:$E,'РПН по МО'!$F:$F,A36)</f>
        <v>18068</v>
      </c>
      <c r="H36" s="25" t="n">
        <f aca="false">IF(G36&gt;0,G36/F36,"")</f>
        <v>2.83082573062033</v>
      </c>
      <c r="I36" s="22" t="n">
        <f aca="false">IF(G36&gt;0,ROUND(1+$I$3*$I$4/H36,4),"")</f>
        <v>2.8119</v>
      </c>
      <c r="J36" s="33" t="n">
        <f aca="false">IF(D36="район",MIN(I36,2),IF(D36="город респ. значения",1,IF(D36="областной центр",1,1.5)))</f>
        <v>2</v>
      </c>
      <c r="K36" s="34" t="n">
        <v>1.7761</v>
      </c>
      <c r="L36" s="35" t="n">
        <f aca="false">J36-K36</f>
        <v>0.2239</v>
      </c>
      <c r="M36" s="36" t="n">
        <f aca="false">IF(D36="город респ. значения","",H36)</f>
        <v>2.83082573062033</v>
      </c>
      <c r="N36" s="37" t="n">
        <f aca="false">IF(D36="город респ. значения","",G36)</f>
        <v>18068</v>
      </c>
    </row>
    <row r="37" customFormat="false" ht="15" hidden="false" customHeight="false" outlineLevel="0" collapsed="false">
      <c r="A37" s="20" t="s">
        <v>79</v>
      </c>
      <c r="B37" s="20" t="s">
        <v>7</v>
      </c>
      <c r="C37" s="20" t="s">
        <v>307</v>
      </c>
      <c r="D37" s="31" t="s">
        <v>280</v>
      </c>
      <c r="E37" s="32" t="n">
        <f aca="false">SUMIFS('Площадь МСХ'!$D:$D,'Площадь МСХ'!$E:$E,A37)</f>
        <v>766.4056</v>
      </c>
      <c r="F37" s="32" t="n">
        <f aca="false">E37*10</f>
        <v>7664.056</v>
      </c>
      <c r="G37" s="21" t="n">
        <f aca="false">SUMIFS('РПН по МО'!$E:$E,'РПН по МО'!$F:$F,A37)</f>
        <v>66894</v>
      </c>
      <c r="H37" s="25" t="n">
        <f aca="false">IF(G37&gt;0,G37/F37,"")</f>
        <v>8.72827651572483</v>
      </c>
      <c r="I37" s="22" t="n">
        <f aca="false">IF(G37&gt;0,ROUND(1+$I$3*$I$4/H37,4),"")</f>
        <v>1.5876</v>
      </c>
      <c r="J37" s="33" t="n">
        <f aca="false">IF(D37="район",MIN(I37,2),IF(D37="город респ. значения",1,IF(D37="областной центр",1,1.5)))</f>
        <v>1.5876</v>
      </c>
      <c r="K37" s="34" t="n">
        <v>1.1961</v>
      </c>
      <c r="L37" s="35" t="n">
        <f aca="false">J37-K37</f>
        <v>0.3915</v>
      </c>
      <c r="M37" s="36" t="n">
        <f aca="false">IF(D37="город респ. значения","",H37)</f>
        <v>8.72827651572483</v>
      </c>
      <c r="N37" s="37" t="n">
        <f aca="false">IF(D37="город респ. значения","",G37)</f>
        <v>66894</v>
      </c>
    </row>
    <row r="38" customFormat="false" ht="15" hidden="false" customHeight="false" outlineLevel="0" collapsed="false">
      <c r="A38" s="20" t="s">
        <v>80</v>
      </c>
      <c r="B38" s="20" t="s">
        <v>7</v>
      </c>
      <c r="C38" s="20" t="s">
        <v>308</v>
      </c>
      <c r="D38" s="31" t="s">
        <v>280</v>
      </c>
      <c r="E38" s="32" t="n">
        <f aca="false">SUMIFS('Площадь МСХ'!$D:$D,'Площадь МСХ'!$E:$E,A38)</f>
        <v>467.564</v>
      </c>
      <c r="F38" s="32" t="n">
        <f aca="false">E38*10</f>
        <v>4675.64</v>
      </c>
      <c r="G38" s="21" t="n">
        <f aca="false">SUMIFS('РПН по МО'!$E:$E,'РПН по МО'!$F:$F,A38)</f>
        <v>26416</v>
      </c>
      <c r="H38" s="25" t="n">
        <f aca="false">IF(G38&gt;0,G38/F38,"")</f>
        <v>5.64970784748184</v>
      </c>
      <c r="I38" s="22" t="n">
        <f aca="false">IF(G38&gt;0,ROUND(1+$I$3*$I$4/H38,4),"")</f>
        <v>1.9078</v>
      </c>
      <c r="J38" s="33" t="n">
        <f aca="false">IF(D38="район",MIN(I38,2),IF(D38="город респ. значения",1,IF(D38="областной центр",1,1.5)))</f>
        <v>1.9078</v>
      </c>
      <c r="K38" s="34" t="n">
        <v>1.3518</v>
      </c>
      <c r="L38" s="35" t="n">
        <f aca="false">J38-K38</f>
        <v>0.556</v>
      </c>
      <c r="M38" s="36" t="n">
        <f aca="false">IF(D38="город респ. значения","",H38)</f>
        <v>5.64970784748184</v>
      </c>
      <c r="N38" s="37" t="n">
        <f aca="false">IF(D38="город респ. значения","",G38)</f>
        <v>26416</v>
      </c>
    </row>
    <row r="39" customFormat="false" ht="15" hidden="false" customHeight="false" outlineLevel="0" collapsed="false">
      <c r="A39" s="20" t="s">
        <v>81</v>
      </c>
      <c r="B39" s="20" t="s">
        <v>7</v>
      </c>
      <c r="C39" s="20" t="s">
        <v>309</v>
      </c>
      <c r="D39" s="31" t="s">
        <v>280</v>
      </c>
      <c r="E39" s="32" t="n">
        <f aca="false">SUMIFS('Площадь МСХ'!$D:$D,'Площадь МСХ'!$E:$E,A39)</f>
        <v>594.498</v>
      </c>
      <c r="F39" s="32" t="n">
        <f aca="false">E39*10</f>
        <v>5944.98</v>
      </c>
      <c r="G39" s="21" t="n">
        <f aca="false">SUMIFS('РПН по МО'!$E:$E,'РПН по МО'!$F:$F,A39)</f>
        <v>70331</v>
      </c>
      <c r="H39" s="25" t="n">
        <f aca="false">IF(G39&gt;0,G39/F39,"")</f>
        <v>11.8303173433721</v>
      </c>
      <c r="I39" s="22" t="n">
        <f aca="false">IF(G39&gt;0,ROUND(1+$I$3*$I$4/H39,4),"")</f>
        <v>1.4336</v>
      </c>
      <c r="J39" s="33" t="n">
        <f aca="false">IF(D39="район",MIN(I39,2),IF(D39="город респ. значения",1,IF(D39="областной центр",1,1.5)))</f>
        <v>1.4336</v>
      </c>
      <c r="K39" s="34" t="n">
        <v>1.1703</v>
      </c>
      <c r="L39" s="35" t="n">
        <f aca="false">J39-K39</f>
        <v>0.2633</v>
      </c>
      <c r="M39" s="36" t="n">
        <f aca="false">IF(D39="город респ. значения","",H39)</f>
        <v>11.8303173433721</v>
      </c>
      <c r="N39" s="37" t="n">
        <f aca="false">IF(D39="город респ. значения","",G39)</f>
        <v>70331</v>
      </c>
    </row>
    <row r="40" customFormat="false" ht="15" hidden="false" customHeight="false" outlineLevel="0" collapsed="false">
      <c r="A40" s="20" t="s">
        <v>82</v>
      </c>
      <c r="B40" s="20" t="s">
        <v>8</v>
      </c>
      <c r="C40" s="20" t="s">
        <v>310</v>
      </c>
      <c r="D40" s="31" t="s">
        <v>276</v>
      </c>
      <c r="E40" s="32" t="n">
        <f aca="false">SUMIFS('Площадь МСХ'!$D:$D,'Площадь МСХ'!$E:$E,A40)</f>
        <v>233.758</v>
      </c>
      <c r="F40" s="32" t="n">
        <f aca="false">E40*10</f>
        <v>2337.58</v>
      </c>
      <c r="G40" s="21" t="n">
        <f aca="false">SUMIFS('РПН по МО'!$E:$E,'РПН по МО'!$F:$F,A40)</f>
        <v>602754</v>
      </c>
      <c r="H40" s="25" t="n">
        <f aca="false">IF(G40&gt;0,G40/F40,"")</f>
        <v>257.853848852232</v>
      </c>
      <c r="I40" s="22" t="n">
        <f aca="false">IF(G40&gt;0,ROUND(1+$I$3*$I$4/H40,4),"")</f>
        <v>1.0199</v>
      </c>
      <c r="J40" s="33" t="n">
        <f aca="false">IF(D40="район",MIN(I40,2),IF(D40="город респ. значения",1,IF(D40="областной центр",1,1.5)))</f>
        <v>1</v>
      </c>
      <c r="K40" s="34" t="n">
        <v>1</v>
      </c>
      <c r="L40" s="35" t="n">
        <f aca="false">J40-K40</f>
        <v>0</v>
      </c>
      <c r="M40" s="36" t="n">
        <f aca="false">IF(D40="город респ. значения","",H40)</f>
        <v>257.853848852232</v>
      </c>
      <c r="N40" s="37" t="n">
        <f aca="false">IF(D40="город респ. значения","",G40)</f>
        <v>602754</v>
      </c>
    </row>
    <row r="41" customFormat="false" ht="15" hidden="false" customHeight="false" outlineLevel="0" collapsed="false">
      <c r="A41" s="20" t="s">
        <v>83</v>
      </c>
      <c r="B41" s="20" t="s">
        <v>8</v>
      </c>
      <c r="C41" s="20" t="s">
        <v>311</v>
      </c>
      <c r="D41" s="31" t="s">
        <v>280</v>
      </c>
      <c r="E41" s="32" t="n">
        <f aca="false">SUMIFS('Площадь МСХ'!$D:$D,'Площадь МСХ'!$E:$E,A41)</f>
        <v>750.697</v>
      </c>
      <c r="F41" s="32" t="n">
        <f aca="false">E41*10</f>
        <v>7506.97</v>
      </c>
      <c r="G41" s="21" t="n">
        <f aca="false">SUMIFS('РПН по МО'!$E:$E,'РПН по МО'!$F:$F,A41)</f>
        <v>39066</v>
      </c>
      <c r="H41" s="25" t="n">
        <f aca="false">IF(G41&gt;0,G41/F41,"")</f>
        <v>5.20396378299101</v>
      </c>
      <c r="I41" s="22" t="n">
        <f aca="false">IF(G41&gt;0,ROUND(1+$I$3*$I$4/H41,4),"")</f>
        <v>1.9856</v>
      </c>
      <c r="J41" s="33" t="n">
        <f aca="false">IF(D41="район",MIN(I41,2),IF(D41="город респ. значения",1,IF(D41="областной центр",1,1.5)))</f>
        <v>1.9856</v>
      </c>
      <c r="K41" s="34" t="n">
        <v>1.3553</v>
      </c>
      <c r="L41" s="35" t="n">
        <f aca="false">J41-K41</f>
        <v>0.6303</v>
      </c>
      <c r="M41" s="36" t="n">
        <f aca="false">IF(D41="город респ. значения","",H41)</f>
        <v>5.20396378299101</v>
      </c>
      <c r="N41" s="37" t="n">
        <f aca="false">IF(D41="город респ. значения","",G41)</f>
        <v>39066</v>
      </c>
    </row>
    <row r="42" customFormat="false" ht="15" hidden="false" customHeight="false" outlineLevel="0" collapsed="false">
      <c r="A42" s="20" t="s">
        <v>84</v>
      </c>
      <c r="B42" s="20" t="s">
        <v>8</v>
      </c>
      <c r="C42" s="20" t="s">
        <v>312</v>
      </c>
      <c r="D42" s="31" t="s">
        <v>280</v>
      </c>
      <c r="E42" s="32" t="n">
        <f aca="false">SUMIFS('Площадь МСХ'!$D:$D,'Площадь МСХ'!$E:$E,A42)</f>
        <v>3588.868</v>
      </c>
      <c r="F42" s="32" t="n">
        <f aca="false">E42*10</f>
        <v>35888.68</v>
      </c>
      <c r="G42" s="21" t="n">
        <f aca="false">SUMIFS('РПН по МО'!$E:$E,'РПН по МО'!$F:$F,A42)</f>
        <v>18406</v>
      </c>
      <c r="H42" s="25" t="n">
        <f aca="false">IF(G42&gt;0,G42/F42,"")</f>
        <v>0.512863666203382</v>
      </c>
      <c r="I42" s="22" t="n">
        <f aca="false">IF(G42&gt;0,ROUND(1+$I$3*$I$4/H42,4),"")</f>
        <v>11.0008</v>
      </c>
      <c r="J42" s="33" t="n">
        <f aca="false">IF(D42="район",MIN(I42,2),IF(D42="город респ. значения",1,IF(D42="областной центр",1,1.5)))</f>
        <v>2</v>
      </c>
      <c r="K42" s="34" t="n">
        <v>2</v>
      </c>
      <c r="L42" s="35" t="n">
        <f aca="false">J42-K42</f>
        <v>0</v>
      </c>
      <c r="M42" s="36" t="n">
        <f aca="false">IF(D42="город респ. значения","",H42)</f>
        <v>0.512863666203382</v>
      </c>
      <c r="N42" s="37" t="n">
        <f aca="false">IF(D42="город респ. значения","",G42)</f>
        <v>18406</v>
      </c>
    </row>
    <row r="43" customFormat="false" ht="15" hidden="false" customHeight="false" outlineLevel="0" collapsed="false">
      <c r="A43" s="20" t="s">
        <v>85</v>
      </c>
      <c r="B43" s="20" t="s">
        <v>8</v>
      </c>
      <c r="C43" s="20" t="s">
        <v>313</v>
      </c>
      <c r="D43" s="31" t="s">
        <v>280</v>
      </c>
      <c r="E43" s="32" t="n">
        <f aca="false">SUMIFS('Площадь МСХ'!$D:$D,'Площадь МСХ'!$E:$E,A43)</f>
        <v>6103.969</v>
      </c>
      <c r="F43" s="32" t="n">
        <f aca="false">E43*10</f>
        <v>61039.69</v>
      </c>
      <c r="G43" s="21" t="n">
        <f aca="false">SUMIFS('РПН по МО'!$E:$E,'РПН по МО'!$F:$F,A43)</f>
        <v>20039</v>
      </c>
      <c r="H43" s="25" t="n">
        <f aca="false">IF(G43&gt;0,G43/F43,"")</f>
        <v>0.328294589962695</v>
      </c>
      <c r="I43" s="22" t="n">
        <f aca="false">IF(G43&gt;0,ROUND(1+$I$3*$I$4/H43,4),"")</f>
        <v>16.6233</v>
      </c>
      <c r="J43" s="33" t="n">
        <f aca="false">IF(D43="район",MIN(I43,2),IF(D43="город респ. значения",1,IF(D43="областной центр",1,1.5)))</f>
        <v>2</v>
      </c>
      <c r="K43" s="34" t="n">
        <v>2</v>
      </c>
      <c r="L43" s="35" t="n">
        <f aca="false">J43-K43</f>
        <v>0</v>
      </c>
      <c r="M43" s="36" t="n">
        <f aca="false">IF(D43="город респ. значения","",H43)</f>
        <v>0.328294589962695</v>
      </c>
      <c r="N43" s="37" t="n">
        <f aca="false">IF(D43="город респ. значения","",G43)</f>
        <v>20039</v>
      </c>
    </row>
    <row r="44" customFormat="false" ht="15" hidden="false" customHeight="false" outlineLevel="0" collapsed="false">
      <c r="A44" s="20" t="s">
        <v>86</v>
      </c>
      <c r="B44" s="20" t="s">
        <v>8</v>
      </c>
      <c r="C44" s="20" t="s">
        <v>314</v>
      </c>
      <c r="D44" s="31" t="s">
        <v>280</v>
      </c>
      <c r="E44" s="32" t="n">
        <f aca="false">SUMIFS('Площадь МСХ'!$D:$D,'Площадь МСХ'!$E:$E,A44)</f>
        <v>499.846</v>
      </c>
      <c r="F44" s="32" t="n">
        <f aca="false">E44*10</f>
        <v>4998.46</v>
      </c>
      <c r="G44" s="21" t="n">
        <f aca="false">SUMIFS('РПН по МО'!$E:$E,'РПН по МО'!$F:$F,A44)</f>
        <v>14498</v>
      </c>
      <c r="H44" s="25" t="n">
        <f aca="false">IF(G44&gt;0,G44/F44,"")</f>
        <v>2.9004933519524</v>
      </c>
      <c r="I44" s="22" t="n">
        <f aca="false">IF(G44&gt;0,ROUND(1+$I$3*$I$4/H44,4),"")</f>
        <v>2.7683</v>
      </c>
      <c r="J44" s="33" t="n">
        <f aca="false">IF(D44="район",MIN(I44,2),IF(D44="город респ. значения",1,IF(D44="областной центр",1,1.5)))</f>
        <v>2</v>
      </c>
      <c r="K44" s="34" t="n">
        <v>1.6673</v>
      </c>
      <c r="L44" s="35" t="n">
        <f aca="false">J44-K44</f>
        <v>0.3327</v>
      </c>
      <c r="M44" s="36" t="n">
        <f aca="false">IF(D44="город респ. значения","",H44)</f>
        <v>2.9004933519524</v>
      </c>
      <c r="N44" s="37" t="n">
        <f aca="false">IF(D44="город респ. значения","",G44)</f>
        <v>14498</v>
      </c>
    </row>
    <row r="45" customFormat="false" ht="15" hidden="false" customHeight="false" outlineLevel="0" collapsed="false">
      <c r="A45" s="20" t="s">
        <v>87</v>
      </c>
      <c r="B45" s="20" t="s">
        <v>8</v>
      </c>
      <c r="C45" s="20" t="s">
        <v>315</v>
      </c>
      <c r="D45" s="31" t="s">
        <v>280</v>
      </c>
      <c r="E45" s="32" t="n">
        <f aca="false">SUMIFS('Площадь МСХ'!$D:$D,'Площадь МСХ'!$E:$E,A45)</f>
        <v>1402.98</v>
      </c>
      <c r="F45" s="32" t="n">
        <f aca="false">E45*10</f>
        <v>14029.8</v>
      </c>
      <c r="G45" s="21" t="n">
        <f aca="false">SUMIFS('РПН по МО'!$E:$E,'РПН по МО'!$F:$F,A45)</f>
        <v>14200</v>
      </c>
      <c r="H45" s="25" t="n">
        <f aca="false">IF(G45&gt;0,G45/F45,"")</f>
        <v>1.01213132047499</v>
      </c>
      <c r="I45" s="22" t="n">
        <f aca="false">IF(G45&gt;0,ROUND(1+$I$3*$I$4/H45,4),"")</f>
        <v>6.0676</v>
      </c>
      <c r="J45" s="33" t="n">
        <f aca="false">IF(D45="район",MIN(I45,2),IF(D45="город респ. значения",1,IF(D45="областной центр",1,1.5)))</f>
        <v>2</v>
      </c>
      <c r="K45" s="34" t="n">
        <v>2</v>
      </c>
      <c r="L45" s="35" t="n">
        <f aca="false">J45-K45</f>
        <v>0</v>
      </c>
      <c r="M45" s="36" t="n">
        <f aca="false">IF(D45="город респ. значения","",H45)</f>
        <v>1.01213132047499</v>
      </c>
      <c r="N45" s="37" t="n">
        <f aca="false">IF(D45="город респ. значения","",G45)</f>
        <v>14200</v>
      </c>
    </row>
    <row r="46" customFormat="false" ht="15" hidden="false" customHeight="false" outlineLevel="0" collapsed="false">
      <c r="A46" s="20" t="s">
        <v>88</v>
      </c>
      <c r="B46" s="20" t="s">
        <v>8</v>
      </c>
      <c r="C46" s="20" t="s">
        <v>316</v>
      </c>
      <c r="D46" s="31" t="s">
        <v>280</v>
      </c>
      <c r="E46" s="32" t="n">
        <f aca="false">SUMIFS('Площадь МСХ'!$D:$D,'Площадь МСХ'!$E:$E,A46)</f>
        <v>660.532</v>
      </c>
      <c r="F46" s="32" t="n">
        <f aca="false">E46*10</f>
        <v>6605.32</v>
      </c>
      <c r="G46" s="21" t="n">
        <f aca="false">SUMIFS('РПН по МО'!$E:$E,'РПН по МО'!$F:$F,A46)</f>
        <v>27434</v>
      </c>
      <c r="H46" s="25" t="n">
        <f aca="false">IF(G46&gt;0,G46/F46,"")</f>
        <v>4.15331883996536</v>
      </c>
      <c r="I46" s="22" t="n">
        <f aca="false">IF(G46&gt;0,ROUND(1+$I$3*$I$4/H46,4),"")</f>
        <v>2.2349</v>
      </c>
      <c r="J46" s="33" t="n">
        <f aca="false">IF(D46="район",MIN(I46,2),IF(D46="город респ. значения",1,IF(D46="областной центр",1,1.5)))</f>
        <v>2</v>
      </c>
      <c r="K46" s="34" t="n">
        <v>1.4578</v>
      </c>
      <c r="L46" s="35" t="n">
        <f aca="false">J46-K46</f>
        <v>0.5422</v>
      </c>
      <c r="M46" s="36" t="n">
        <f aca="false">IF(D46="город респ. значения","",H46)</f>
        <v>4.15331883996536</v>
      </c>
      <c r="N46" s="37" t="n">
        <f aca="false">IF(D46="город респ. значения","",G46)</f>
        <v>27434</v>
      </c>
    </row>
    <row r="47" customFormat="false" ht="15" hidden="false" customHeight="false" outlineLevel="0" collapsed="false">
      <c r="A47" s="20" t="s">
        <v>89</v>
      </c>
      <c r="B47" s="20" t="s">
        <v>8</v>
      </c>
      <c r="C47" s="20" t="s">
        <v>317</v>
      </c>
      <c r="D47" s="31" t="s">
        <v>280</v>
      </c>
      <c r="E47" s="32" t="n">
        <f aca="false">SUMIFS('Площадь МСХ'!$D:$D,'Площадь МСХ'!$E:$E,A47)</f>
        <v>2786.18</v>
      </c>
      <c r="F47" s="32" t="n">
        <f aca="false">E47*10</f>
        <v>27861.8</v>
      </c>
      <c r="G47" s="21" t="n">
        <f aca="false">SUMIFS('РПН по МО'!$E:$E,'РПН по МО'!$F:$F,A47)</f>
        <v>57904</v>
      </c>
      <c r="H47" s="25" t="n">
        <f aca="false">IF(G47&gt;0,G47/F47,"")</f>
        <v>2.07825768615093</v>
      </c>
      <c r="I47" s="22" t="n">
        <f aca="false">IF(G47&gt;0,ROUND(1+$I$3*$I$4/H47,4),"")</f>
        <v>3.468</v>
      </c>
      <c r="J47" s="33" t="n">
        <f aca="false">IF(D47="район",MIN(I47,2),IF(D47="город респ. значения",1,IF(D47="областной центр",1,1.5)))</f>
        <v>2</v>
      </c>
      <c r="K47" s="34" t="n">
        <v>1.8747</v>
      </c>
      <c r="L47" s="35" t="n">
        <f aca="false">J47-K47</f>
        <v>0.1253</v>
      </c>
      <c r="M47" s="36" t="n">
        <f aca="false">IF(D47="город респ. значения","",H47)</f>
        <v>2.07825768615093</v>
      </c>
      <c r="N47" s="37" t="n">
        <f aca="false">IF(D47="город респ. значения","",G47)</f>
        <v>57904</v>
      </c>
    </row>
    <row r="48" customFormat="false" ht="15" hidden="false" customHeight="false" outlineLevel="0" collapsed="false">
      <c r="A48" s="20" t="s">
        <v>90</v>
      </c>
      <c r="B48" s="20" t="s">
        <v>8</v>
      </c>
      <c r="C48" s="20" t="s">
        <v>318</v>
      </c>
      <c r="D48" s="31" t="s">
        <v>280</v>
      </c>
      <c r="E48" s="32" t="n">
        <f aca="false">SUMIFS('Площадь МСХ'!$D:$D,'Площадь МСХ'!$E:$E,A48)</f>
        <v>1145.686</v>
      </c>
      <c r="F48" s="32" t="n">
        <f aca="false">E48*10</f>
        <v>11456.86</v>
      </c>
      <c r="G48" s="21" t="n">
        <f aca="false">SUMIFS('РПН по МО'!$E:$E,'РПН по МО'!$F:$F,A48)</f>
        <v>12956</v>
      </c>
      <c r="H48" s="25" t="n">
        <f aca="false">IF(G48&gt;0,G48/F48,"")</f>
        <v>1.13085086140531</v>
      </c>
      <c r="I48" s="22" t="n">
        <f aca="false">IF(G48&gt;0,ROUND(1+$I$3*$I$4/H48,4),"")</f>
        <v>5.5356</v>
      </c>
      <c r="J48" s="33" t="n">
        <f aca="false">IF(D48="район",MIN(I48,2),IF(D48="город респ. значения",1,IF(D48="областной центр",1,1.5)))</f>
        <v>2</v>
      </c>
      <c r="K48" s="34" t="n">
        <v>2</v>
      </c>
      <c r="L48" s="35" t="n">
        <f aca="false">J48-K48</f>
        <v>0</v>
      </c>
      <c r="M48" s="36" t="n">
        <f aca="false">IF(D48="город респ. значения","",H48)</f>
        <v>1.13085086140531</v>
      </c>
      <c r="N48" s="37" t="n">
        <f aca="false">IF(D48="город респ. значения","",G48)</f>
        <v>12956</v>
      </c>
    </row>
    <row r="49" customFormat="false" ht="15" hidden="false" customHeight="false" outlineLevel="0" collapsed="false">
      <c r="A49" s="20" t="s">
        <v>91</v>
      </c>
      <c r="B49" s="20" t="s">
        <v>8</v>
      </c>
      <c r="C49" s="20" t="s">
        <v>319</v>
      </c>
      <c r="D49" s="31" t="s">
        <v>280</v>
      </c>
      <c r="E49" s="32" t="n">
        <f aca="false">SUMIFS('Площадь МСХ'!$D:$D,'Площадь МСХ'!$E:$E,A49)</f>
        <v>1261.954</v>
      </c>
      <c r="F49" s="32" t="n">
        <f aca="false">E49*10</f>
        <v>12619.54</v>
      </c>
      <c r="G49" s="21" t="n">
        <f aca="false">SUMIFS('РПН по МО'!$E:$E,'РПН по МО'!$F:$F,A49)</f>
        <v>31066</v>
      </c>
      <c r="H49" s="25" t="n">
        <f aca="false">IF(G49&gt;0,G49/F49,"")</f>
        <v>2.46173790803785</v>
      </c>
      <c r="I49" s="22" t="n">
        <f aca="false">IF(G49&gt;0,ROUND(1+$I$3*$I$4/H49,4),"")</f>
        <v>3.0835</v>
      </c>
      <c r="J49" s="33" t="n">
        <f aca="false">IF(D49="район",MIN(I49,2),IF(D49="город респ. значения",1,IF(D49="областной центр",1,1.5)))</f>
        <v>2</v>
      </c>
      <c r="K49" s="34" t="n">
        <v>1.7225</v>
      </c>
      <c r="L49" s="35" t="n">
        <f aca="false">J49-K49</f>
        <v>0.2775</v>
      </c>
      <c r="M49" s="36" t="n">
        <f aca="false">IF(D49="город респ. значения","",H49)</f>
        <v>2.46173790803785</v>
      </c>
      <c r="N49" s="37" t="n">
        <f aca="false">IF(D49="город респ. значения","",G49)</f>
        <v>31066</v>
      </c>
    </row>
    <row r="50" customFormat="false" ht="15" hidden="false" customHeight="false" outlineLevel="0" collapsed="false">
      <c r="A50" s="20" t="s">
        <v>92</v>
      </c>
      <c r="B50" s="20" t="s">
        <v>8</v>
      </c>
      <c r="C50" s="20" t="s">
        <v>320</v>
      </c>
      <c r="D50" s="31" t="s">
        <v>280</v>
      </c>
      <c r="E50" s="32" t="n">
        <f aca="false">SUMIFS('Площадь МСХ'!$D:$D,'Площадь МСХ'!$E:$E,A50)</f>
        <v>1292.15</v>
      </c>
      <c r="F50" s="32" t="n">
        <f aca="false">E50*10</f>
        <v>12921.5</v>
      </c>
      <c r="G50" s="21" t="n">
        <f aca="false">SUMIFS('РПН по МО'!$E:$E,'РПН по МО'!$F:$F,A50)</f>
        <v>43916</v>
      </c>
      <c r="H50" s="25" t="n">
        <f aca="false">IF(G50&gt;0,G50/F50,"")</f>
        <v>3.39867662423093</v>
      </c>
      <c r="I50" s="22" t="n">
        <f aca="false">IF(G50&gt;0,ROUND(1+$I$3*$I$4/H50,4),"")</f>
        <v>2.5091</v>
      </c>
      <c r="J50" s="33" t="n">
        <f aca="false">IF(D50="район",MIN(I50,2),IF(D50="город респ. значения",1,IF(D50="областной центр",1,1.5)))</f>
        <v>2</v>
      </c>
      <c r="K50" s="34" t="n">
        <v>1.5724</v>
      </c>
      <c r="L50" s="35" t="n">
        <f aca="false">J50-K50</f>
        <v>0.4276</v>
      </c>
      <c r="M50" s="36" t="n">
        <f aca="false">IF(D50="город респ. значения","",H50)</f>
        <v>3.39867662423093</v>
      </c>
      <c r="N50" s="37" t="n">
        <f aca="false">IF(D50="город респ. значения","",G50)</f>
        <v>43916</v>
      </c>
    </row>
    <row r="51" customFormat="false" ht="15" hidden="false" customHeight="false" outlineLevel="0" collapsed="false">
      <c r="A51" s="20" t="s">
        <v>93</v>
      </c>
      <c r="B51" s="20" t="s">
        <v>8</v>
      </c>
      <c r="C51" s="20" t="s">
        <v>321</v>
      </c>
      <c r="D51" s="31" t="s">
        <v>280</v>
      </c>
      <c r="E51" s="32" t="n">
        <f aca="false">SUMIFS('Площадь МСХ'!$D:$D,'Площадь МСХ'!$E:$E,A51)</f>
        <v>6185.08</v>
      </c>
      <c r="F51" s="32" t="n">
        <f aca="false">E51*10</f>
        <v>61850.8</v>
      </c>
      <c r="G51" s="21" t="n">
        <f aca="false">SUMIFS('РПН по МО'!$E:$E,'РПН по МО'!$F:$F,A51)</f>
        <v>38326</v>
      </c>
      <c r="H51" s="25" t="n">
        <f aca="false">IF(G51&gt;0,G51/F51,"")</f>
        <v>0.619652453969876</v>
      </c>
      <c r="I51" s="22" t="n">
        <f aca="false">IF(G51&gt;0,ROUND(1+$I$3*$I$4/H51,4),"")</f>
        <v>9.2773</v>
      </c>
      <c r="J51" s="33" t="n">
        <f aca="false">IF(D51="район",MIN(I51,2),IF(D51="город респ. значения",1,IF(D51="областной центр",1,1.5)))</f>
        <v>2</v>
      </c>
      <c r="K51" s="34" t="n">
        <v>2</v>
      </c>
      <c r="L51" s="35" t="n">
        <f aca="false">J51-K51</f>
        <v>0</v>
      </c>
      <c r="M51" s="36" t="n">
        <f aca="false">IF(D51="город респ. значения","",H51)</f>
        <v>0.619652453969876</v>
      </c>
      <c r="N51" s="37" t="n">
        <f aca="false">IF(D51="город респ. значения","",G51)</f>
        <v>38326</v>
      </c>
    </row>
    <row r="52" customFormat="false" ht="15" hidden="false" customHeight="false" outlineLevel="0" collapsed="false">
      <c r="A52" s="20" t="s">
        <v>94</v>
      </c>
      <c r="B52" s="20" t="s">
        <v>8</v>
      </c>
      <c r="C52" s="20" t="s">
        <v>322</v>
      </c>
      <c r="D52" s="31" t="s">
        <v>280</v>
      </c>
      <c r="E52" s="32" t="n">
        <f aca="false">SUMIFS('Площадь МСХ'!$D:$D,'Площадь МСХ'!$E:$E,A52)</f>
        <v>4151.2</v>
      </c>
      <c r="F52" s="32" t="n">
        <f aca="false">E52*10</f>
        <v>41512</v>
      </c>
      <c r="G52" s="21" t="n">
        <f aca="false">SUMIFS('РПН по МО'!$E:$E,'РПН по МО'!$F:$F,A52)</f>
        <v>12279</v>
      </c>
      <c r="H52" s="25" t="n">
        <f aca="false">IF(G52&gt;0,G52/F52,"")</f>
        <v>0.295793987280786</v>
      </c>
      <c r="I52" s="22" t="n">
        <f aca="false">IF(G52&gt;0,ROUND(1+$I$3*$I$4/H52,4),"")</f>
        <v>18.3399</v>
      </c>
      <c r="J52" s="33" t="n">
        <f aca="false">IF(D52="район",MIN(I52,2),IF(D52="город респ. значения",1,IF(D52="областной центр",1,1.5)))</f>
        <v>2</v>
      </c>
      <c r="K52" s="34" t="n">
        <v>2</v>
      </c>
      <c r="L52" s="35" t="n">
        <f aca="false">J52-K52</f>
        <v>0</v>
      </c>
      <c r="M52" s="36" t="n">
        <f aca="false">IF(D52="город респ. значения","",H52)</f>
        <v>0.295793987280786</v>
      </c>
      <c r="N52" s="37" t="n">
        <f aca="false">IF(D52="город респ. значения","",G52)</f>
        <v>12279</v>
      </c>
    </row>
    <row r="53" customFormat="false" ht="15" hidden="false" customHeight="false" outlineLevel="0" collapsed="false">
      <c r="A53" s="20" t="s">
        <v>95</v>
      </c>
      <c r="B53" s="20" t="s">
        <v>9</v>
      </c>
      <c r="C53" s="20" t="s">
        <v>323</v>
      </c>
      <c r="D53" s="31" t="s">
        <v>276</v>
      </c>
      <c r="E53" s="32" t="n">
        <f aca="false">SUMIFS('Площадь МСХ'!$D:$D,'Площадь МСХ'!$E:$E,A53)</f>
        <v>354.441</v>
      </c>
      <c r="F53" s="32" t="n">
        <f aca="false">E53*10</f>
        <v>3544.41</v>
      </c>
      <c r="G53" s="21" t="n">
        <f aca="false">SUMIFS('РПН по МО'!$E:$E,'РПН по МО'!$F:$F,A53)</f>
        <v>88476</v>
      </c>
      <c r="H53" s="25" t="n">
        <f aca="false">IF(G53&gt;0,G53/F53,"")</f>
        <v>24.9621234563721</v>
      </c>
      <c r="I53" s="22" t="n">
        <f aca="false">IF(G53&gt;0,ROUND(1+$I$3*$I$4/H53,4),"")</f>
        <v>1.2055</v>
      </c>
      <c r="J53" s="33" t="n">
        <f aca="false">IF(D53="район",MIN(I53,2),IF(D53="город респ. значения",1,IF(D53="областной центр",1,1.5)))</f>
        <v>1</v>
      </c>
      <c r="K53" s="34" t="n">
        <v>1</v>
      </c>
      <c r="L53" s="35" t="n">
        <f aca="false">J53-K53</f>
        <v>0</v>
      </c>
      <c r="M53" s="36" t="n">
        <f aca="false">IF(D53="город респ. значения","",H53)</f>
        <v>24.9621234563721</v>
      </c>
      <c r="N53" s="37" t="n">
        <f aca="false">IF(D53="город респ. значения","",G53)</f>
        <v>88476</v>
      </c>
    </row>
    <row r="54" customFormat="false" ht="15" hidden="false" customHeight="false" outlineLevel="0" collapsed="false">
      <c r="A54" s="20" t="s">
        <v>96</v>
      </c>
      <c r="B54" s="20" t="s">
        <v>9</v>
      </c>
      <c r="C54" s="20" t="s">
        <v>324</v>
      </c>
      <c r="D54" s="31" t="s">
        <v>325</v>
      </c>
      <c r="E54" s="32" t="n">
        <f aca="false">SUMIFS('Площадь МСХ'!$D:$D,'Площадь МСХ'!$E:$E,A54)</f>
        <v>88</v>
      </c>
      <c r="F54" s="32" t="n">
        <f aca="false">E54*10</f>
        <v>880</v>
      </c>
      <c r="G54" s="21" t="n">
        <f aca="false">SUMIFS('РПН по МО'!$E:$E,'РПН по МО'!$F:$F,A54)</f>
        <v>7551</v>
      </c>
      <c r="H54" s="25" t="n">
        <f aca="false">IF(G54&gt;0,G54/F54,"")</f>
        <v>8.58068181818182</v>
      </c>
      <c r="I54" s="22" t="n">
        <f aca="false">IF(G54&gt;0,ROUND(1+$I$3*$I$4/H54,4),"")</f>
        <v>1.5977</v>
      </c>
      <c r="J54" s="33" t="n">
        <f aca="false">IF(D54="район",MIN(I54,2),IF(D54="город респ. значения",1,IF(D54="областной центр",1,1.5)))</f>
        <v>1.5</v>
      </c>
      <c r="K54" s="38" t="n">
        <v>1.0598</v>
      </c>
      <c r="L54" s="35" t="n">
        <f aca="false">J54-K54</f>
        <v>0.4402</v>
      </c>
      <c r="M54" s="36" t="n">
        <f aca="false">IF(D54="город респ. значения","",H54)</f>
        <v>8.58068181818182</v>
      </c>
      <c r="N54" s="37" t="n">
        <f aca="false">IF(D54="город респ. значения","",G54)</f>
        <v>7551</v>
      </c>
    </row>
    <row r="55" customFormat="false" ht="15" hidden="false" customHeight="false" outlineLevel="0" collapsed="false">
      <c r="A55" s="20" t="s">
        <v>97</v>
      </c>
      <c r="B55" s="20" t="s">
        <v>9</v>
      </c>
      <c r="C55" s="20" t="s">
        <v>326</v>
      </c>
      <c r="D55" s="31" t="s">
        <v>280</v>
      </c>
      <c r="E55" s="32" t="n">
        <f aca="false">SUMIFS('Площадь МСХ'!$D:$D,'Площадь МСХ'!$E:$E,A55)</f>
        <v>3739.06075</v>
      </c>
      <c r="F55" s="32" t="n">
        <f aca="false">E55*10</f>
        <v>37390.6075</v>
      </c>
      <c r="G55" s="21" t="n">
        <f aca="false">SUMIFS('РПН по МО'!$E:$E,'РПН по МО'!$F:$F,A55)</f>
        <v>23512</v>
      </c>
      <c r="H55" s="25" t="n">
        <f aca="false">IF(G55&gt;0,G55/F55,"")</f>
        <v>0.628821021428978</v>
      </c>
      <c r="I55" s="22" t="n">
        <f aca="false">IF(G55&gt;0,ROUND(1+$I$3*$I$4/H55,4),"")</f>
        <v>9.1566</v>
      </c>
      <c r="J55" s="33" t="n">
        <f aca="false">IF(D55="район",MIN(I55,2),IF(D55="город респ. значения",1,IF(D55="областной центр",1,1.5)))</f>
        <v>2</v>
      </c>
      <c r="K55" s="34" t="n">
        <v>2</v>
      </c>
      <c r="L55" s="35" t="n">
        <f aca="false">J55-K55</f>
        <v>0</v>
      </c>
      <c r="M55" s="36" t="n">
        <f aca="false">IF(D55="город респ. значения","",H55)</f>
        <v>0.628821021428978</v>
      </c>
      <c r="N55" s="37" t="n">
        <f aca="false">IF(D55="город респ. значения","",G55)</f>
        <v>23512</v>
      </c>
    </row>
    <row r="56" customFormat="false" ht="15" hidden="false" customHeight="false" outlineLevel="0" collapsed="false">
      <c r="A56" s="20" t="s">
        <v>98</v>
      </c>
      <c r="B56" s="20" t="s">
        <v>9</v>
      </c>
      <c r="C56" s="20" t="s">
        <v>327</v>
      </c>
      <c r="D56" s="31" t="s">
        <v>280</v>
      </c>
      <c r="E56" s="32" t="n">
        <f aca="false">SUMIFS('Площадь МСХ'!$D:$D,'Площадь МСХ'!$E:$E,A56)</f>
        <v>829.66</v>
      </c>
      <c r="F56" s="32" t="n">
        <f aca="false">E56*10</f>
        <v>8296.6</v>
      </c>
      <c r="G56" s="21" t="n">
        <f aca="false">SUMIFS('РПН по МО'!$E:$E,'РПН по МО'!$F:$F,A56)</f>
        <v>287241</v>
      </c>
      <c r="H56" s="25" t="n">
        <f aca="false">IF(G56&gt;0,G56/F56,"")</f>
        <v>34.6215317117856</v>
      </c>
      <c r="I56" s="22" t="n">
        <f aca="false">IF(G56&gt;0,ROUND(1+$I$3*$I$4/H56,4),"")</f>
        <v>1.1481</v>
      </c>
      <c r="J56" s="33" t="n">
        <f aca="false">IF(D56="район",MIN(I56,2),IF(D56="город респ. значения",1,IF(D56="областной центр",1,1.5)))</f>
        <v>1.1481</v>
      </c>
      <c r="K56" s="34" t="n">
        <v>1.06</v>
      </c>
      <c r="L56" s="35" t="n">
        <f aca="false">J56-K56</f>
        <v>0.0880999999999999</v>
      </c>
      <c r="M56" s="36" t="n">
        <f aca="false">IF(D56="город респ. значения","",H56)</f>
        <v>34.6215317117856</v>
      </c>
      <c r="N56" s="37" t="n">
        <f aca="false">IF(D56="город респ. значения","",G56)</f>
        <v>287241</v>
      </c>
    </row>
    <row r="57" customFormat="false" ht="15" hidden="false" customHeight="false" outlineLevel="0" collapsed="false">
      <c r="A57" s="20" t="s">
        <v>99</v>
      </c>
      <c r="B57" s="20" t="s">
        <v>9</v>
      </c>
      <c r="C57" s="20" t="s">
        <v>328</v>
      </c>
      <c r="D57" s="31" t="s">
        <v>280</v>
      </c>
      <c r="E57" s="32" t="n">
        <f aca="false">SUMIFS('Площадь МСХ'!$D:$D,'Площадь МСХ'!$E:$E,A57)</f>
        <v>1930.98</v>
      </c>
      <c r="F57" s="32" t="n">
        <f aca="false">E57*10</f>
        <v>19309.8</v>
      </c>
      <c r="G57" s="21" t="n">
        <f aca="false">SUMIFS('РПН по МО'!$E:$E,'РПН по МО'!$F:$F,A57)</f>
        <v>168463</v>
      </c>
      <c r="H57" s="25" t="n">
        <f aca="false">IF(G57&gt;0,G57/F57,"")</f>
        <v>8.72422293343277</v>
      </c>
      <c r="I57" s="22" t="n">
        <f aca="false">IF(G57&gt;0,ROUND(1+$I$3*$I$4/H57,4),"")</f>
        <v>1.5879</v>
      </c>
      <c r="J57" s="33" t="n">
        <f aca="false">IF(D57="район",MIN(I57,2),IF(D57="город респ. значения",1,IF(D57="областной центр",1,1.5)))</f>
        <v>1.5879</v>
      </c>
      <c r="K57" s="34" t="n">
        <v>1.2357</v>
      </c>
      <c r="L57" s="35" t="n">
        <f aca="false">J57-K57</f>
        <v>0.3522</v>
      </c>
      <c r="M57" s="36" t="n">
        <f aca="false">IF(D57="город респ. значения","",H57)</f>
        <v>8.72422293343277</v>
      </c>
      <c r="N57" s="37" t="n">
        <f aca="false">IF(D57="город респ. значения","",G57)</f>
        <v>168463</v>
      </c>
    </row>
    <row r="58" customFormat="false" ht="15" hidden="false" customHeight="false" outlineLevel="0" collapsed="false">
      <c r="A58" s="20" t="s">
        <v>100</v>
      </c>
      <c r="B58" s="20" t="s">
        <v>9</v>
      </c>
      <c r="C58" s="20" t="s">
        <v>329</v>
      </c>
      <c r="D58" s="31" t="s">
        <v>280</v>
      </c>
      <c r="E58" s="32" t="n">
        <f aca="false">SUMIFS('Площадь МСХ'!$D:$D,'Площадь МСХ'!$E:$E,A58)</f>
        <v>710.298</v>
      </c>
      <c r="F58" s="32" t="n">
        <f aca="false">E58*10</f>
        <v>7102.98</v>
      </c>
      <c r="G58" s="21" t="n">
        <f aca="false">SUMIFS('РПН по МО'!$E:$E,'РПН по МО'!$F:$F,A58)</f>
        <v>22750</v>
      </c>
      <c r="H58" s="25" t="n">
        <f aca="false">IF(G58&gt;0,G58/F58,"")</f>
        <v>3.20288104429409</v>
      </c>
      <c r="I58" s="22" t="n">
        <f aca="false">IF(G58&gt;0,ROUND(1+$I$3*$I$4/H58,4),"")</f>
        <v>2.6014</v>
      </c>
      <c r="J58" s="33" t="n">
        <f aca="false">IF(D58="район",MIN(I58,2),IF(D58="город респ. значения",1,IF(D58="областной центр",1,1.5)))</f>
        <v>2</v>
      </c>
      <c r="K58" s="34" t="n">
        <v>1.5177</v>
      </c>
      <c r="L58" s="35" t="n">
        <f aca="false">J58-K58</f>
        <v>0.4823</v>
      </c>
      <c r="M58" s="36" t="n">
        <f aca="false">IF(D58="город респ. значения","",H58)</f>
        <v>3.20288104429409</v>
      </c>
      <c r="N58" s="37" t="n">
        <f aca="false">IF(D58="город респ. значения","",G58)</f>
        <v>22750</v>
      </c>
    </row>
    <row r="59" customFormat="false" ht="15" hidden="false" customHeight="false" outlineLevel="0" collapsed="false">
      <c r="A59" s="20" t="s">
        <v>101</v>
      </c>
      <c r="B59" s="20" t="s">
        <v>9</v>
      </c>
      <c r="C59" s="20" t="s">
        <v>330</v>
      </c>
      <c r="D59" s="31" t="s">
        <v>280</v>
      </c>
      <c r="E59" s="32" t="n">
        <f aca="false">SUMIFS('Площадь МСХ'!$D:$D,'Площадь МСХ'!$E:$E,A59)</f>
        <v>200.952</v>
      </c>
      <c r="F59" s="32" t="n">
        <f aca="false">E59*10</f>
        <v>2009.52</v>
      </c>
      <c r="G59" s="21" t="n">
        <f aca="false">SUMIFS('РПН по МО'!$E:$E,'РПН по МО'!$F:$F,A59)</f>
        <v>375531</v>
      </c>
      <c r="H59" s="25" t="n">
        <f aca="false">IF(G59&gt;0,G59/F59,"")</f>
        <v>186.875970380987</v>
      </c>
      <c r="I59" s="22" t="n">
        <f aca="false">IF(G59&gt;0,ROUND(1+$I$3*$I$4/H59,4),"")</f>
        <v>1.0274</v>
      </c>
      <c r="J59" s="33" t="n">
        <f aca="false">IF(D59="район",MIN(I59,2),IF(D59="город респ. значения",1,IF(D59="областной центр",1,1.5)))</f>
        <v>1.0274</v>
      </c>
      <c r="K59" s="34" t="n">
        <v>1.0125</v>
      </c>
      <c r="L59" s="35" t="n">
        <f aca="false">J59-K59</f>
        <v>0.0149000000000001</v>
      </c>
      <c r="M59" s="36" t="n">
        <f aca="false">IF(D59="город респ. значения","",H59)</f>
        <v>186.875970380987</v>
      </c>
      <c r="N59" s="37" t="n">
        <f aca="false">IF(D59="город респ. значения","",G59)</f>
        <v>375531</v>
      </c>
    </row>
    <row r="60" customFormat="false" ht="15" hidden="false" customHeight="false" outlineLevel="0" collapsed="false">
      <c r="A60" s="20" t="s">
        <v>102</v>
      </c>
      <c r="B60" s="20" t="s">
        <v>9</v>
      </c>
      <c r="C60" s="20" t="s">
        <v>331</v>
      </c>
      <c r="D60" s="31" t="s">
        <v>280</v>
      </c>
      <c r="E60" s="32" t="n">
        <f aca="false">SUMIFS('Площадь МСХ'!$D:$D,'Площадь МСХ'!$E:$E,A60)</f>
        <v>711.937</v>
      </c>
      <c r="F60" s="32" t="n">
        <f aca="false">E60*10</f>
        <v>7119.37</v>
      </c>
      <c r="G60" s="21" t="n">
        <f aca="false">SUMIFS('РПН по МО'!$E:$E,'РПН по МО'!$F:$F,A60)</f>
        <v>26041</v>
      </c>
      <c r="H60" s="25" t="n">
        <f aca="false">IF(G60&gt;0,G60/F60,"")</f>
        <v>3.65776747099814</v>
      </c>
      <c r="I60" s="22" t="n">
        <f aca="false">IF(G60&gt;0,ROUND(1+$I$3*$I$4/H60,4),"")</f>
        <v>2.4022</v>
      </c>
      <c r="J60" s="33" t="n">
        <f aca="false">IF(D60="район",MIN(I60,2),IF(D60="город респ. значения",1,IF(D60="областной центр",1,1.5)))</f>
        <v>2</v>
      </c>
      <c r="K60" s="34" t="n">
        <v>1.5018</v>
      </c>
      <c r="L60" s="35" t="n">
        <f aca="false">J60-K60</f>
        <v>0.4982</v>
      </c>
      <c r="M60" s="36" t="n">
        <f aca="false">IF(D60="город респ. значения","",H60)</f>
        <v>3.65776747099814</v>
      </c>
      <c r="N60" s="37" t="n">
        <f aca="false">IF(D60="город респ. значения","",G60)</f>
        <v>26041</v>
      </c>
    </row>
    <row r="61" customFormat="false" ht="15" hidden="false" customHeight="false" outlineLevel="0" collapsed="false">
      <c r="A61" s="20" t="s">
        <v>103</v>
      </c>
      <c r="B61" s="20" t="s">
        <v>9</v>
      </c>
      <c r="C61" s="20" t="s">
        <v>332</v>
      </c>
      <c r="D61" s="31" t="s">
        <v>280</v>
      </c>
      <c r="E61" s="32" t="n">
        <f aca="false">SUMIFS('Площадь МСХ'!$D:$D,'Площадь МСХ'!$E:$E,A61)</f>
        <v>353.274</v>
      </c>
      <c r="F61" s="32" t="n">
        <f aca="false">E61*10</f>
        <v>3532.74</v>
      </c>
      <c r="G61" s="21" t="n">
        <f aca="false">SUMIFS('РПН по МО'!$E:$E,'РПН по МО'!$F:$F,A61)</f>
        <v>300155</v>
      </c>
      <c r="H61" s="25" t="n">
        <f aca="false">IF(G61&gt;0,G61/F61,"")</f>
        <v>84.9637958072205</v>
      </c>
      <c r="I61" s="22" t="n">
        <f aca="false">IF(G61&gt;0,ROUND(1+$I$3*$I$4/H61,4),"")</f>
        <v>1.0604</v>
      </c>
      <c r="J61" s="33" t="n">
        <f aca="false">IF(D61="район",MIN(I61,2),IF(D61="город респ. значения",1,IF(D61="областной центр",1,1.5)))</f>
        <v>1.0604</v>
      </c>
      <c r="K61" s="34" t="n">
        <v>1.0307</v>
      </c>
      <c r="L61" s="35" t="n">
        <f aca="false">J61-K61</f>
        <v>0.0297000000000001</v>
      </c>
      <c r="M61" s="36" t="n">
        <f aca="false">IF(D61="город респ. значения","",H61)</f>
        <v>84.9637958072205</v>
      </c>
      <c r="N61" s="37" t="n">
        <f aca="false">IF(D61="город респ. значения","",G61)</f>
        <v>300155</v>
      </c>
    </row>
    <row r="62" customFormat="false" ht="15" hidden="false" customHeight="false" outlineLevel="0" collapsed="false">
      <c r="A62" s="20" t="s">
        <v>104</v>
      </c>
      <c r="B62" s="20" t="s">
        <v>9</v>
      </c>
      <c r="C62" s="20" t="s">
        <v>333</v>
      </c>
      <c r="D62" s="31" t="s">
        <v>280</v>
      </c>
      <c r="E62" s="32" t="n">
        <f aca="false">SUMIFS('Площадь МСХ'!$D:$D,'Площадь МСХ'!$E:$E,A62)</f>
        <v>875.752</v>
      </c>
      <c r="F62" s="32" t="n">
        <f aca="false">E62*10</f>
        <v>8757.52</v>
      </c>
      <c r="G62" s="21" t="n">
        <f aca="false">SUMIFS('РПН по МО'!$E:$E,'РПН по МО'!$F:$F,A62)</f>
        <v>52577</v>
      </c>
      <c r="H62" s="25" t="n">
        <f aca="false">IF(G62&gt;0,G62/F62,"")</f>
        <v>6.00364029999361</v>
      </c>
      <c r="I62" s="22" t="n">
        <f aca="false">IF(G62&gt;0,ROUND(1+$I$3*$I$4/H62,4),"")</f>
        <v>1.8543</v>
      </c>
      <c r="J62" s="33" t="n">
        <f aca="false">IF(D62="район",MIN(I62,2),IF(D62="город респ. значения",1,IF(D62="областной центр",1,1.5)))</f>
        <v>1.8543</v>
      </c>
      <c r="K62" s="34" t="n">
        <v>1.2852</v>
      </c>
      <c r="L62" s="35" t="n">
        <f aca="false">J62-K62</f>
        <v>0.5691</v>
      </c>
      <c r="M62" s="36" t="n">
        <f aca="false">IF(D62="город респ. значения","",H62)</f>
        <v>6.00364029999361</v>
      </c>
      <c r="N62" s="37" t="n">
        <f aca="false">IF(D62="город респ. значения","",G62)</f>
        <v>52577</v>
      </c>
    </row>
    <row r="63" customFormat="false" ht="15" hidden="false" customHeight="false" outlineLevel="0" collapsed="false">
      <c r="A63" s="20" t="s">
        <v>105</v>
      </c>
      <c r="B63" s="20" t="s">
        <v>9</v>
      </c>
      <c r="C63" s="20" t="s">
        <v>334</v>
      </c>
      <c r="D63" s="31" t="s">
        <v>280</v>
      </c>
      <c r="E63" s="32" t="n">
        <f aca="false">SUMIFS('Площадь МСХ'!$D:$D,'Площадь МСХ'!$E:$E,A63)</f>
        <v>714.698</v>
      </c>
      <c r="F63" s="32" t="n">
        <f aca="false">E63*10</f>
        <v>7146.98</v>
      </c>
      <c r="G63" s="21" t="n">
        <f aca="false">SUMIFS('РПН по МО'!$E:$E,'РПН по МО'!$F:$F,A63)</f>
        <v>279146</v>
      </c>
      <c r="H63" s="25" t="n">
        <f aca="false">IF(G63&gt;0,G63/F63,"")</f>
        <v>39.0578957825543</v>
      </c>
      <c r="I63" s="22" t="n">
        <f aca="false">IF(G63&gt;0,ROUND(1+$I$3*$I$4/H63,4),"")</f>
        <v>1.1313</v>
      </c>
      <c r="J63" s="33" t="n">
        <f aca="false">IF(D63="район",MIN(I63,2),IF(D63="город респ. значения",1,IF(D63="областной центр",1,1.5)))</f>
        <v>1.1313</v>
      </c>
      <c r="K63" s="34" t="n">
        <v>1.0598</v>
      </c>
      <c r="L63" s="35" t="n">
        <f aca="false">J63-K63</f>
        <v>0.0714999999999999</v>
      </c>
      <c r="M63" s="36" t="n">
        <f aca="false">IF(D63="город респ. значения","",H63)</f>
        <v>39.0578957825543</v>
      </c>
      <c r="N63" s="37" t="n">
        <f aca="false">IF(D63="город респ. значения","",G63)</f>
        <v>279146</v>
      </c>
    </row>
    <row r="64" customFormat="false" ht="15" hidden="false" customHeight="false" outlineLevel="0" collapsed="false">
      <c r="A64" s="20" t="s">
        <v>106</v>
      </c>
      <c r="B64" s="20" t="s">
        <v>10</v>
      </c>
      <c r="C64" s="20" t="s">
        <v>335</v>
      </c>
      <c r="D64" s="31" t="s">
        <v>276</v>
      </c>
      <c r="E64" s="32" t="n">
        <f aca="false">SUMIFS('Площадь МСХ'!$D:$D,'Площадь МСХ'!$E:$E,A64)</f>
        <v>383.784</v>
      </c>
      <c r="F64" s="32" t="n">
        <f aca="false">E64*10</f>
        <v>3837.84</v>
      </c>
      <c r="G64" s="21" t="n">
        <f aca="false">SUMIFS('РПН по МО'!$E:$E,'РПН по МО'!$F:$F,A64)</f>
        <v>456942</v>
      </c>
      <c r="H64" s="25" t="n">
        <f aca="false">IF(G64&gt;0,G64/F64,"")</f>
        <v>119.062285035332</v>
      </c>
      <c r="I64" s="22" t="n">
        <f aca="false">IF(G64&gt;0,ROUND(1+$I$3*$I$4/H64,4),"")</f>
        <v>1.0431</v>
      </c>
      <c r="J64" s="33" t="n">
        <f aca="false">IF(D64="район",MIN(I64,2),IF(D64="город респ. значения",1,IF(D64="областной центр",1,1.5)))</f>
        <v>1</v>
      </c>
      <c r="K64" s="34" t="n">
        <v>1</v>
      </c>
      <c r="L64" s="35" t="n">
        <f aca="false">J64-K64</f>
        <v>0</v>
      </c>
      <c r="M64" s="36" t="n">
        <f aca="false">IF(D64="город респ. значения","",H64)</f>
        <v>119.062285035332</v>
      </c>
      <c r="N64" s="37" t="n">
        <f aca="false">IF(D64="город респ. значения","",G64)</f>
        <v>456942</v>
      </c>
    </row>
    <row r="65" customFormat="false" ht="15" hidden="false" customHeight="false" outlineLevel="0" collapsed="false">
      <c r="A65" s="20" t="s">
        <v>107</v>
      </c>
      <c r="B65" s="20" t="s">
        <v>10</v>
      </c>
      <c r="C65" s="20" t="s">
        <v>336</v>
      </c>
      <c r="D65" s="31" t="s">
        <v>280</v>
      </c>
      <c r="E65" s="32" t="n">
        <f aca="false">SUMIFS('Площадь МСХ'!$D:$D,'Площадь МСХ'!$E:$E,A65)</f>
        <v>2935.252</v>
      </c>
      <c r="F65" s="32" t="n">
        <f aca="false">E65*10</f>
        <v>29352.52</v>
      </c>
      <c r="G65" s="21" t="n">
        <f aca="false">SUMIFS('РПН по МО'!$E:$E,'РПН по МО'!$F:$F,A65)</f>
        <v>70414</v>
      </c>
      <c r="H65" s="25" t="n">
        <f aca="false">IF(G65&gt;0,G65/F65,"")</f>
        <v>2.39890816870238</v>
      </c>
      <c r="I65" s="22" t="n">
        <f aca="false">IF(G65&gt;0,ROUND(1+$I$3*$I$4/H65,4),"")</f>
        <v>3.1381</v>
      </c>
      <c r="J65" s="33" t="n">
        <f aca="false">IF(D65="район",MIN(I65,2),IF(D65="город респ. значения",1,IF(D65="областной центр",1,1.5)))</f>
        <v>2</v>
      </c>
      <c r="K65" s="34" t="n">
        <v>2</v>
      </c>
      <c r="L65" s="35" t="n">
        <f aca="false">J65-K65</f>
        <v>0</v>
      </c>
      <c r="M65" s="36" t="n">
        <f aca="false">IF(D65="город респ. значения","",H65)</f>
        <v>2.39890816870238</v>
      </c>
      <c r="N65" s="37" t="n">
        <f aca="false">IF(D65="город респ. значения","",G65)</f>
        <v>70414</v>
      </c>
    </row>
    <row r="66" customFormat="false" ht="15" hidden="false" customHeight="false" outlineLevel="0" collapsed="false">
      <c r="A66" s="20" t="s">
        <v>108</v>
      </c>
      <c r="B66" s="20" t="s">
        <v>10</v>
      </c>
      <c r="C66" s="20" t="s">
        <v>337</v>
      </c>
      <c r="D66" s="31" t="s">
        <v>280</v>
      </c>
      <c r="E66" s="32" t="n">
        <f aca="false">SUMIFS('Площадь МСХ'!$D:$D,'Площадь МСХ'!$E:$E,A66)</f>
        <v>1087.08</v>
      </c>
      <c r="F66" s="32" t="n">
        <f aca="false">E66*10</f>
        <v>10870.8</v>
      </c>
      <c r="G66" s="21" t="n">
        <f aca="false">SUMIFS('РПН по МО'!$E:$E,'РПН по МО'!$F:$F,A66)</f>
        <v>29219</v>
      </c>
      <c r="H66" s="25" t="n">
        <f aca="false">IF(G66&gt;0,G66/F66,"")</f>
        <v>2.6878426610737</v>
      </c>
      <c r="I66" s="22" t="n">
        <f aca="false">IF(G66&gt;0,ROUND(1+$I$3*$I$4/H66,4),"")</f>
        <v>2.9082</v>
      </c>
      <c r="J66" s="33" t="n">
        <f aca="false">IF(D66="район",MIN(I66,2),IF(D66="город респ. значения",1,IF(D66="областной центр",1,1.5)))</f>
        <v>2</v>
      </c>
      <c r="K66" s="34" t="n">
        <v>1.682</v>
      </c>
      <c r="L66" s="35" t="n">
        <f aca="false">J66-K66</f>
        <v>0.318</v>
      </c>
      <c r="M66" s="36" t="n">
        <f aca="false">IF(D66="город респ. значения","",H66)</f>
        <v>2.6878426610737</v>
      </c>
      <c r="N66" s="37" t="n">
        <f aca="false">IF(D66="город респ. значения","",G66)</f>
        <v>29219</v>
      </c>
    </row>
    <row r="67" customFormat="false" ht="15" hidden="false" customHeight="false" outlineLevel="0" collapsed="false">
      <c r="A67" s="20" t="s">
        <v>109</v>
      </c>
      <c r="B67" s="20" t="s">
        <v>10</v>
      </c>
      <c r="C67" s="20" t="s">
        <v>338</v>
      </c>
      <c r="D67" s="31" t="s">
        <v>280</v>
      </c>
      <c r="E67" s="32" t="n">
        <f aca="false">SUMIFS('Площадь МСХ'!$D:$D,'Площадь МСХ'!$E:$E,A67)</f>
        <v>1471.551</v>
      </c>
      <c r="F67" s="32" t="n">
        <f aca="false">E67*10</f>
        <v>14715.51</v>
      </c>
      <c r="G67" s="21" t="n">
        <f aca="false">SUMIFS('РПН по МО'!$E:$E,'РПН по МО'!$F:$F,A67)</f>
        <v>23077</v>
      </c>
      <c r="H67" s="25" t="n">
        <f aca="false">IF(G67&gt;0,G67/F67,"")</f>
        <v>1.56820932471929</v>
      </c>
      <c r="I67" s="22" t="n">
        <f aca="false">IF(G67&gt;0,ROUND(1+$I$3*$I$4/H67,4),"")</f>
        <v>4.2706</v>
      </c>
      <c r="J67" s="33" t="n">
        <f aca="false">IF(D67="район",MIN(I67,2),IF(D67="город респ. значения",1,IF(D67="областной центр",1,1.5)))</f>
        <v>2</v>
      </c>
      <c r="K67" s="34" t="n">
        <v>2</v>
      </c>
      <c r="L67" s="35" t="n">
        <f aca="false">J67-K67</f>
        <v>0</v>
      </c>
      <c r="M67" s="36" t="n">
        <f aca="false">IF(D67="город респ. значения","",H67)</f>
        <v>1.56820932471929</v>
      </c>
      <c r="N67" s="37" t="n">
        <f aca="false">IF(D67="город респ. значения","",G67)</f>
        <v>23077</v>
      </c>
    </row>
    <row r="68" customFormat="false" ht="15" hidden="false" customHeight="false" outlineLevel="0" collapsed="false">
      <c r="A68" s="20" t="s">
        <v>110</v>
      </c>
      <c r="B68" s="20" t="s">
        <v>10</v>
      </c>
      <c r="C68" s="20" t="s">
        <v>339</v>
      </c>
      <c r="D68" s="31" t="s">
        <v>280</v>
      </c>
      <c r="E68" s="32" t="n">
        <f aca="false">SUMIFS('Площадь МСХ'!$D:$D,'Площадь МСХ'!$E:$E,A68)</f>
        <v>2086.066</v>
      </c>
      <c r="F68" s="32" t="n">
        <f aca="false">E68*10</f>
        <v>20860.66</v>
      </c>
      <c r="G68" s="21" t="n">
        <f aca="false">SUMIFS('РПН по МО'!$E:$E,'РПН по МО'!$F:$F,A68)</f>
        <v>48087</v>
      </c>
      <c r="H68" s="25" t="n">
        <f aca="false">IF(G68&gt;0,G68/F68,"")</f>
        <v>2.30515237772918</v>
      </c>
      <c r="I68" s="22" t="n">
        <f aca="false">IF(G68&gt;0,ROUND(1+$I$3*$I$4/H68,4),"")</f>
        <v>3.225</v>
      </c>
      <c r="J68" s="33" t="n">
        <f aca="false">IF(D68="район",MIN(I68,2),IF(D68="город респ. значения",1,IF(D68="областной центр",1,1.5)))</f>
        <v>2</v>
      </c>
      <c r="K68" s="34" t="n">
        <v>1.765</v>
      </c>
      <c r="L68" s="35" t="n">
        <f aca="false">J68-K68</f>
        <v>0.235</v>
      </c>
      <c r="M68" s="36" t="n">
        <f aca="false">IF(D68="город респ. значения","",H68)</f>
        <v>2.30515237772918</v>
      </c>
      <c r="N68" s="37" t="n">
        <f aca="false">IF(D68="город респ. значения","",G68)</f>
        <v>48087</v>
      </c>
    </row>
    <row r="69" customFormat="false" ht="15" hidden="false" customHeight="false" outlineLevel="0" collapsed="false">
      <c r="A69" s="20" t="s">
        <v>111</v>
      </c>
      <c r="B69" s="20" t="s">
        <v>10</v>
      </c>
      <c r="C69" s="20" t="s">
        <v>340</v>
      </c>
      <c r="D69" s="31" t="s">
        <v>280</v>
      </c>
      <c r="E69" s="32" t="n">
        <f aca="false">SUMIFS('Площадь МСХ'!$D:$D,'Площадь МСХ'!$E:$E,A69)</f>
        <v>2060.91314</v>
      </c>
      <c r="F69" s="32" t="n">
        <f aca="false">E69*10</f>
        <v>20609.1314</v>
      </c>
      <c r="G69" s="21" t="n">
        <f aca="false">SUMIFS('РПН по МО'!$E:$E,'РПН по МО'!$F:$F,A69)</f>
        <v>27335</v>
      </c>
      <c r="H69" s="25" t="n">
        <f aca="false">IF(G69&gt;0,G69/F69,"")</f>
        <v>1.32635381227178</v>
      </c>
      <c r="I69" s="22" t="n">
        <f aca="false">IF(G69&gt;0,ROUND(1+$I$3*$I$4/H69,4),"")</f>
        <v>4.867</v>
      </c>
      <c r="J69" s="33" t="n">
        <f aca="false">IF(D69="район",MIN(I69,2),IF(D69="город респ. значения",1,IF(D69="областной центр",1,1.5)))</f>
        <v>2</v>
      </c>
      <c r="K69" s="34" t="n">
        <v>2</v>
      </c>
      <c r="L69" s="35" t="n">
        <f aca="false">J69-K69</f>
        <v>0</v>
      </c>
      <c r="M69" s="36" t="n">
        <f aca="false">IF(D69="город респ. значения","",H69)</f>
        <v>1.32635381227178</v>
      </c>
      <c r="N69" s="37" t="n">
        <f aca="false">IF(D69="город респ. значения","",G69)</f>
        <v>27335</v>
      </c>
    </row>
    <row r="70" customFormat="false" ht="15" hidden="false" customHeight="false" outlineLevel="0" collapsed="false">
      <c r="A70" s="20" t="s">
        <v>112</v>
      </c>
      <c r="B70" s="20" t="s">
        <v>10</v>
      </c>
      <c r="C70" s="20" t="s">
        <v>341</v>
      </c>
      <c r="D70" s="31" t="s">
        <v>280</v>
      </c>
      <c r="E70" s="32" t="n">
        <f aca="false">SUMIFS('Площадь МСХ'!$D:$D,'Площадь МСХ'!$E:$E,A70)</f>
        <v>914.98486</v>
      </c>
      <c r="F70" s="32" t="n">
        <f aca="false">E70*10</f>
        <v>9149.8486</v>
      </c>
      <c r="G70" s="21" t="n">
        <f aca="false">SUMIFS('РПН по МО'!$E:$E,'РПН по МО'!$F:$F,A70)</f>
        <v>25645</v>
      </c>
      <c r="H70" s="25" t="n">
        <f aca="false">IF(G70&gt;0,G70/F70,"")</f>
        <v>2.80277861646804</v>
      </c>
      <c r="I70" s="22" t="n">
        <f aca="false">IF(G70&gt;0,ROUND(1+$I$3*$I$4/H70,4),"")</f>
        <v>2.83</v>
      </c>
      <c r="J70" s="33" t="n">
        <f aca="false">IF(D70="район",MIN(I70,2),IF(D70="город респ. значения",1,IF(D70="областной центр",1,1.5)))</f>
        <v>2</v>
      </c>
      <c r="K70" s="34" t="n">
        <v>1.6297</v>
      </c>
      <c r="L70" s="35" t="n">
        <f aca="false">J70-K70</f>
        <v>0.3703</v>
      </c>
      <c r="M70" s="36" t="n">
        <f aca="false">IF(D70="город респ. значения","",H70)</f>
        <v>2.80277861646804</v>
      </c>
      <c r="N70" s="37" t="n">
        <f aca="false">IF(D70="город респ. значения","",G70)</f>
        <v>25645</v>
      </c>
    </row>
    <row r="71" customFormat="false" ht="15" hidden="false" customHeight="false" outlineLevel="0" collapsed="false">
      <c r="A71" s="20" t="s">
        <v>113</v>
      </c>
      <c r="B71" s="20" t="s">
        <v>10</v>
      </c>
      <c r="C71" s="20" t="s">
        <v>342</v>
      </c>
      <c r="D71" s="31" t="s">
        <v>280</v>
      </c>
      <c r="E71" s="32" t="n">
        <f aca="false">SUMIFS('Площадь МСХ'!$D:$D,'Площадь МСХ'!$E:$E,A71)</f>
        <v>923.487</v>
      </c>
      <c r="F71" s="32" t="n">
        <f aca="false">E71*10</f>
        <v>9234.87</v>
      </c>
      <c r="G71" s="21" t="n">
        <f aca="false">SUMIFS('РПН по МО'!$E:$E,'РПН по МО'!$F:$F,A71)</f>
        <v>25087</v>
      </c>
      <c r="H71" s="25" t="n">
        <f aca="false">IF(G71&gt;0,G71/F71,"")</f>
        <v>2.71655150532709</v>
      </c>
      <c r="I71" s="22" t="n">
        <f aca="false">IF(G71&gt;0,ROUND(1+$I$3*$I$4/H71,4),"")</f>
        <v>2.8881</v>
      </c>
      <c r="J71" s="33" t="n">
        <f aca="false">IF(D71="район",MIN(I71,2),IF(D71="город респ. значения",1,IF(D71="областной центр",1,1.5)))</f>
        <v>2</v>
      </c>
      <c r="K71" s="34" t="n">
        <v>1.6478</v>
      </c>
      <c r="L71" s="35" t="n">
        <f aca="false">J71-K71</f>
        <v>0.3522</v>
      </c>
      <c r="M71" s="36" t="n">
        <f aca="false">IF(D71="город респ. значения","",H71)</f>
        <v>2.71655150532709</v>
      </c>
      <c r="N71" s="37" t="n">
        <f aca="false">IF(D71="город респ. значения","",G71)</f>
        <v>25087</v>
      </c>
    </row>
    <row r="72" customFormat="false" ht="15" hidden="false" customHeight="false" outlineLevel="0" collapsed="false">
      <c r="A72" s="20" t="s">
        <v>114</v>
      </c>
      <c r="B72" s="20" t="s">
        <v>13</v>
      </c>
      <c r="C72" s="20" t="s">
        <v>343</v>
      </c>
      <c r="D72" s="31" t="s">
        <v>276</v>
      </c>
      <c r="E72" s="32" t="n">
        <f aca="false">SUMIFS('Площадь МСХ'!$D:$D,'Площадь МСХ'!$E:$E,A72)</f>
        <v>71.17</v>
      </c>
      <c r="F72" s="32" t="n">
        <f aca="false">E72*10</f>
        <v>711.7</v>
      </c>
      <c r="G72" s="21" t="n">
        <f aca="false">SUMIFS('РПН по МО'!$E:$E,'РПН по МО'!$F:$F,A72)</f>
        <v>409656</v>
      </c>
      <c r="H72" s="25" t="n">
        <f aca="false">IF(G72&gt;0,G72/F72,"")</f>
        <v>575.602079527891</v>
      </c>
      <c r="I72" s="22" t="n">
        <f aca="false">IF(G72&gt;0,ROUND(1+$I$3*$I$4/H72,4),"")</f>
        <v>1.0089</v>
      </c>
      <c r="J72" s="33" t="n">
        <f aca="false">IF(D72="район",MIN(I72,2),IF(D72="город респ. значения",1,IF(D72="областной центр",1,1.5)))</f>
        <v>1</v>
      </c>
      <c r="K72" s="34" t="n">
        <v>1</v>
      </c>
      <c r="L72" s="35" t="n">
        <f aca="false">J72-K72</f>
        <v>0</v>
      </c>
      <c r="M72" s="36" t="n">
        <f aca="false">IF(D72="город респ. значения","",H72)</f>
        <v>575.602079527891</v>
      </c>
      <c r="N72" s="37" t="n">
        <f aca="false">IF(D72="город респ. значения","",G72)</f>
        <v>409656</v>
      </c>
    </row>
    <row r="73" customFormat="false" ht="15" hidden="false" customHeight="false" outlineLevel="0" collapsed="false">
      <c r="A73" s="20" t="s">
        <v>115</v>
      </c>
      <c r="B73" s="20" t="s">
        <v>13</v>
      </c>
      <c r="C73" s="20" t="s">
        <v>344</v>
      </c>
      <c r="D73" s="31" t="s">
        <v>280</v>
      </c>
      <c r="E73" s="32" t="n">
        <f aca="false">SUMIFS('Площадь МСХ'!$D:$D,'Площадь МСХ'!$E:$E,A73)</f>
        <v>2571.605</v>
      </c>
      <c r="F73" s="32" t="n">
        <f aca="false">E73*10</f>
        <v>25716.05</v>
      </c>
      <c r="G73" s="21" t="n">
        <f aca="false">SUMIFS('РПН по МО'!$E:$E,'РПН по МО'!$F:$F,A73)</f>
        <v>30020</v>
      </c>
      <c r="H73" s="25" t="n">
        <f aca="false">IF(G73&gt;0,G73/F73,"")</f>
        <v>1.1673643502793</v>
      </c>
      <c r="I73" s="22" t="n">
        <f aca="false">IF(G73&gt;0,ROUND(1+$I$3*$I$4/H73,4),"")</f>
        <v>5.3937</v>
      </c>
      <c r="J73" s="33" t="n">
        <f aca="false">IF(D73="район",MIN(I73,2),IF(D73="город респ. значения",1,IF(D73="областной центр",1,1.5)))</f>
        <v>2</v>
      </c>
      <c r="K73" s="34" t="n">
        <v>2</v>
      </c>
      <c r="L73" s="35" t="n">
        <f aca="false">J73-K73</f>
        <v>0</v>
      </c>
      <c r="M73" s="36" t="n">
        <f aca="false">IF(D73="город респ. значения","",H73)</f>
        <v>1.1673643502793</v>
      </c>
      <c r="N73" s="37" t="n">
        <f aca="false">IF(D73="город респ. значения","",G73)</f>
        <v>30020</v>
      </c>
    </row>
    <row r="74" customFormat="false" ht="15" hidden="false" customHeight="false" outlineLevel="0" collapsed="false">
      <c r="A74" s="20" t="s">
        <v>116</v>
      </c>
      <c r="B74" s="20" t="s">
        <v>13</v>
      </c>
      <c r="C74" s="20" t="s">
        <v>345</v>
      </c>
      <c r="D74" s="31" t="s">
        <v>280</v>
      </c>
      <c r="E74" s="32" t="n">
        <f aca="false">SUMIFS('Площадь МСХ'!$D:$D,'Площадь МСХ'!$E:$E,A74)</f>
        <v>556.634</v>
      </c>
      <c r="F74" s="32" t="n">
        <f aca="false">E74*10</f>
        <v>5566.34</v>
      </c>
      <c r="G74" s="21" t="n">
        <f aca="false">SUMIFS('РПН по МО'!$E:$E,'РПН по МО'!$F:$F,A74)</f>
        <v>52903</v>
      </c>
      <c r="H74" s="25" t="n">
        <f aca="false">IF(G74&gt;0,G74/F74,"")</f>
        <v>9.50409065921234</v>
      </c>
      <c r="I74" s="22" t="n">
        <f aca="false">IF(G74&gt;0,ROUND(1+$I$3*$I$4/H74,4),"")</f>
        <v>1.5397</v>
      </c>
      <c r="J74" s="33" t="n">
        <f aca="false">IF(D74="район",MIN(I74,2),IF(D74="город респ. значения",1,IF(D74="областной центр",1,1.5)))</f>
        <v>1.5397</v>
      </c>
      <c r="K74" s="34" t="n">
        <v>1.1977</v>
      </c>
      <c r="L74" s="35" t="n">
        <f aca="false">J74-K74</f>
        <v>0.342</v>
      </c>
      <c r="M74" s="36" t="n">
        <f aca="false">IF(D74="город респ. значения","",H74)</f>
        <v>9.50409065921234</v>
      </c>
      <c r="N74" s="37" t="n">
        <f aca="false">IF(D74="город респ. значения","",G74)</f>
        <v>52903</v>
      </c>
    </row>
    <row r="75" customFormat="false" ht="15" hidden="false" customHeight="false" outlineLevel="0" collapsed="false">
      <c r="A75" s="20" t="s">
        <v>117</v>
      </c>
      <c r="B75" s="20" t="s">
        <v>13</v>
      </c>
      <c r="C75" s="20" t="s">
        <v>346</v>
      </c>
      <c r="D75" s="31" t="s">
        <v>280</v>
      </c>
      <c r="E75" s="32" t="n">
        <f aca="false">SUMIFS('Площадь МСХ'!$D:$D,'Площадь МСХ'!$E:$E,A75)</f>
        <v>2076.073</v>
      </c>
      <c r="F75" s="32" t="n">
        <f aca="false">E75*10</f>
        <v>20760.73</v>
      </c>
      <c r="G75" s="21" t="n">
        <f aca="false">SUMIFS('РПН по МО'!$E:$E,'РПН по МО'!$F:$F,A75)</f>
        <v>19150</v>
      </c>
      <c r="H75" s="25" t="n">
        <f aca="false">IF(G75&gt;0,G75/F75,"")</f>
        <v>0.922414577907424</v>
      </c>
      <c r="I75" s="22" t="n">
        <f aca="false">IF(G75&gt;0,ROUND(1+$I$3*$I$4/H75,4),"")</f>
        <v>6.5604</v>
      </c>
      <c r="J75" s="33" t="n">
        <f aca="false">IF(D75="район",MIN(I75,2),IF(D75="город респ. значения",1,IF(D75="областной центр",1,1.5)))</f>
        <v>2</v>
      </c>
      <c r="K75" s="34" t="n">
        <v>2</v>
      </c>
      <c r="L75" s="35" t="n">
        <f aca="false">J75-K75</f>
        <v>0</v>
      </c>
      <c r="M75" s="36" t="n">
        <f aca="false">IF(D75="город респ. значения","",H75)</f>
        <v>0.922414577907424</v>
      </c>
      <c r="N75" s="37" t="n">
        <f aca="false">IF(D75="город респ. значения","",G75)</f>
        <v>19150</v>
      </c>
    </row>
    <row r="76" customFormat="false" ht="15" hidden="false" customHeight="false" outlineLevel="0" collapsed="false">
      <c r="A76" s="20" t="s">
        <v>118</v>
      </c>
      <c r="B76" s="20" t="s">
        <v>13</v>
      </c>
      <c r="C76" s="20" t="s">
        <v>347</v>
      </c>
      <c r="D76" s="31" t="s">
        <v>280</v>
      </c>
      <c r="E76" s="32" t="n">
        <f aca="false">SUMIFS('Площадь МСХ'!$D:$D,'Площадь МСХ'!$E:$E,A76)</f>
        <v>821.323</v>
      </c>
      <c r="F76" s="32" t="n">
        <f aca="false">E76*10</f>
        <v>8213.23</v>
      </c>
      <c r="G76" s="21" t="n">
        <f aca="false">SUMIFS('РПН по МО'!$E:$E,'РПН по МО'!$F:$F,A76)</f>
        <v>12232</v>
      </c>
      <c r="H76" s="25" t="n">
        <f aca="false">IF(G76&gt;0,G76/F76,"")</f>
        <v>1.48930445147646</v>
      </c>
      <c r="I76" s="22" t="n">
        <f aca="false">IF(G76&gt;0,ROUND(1+$I$3*$I$4/H76,4),"")</f>
        <v>4.4439</v>
      </c>
      <c r="J76" s="33" t="n">
        <f aca="false">IF(D76="район",MIN(I76,2),IF(D76="город респ. значения",1,IF(D76="областной центр",1,1.5)))</f>
        <v>2</v>
      </c>
      <c r="K76" s="34" t="n">
        <v>2</v>
      </c>
      <c r="L76" s="35" t="n">
        <f aca="false">J76-K76</f>
        <v>0</v>
      </c>
      <c r="M76" s="36" t="n">
        <f aca="false">IF(D76="город респ. значения","",H76)</f>
        <v>1.48930445147646</v>
      </c>
      <c r="N76" s="37" t="n">
        <f aca="false">IF(D76="город респ. значения","",G76)</f>
        <v>12232</v>
      </c>
    </row>
    <row r="77" customFormat="false" ht="15" hidden="false" customHeight="false" outlineLevel="0" collapsed="false">
      <c r="A77" s="20" t="s">
        <v>119</v>
      </c>
      <c r="B77" s="20" t="s">
        <v>13</v>
      </c>
      <c r="C77" s="20" t="s">
        <v>348</v>
      </c>
      <c r="D77" s="31" t="s">
        <v>280</v>
      </c>
      <c r="E77" s="32" t="n">
        <f aca="false">SUMIFS('Площадь МСХ'!$D:$D,'Площадь МСХ'!$E:$E,A77)</f>
        <v>742.133</v>
      </c>
      <c r="F77" s="32" t="n">
        <f aca="false">E77*10</f>
        <v>7421.33</v>
      </c>
      <c r="G77" s="21" t="n">
        <f aca="false">SUMIFS('РПН по МО'!$E:$E,'РПН по МО'!$F:$F,A77)</f>
        <v>46791</v>
      </c>
      <c r="H77" s="25" t="n">
        <f aca="false">IF(G77&gt;0,G77/F77,"")</f>
        <v>6.30493456024729</v>
      </c>
      <c r="I77" s="22" t="n">
        <f aca="false">IF(G77&gt;0,ROUND(1+$I$3*$I$4/H77,4),"")</f>
        <v>1.8135</v>
      </c>
      <c r="J77" s="33" t="n">
        <f aca="false">IF(D77="район",MIN(I77,2),IF(D77="город респ. значения",1,IF(D77="областной центр",1,1.5)))</f>
        <v>1.8135</v>
      </c>
      <c r="K77" s="34" t="n">
        <v>1.2521</v>
      </c>
      <c r="L77" s="35" t="n">
        <f aca="false">J77-K77</f>
        <v>0.5614</v>
      </c>
      <c r="M77" s="36" t="n">
        <f aca="false">IF(D77="город респ. значения","",H77)</f>
        <v>6.30493456024729</v>
      </c>
      <c r="N77" s="37" t="n">
        <f aca="false">IF(D77="город респ. значения","",G77)</f>
        <v>46791</v>
      </c>
    </row>
    <row r="78" customFormat="false" ht="15" hidden="false" customHeight="false" outlineLevel="0" collapsed="false">
      <c r="A78" s="20" t="s">
        <v>120</v>
      </c>
      <c r="B78" s="20" t="s">
        <v>13</v>
      </c>
      <c r="C78" s="20" t="s">
        <v>349</v>
      </c>
      <c r="D78" s="31" t="s">
        <v>280</v>
      </c>
      <c r="E78" s="32" t="n">
        <f aca="false">SUMIFS('Площадь МСХ'!$D:$D,'Площадь МСХ'!$E:$E,A78)</f>
        <v>1860.581</v>
      </c>
      <c r="F78" s="32" t="n">
        <f aca="false">E78*10</f>
        <v>18605.81</v>
      </c>
      <c r="G78" s="21" t="n">
        <f aca="false">SUMIFS('РПН по МО'!$E:$E,'РПН по МО'!$F:$F,A78)</f>
        <v>23846</v>
      </c>
      <c r="H78" s="25" t="n">
        <f aca="false">IF(G78&gt;0,G78/F78,"")</f>
        <v>1.28164266968221</v>
      </c>
      <c r="I78" s="22" t="n">
        <f aca="false">IF(G78&gt;0,ROUND(1+$I$3*$I$4/H78,4),"")</f>
        <v>5.0019</v>
      </c>
      <c r="J78" s="33" t="n">
        <f aca="false">IF(D78="район",MIN(I78,2),IF(D78="город респ. значения",1,IF(D78="областной центр",1,1.5)))</f>
        <v>2</v>
      </c>
      <c r="K78" s="34" t="n">
        <v>2</v>
      </c>
      <c r="L78" s="35" t="n">
        <f aca="false">J78-K78</f>
        <v>0</v>
      </c>
      <c r="M78" s="36" t="n">
        <f aca="false">IF(D78="город респ. значения","",H78)</f>
        <v>1.28164266968221</v>
      </c>
      <c r="N78" s="37" t="n">
        <f aca="false">IF(D78="город респ. значения","",G78)</f>
        <v>23846</v>
      </c>
    </row>
    <row r="79" customFormat="false" ht="15" hidden="false" customHeight="false" outlineLevel="0" collapsed="false">
      <c r="A79" s="20" t="s">
        <v>121</v>
      </c>
      <c r="B79" s="20" t="s">
        <v>13</v>
      </c>
      <c r="C79" s="20" t="s">
        <v>350</v>
      </c>
      <c r="D79" s="31" t="s">
        <v>280</v>
      </c>
      <c r="E79" s="32" t="n">
        <f aca="false">SUMIFS('Площадь МСХ'!$D:$D,'Площадь МСХ'!$E:$E,A79)</f>
        <v>997.492</v>
      </c>
      <c r="F79" s="32" t="n">
        <f aca="false">E79*10</f>
        <v>9974.92</v>
      </c>
      <c r="G79" s="21" t="n">
        <f aca="false">SUMIFS('РПН по МО'!$E:$E,'РПН по МО'!$F:$F,A79)</f>
        <v>11388</v>
      </c>
      <c r="H79" s="25" t="n">
        <f aca="false">IF(G79&gt;0,G79/F79,"")</f>
        <v>1.14166329153517</v>
      </c>
      <c r="I79" s="22" t="n">
        <f aca="false">IF(G79&gt;0,ROUND(1+$I$3*$I$4/H79,4),"")</f>
        <v>5.4926</v>
      </c>
      <c r="J79" s="33" t="n">
        <f aca="false">IF(D79="район",MIN(I79,2),IF(D79="город респ. значения",1,IF(D79="областной центр",1,1.5)))</f>
        <v>2</v>
      </c>
      <c r="K79" s="34" t="n">
        <v>2</v>
      </c>
      <c r="L79" s="35" t="n">
        <f aca="false">J79-K79</f>
        <v>0</v>
      </c>
      <c r="M79" s="36" t="n">
        <f aca="false">IF(D79="город респ. значения","",H79)</f>
        <v>1.14166329153517</v>
      </c>
      <c r="N79" s="37" t="n">
        <f aca="false">IF(D79="город респ. значения","",G79)</f>
        <v>11388</v>
      </c>
    </row>
    <row r="80" customFormat="false" ht="15" hidden="false" customHeight="false" outlineLevel="0" collapsed="false">
      <c r="A80" s="20" t="s">
        <v>122</v>
      </c>
      <c r="B80" s="20" t="s">
        <v>13</v>
      </c>
      <c r="C80" s="20" t="s">
        <v>351</v>
      </c>
      <c r="D80" s="31" t="s">
        <v>280</v>
      </c>
      <c r="E80" s="32" t="n">
        <f aca="false">SUMIFS('Площадь МСХ'!$D:$D,'Площадь МСХ'!$E:$E,A80)</f>
        <v>1921.445</v>
      </c>
      <c r="F80" s="32" t="n">
        <f aca="false">E80*10</f>
        <v>19214.45</v>
      </c>
      <c r="G80" s="21" t="n">
        <f aca="false">SUMIFS('РПН по МО'!$E:$E,'РПН по МО'!$F:$F,A80)</f>
        <v>12127</v>
      </c>
      <c r="H80" s="25" t="n">
        <f aca="false">IF(G80&gt;0,G80/F80,"")</f>
        <v>0.631139585051875</v>
      </c>
      <c r="I80" s="22" t="n">
        <f aca="false">IF(G80&gt;0,ROUND(1+$I$3*$I$4/H80,4),"")</f>
        <v>9.1266</v>
      </c>
      <c r="J80" s="33" t="n">
        <f aca="false">IF(D80="район",MIN(I80,2),IF(D80="город респ. значения",1,IF(D80="областной центр",1,1.5)))</f>
        <v>2</v>
      </c>
      <c r="K80" s="34" t="n">
        <v>2</v>
      </c>
      <c r="L80" s="35" t="n">
        <f aca="false">J80-K80</f>
        <v>0</v>
      </c>
      <c r="M80" s="36" t="n">
        <f aca="false">IF(D80="город респ. значения","",H80)</f>
        <v>0.631139585051875</v>
      </c>
      <c r="N80" s="37" t="n">
        <f aca="false">IF(D80="город респ. значения","",G80)</f>
        <v>12127</v>
      </c>
    </row>
    <row r="81" customFormat="false" ht="15" hidden="false" customHeight="false" outlineLevel="0" collapsed="false">
      <c r="A81" s="20" t="s">
        <v>123</v>
      </c>
      <c r="B81" s="20" t="s">
        <v>13</v>
      </c>
      <c r="C81" s="20" t="s">
        <v>352</v>
      </c>
      <c r="D81" s="31" t="s">
        <v>280</v>
      </c>
      <c r="E81" s="32" t="n">
        <f aca="false">SUMIFS('Площадь МСХ'!$D:$D,'Площадь МСХ'!$E:$E,A81)</f>
        <v>1188.843</v>
      </c>
      <c r="F81" s="32" t="n">
        <f aca="false">E81*10</f>
        <v>11888.43</v>
      </c>
      <c r="G81" s="21" t="n">
        <f aca="false">SUMIFS('РПН по МО'!$E:$E,'РПН по МО'!$F:$F,A81)</f>
        <v>15005</v>
      </c>
      <c r="H81" s="25" t="n">
        <f aca="false">IF(G81&gt;0,G81/F81,"")</f>
        <v>1.26215152042784</v>
      </c>
      <c r="I81" s="22" t="n">
        <f aca="false">IF(G81&gt;0,ROUND(1+$I$3*$I$4/H81,4),"")</f>
        <v>5.0637</v>
      </c>
      <c r="J81" s="33" t="n">
        <f aca="false">IF(D81="район",MIN(I81,2),IF(D81="город респ. значения",1,IF(D81="областной центр",1,1.5)))</f>
        <v>2</v>
      </c>
      <c r="K81" s="34" t="n">
        <v>2</v>
      </c>
      <c r="L81" s="35" t="n">
        <f aca="false">J81-K81</f>
        <v>0</v>
      </c>
      <c r="M81" s="36" t="n">
        <f aca="false">IF(D81="город респ. значения","",H81)</f>
        <v>1.26215152042784</v>
      </c>
      <c r="N81" s="37" t="n">
        <f aca="false">IF(D81="город респ. значения","",G81)</f>
        <v>15005</v>
      </c>
    </row>
    <row r="82" customFormat="false" ht="15" hidden="false" customHeight="false" outlineLevel="0" collapsed="false">
      <c r="A82" s="20" t="s">
        <v>124</v>
      </c>
      <c r="B82" s="20" t="s">
        <v>13</v>
      </c>
      <c r="C82" s="20" t="s">
        <v>353</v>
      </c>
      <c r="D82" s="31" t="s">
        <v>280</v>
      </c>
      <c r="E82" s="32" t="n">
        <f aca="false">SUMIFS('Площадь МСХ'!$D:$D,'Площадь МСХ'!$E:$E,A82)</f>
        <v>806.805</v>
      </c>
      <c r="F82" s="32" t="n">
        <f aca="false">E82*10</f>
        <v>8068.05</v>
      </c>
      <c r="G82" s="21" t="n">
        <f aca="false">SUMIFS('РПН по МО'!$E:$E,'РПН по МО'!$F:$F,A82)</f>
        <v>14148</v>
      </c>
      <c r="H82" s="25" t="n">
        <f aca="false">IF(G82&gt;0,G82/F82,"")</f>
        <v>1.75358357967539</v>
      </c>
      <c r="I82" s="22" t="n">
        <f aca="false">IF(G82&gt;0,ROUND(1+$I$3*$I$4/H82,4),"")</f>
        <v>3.9249</v>
      </c>
      <c r="J82" s="33" t="n">
        <f aca="false">IF(D82="район",MIN(I82,2),IF(D82="город респ. значения",1,IF(D82="областной центр",1,1.5)))</f>
        <v>2</v>
      </c>
      <c r="K82" s="34" t="n">
        <v>2</v>
      </c>
      <c r="L82" s="35" t="n">
        <f aca="false">J82-K82</f>
        <v>0</v>
      </c>
      <c r="M82" s="36" t="n">
        <f aca="false">IF(D82="город респ. значения","",H82)</f>
        <v>1.75358357967539</v>
      </c>
      <c r="N82" s="37" t="n">
        <f aca="false">IF(D82="город респ. значения","",G82)</f>
        <v>14148</v>
      </c>
    </row>
    <row r="83" customFormat="false" ht="15" hidden="false" customHeight="false" outlineLevel="0" collapsed="false">
      <c r="A83" s="20" t="s">
        <v>125</v>
      </c>
      <c r="B83" s="20" t="s">
        <v>13</v>
      </c>
      <c r="C83" s="20" t="s">
        <v>354</v>
      </c>
      <c r="D83" s="31" t="s">
        <v>280</v>
      </c>
      <c r="E83" s="32" t="n">
        <f aca="false">SUMIFS('Площадь МСХ'!$D:$D,'Площадь МСХ'!$E:$E,A83)</f>
        <v>796.757</v>
      </c>
      <c r="F83" s="32" t="n">
        <f aca="false">E83*10</f>
        <v>7967.57</v>
      </c>
      <c r="G83" s="21" t="n">
        <f aca="false">SUMIFS('РПН по МО'!$E:$E,'РПН по МО'!$F:$F,A83)</f>
        <v>33518</v>
      </c>
      <c r="H83" s="25" t="n">
        <f aca="false">IF(G83&gt;0,G83/F83,"")</f>
        <v>4.20680332899491</v>
      </c>
      <c r="I83" s="22" t="n">
        <f aca="false">IF(G83&gt;0,ROUND(1+$I$3*$I$4/H83,4),"")</f>
        <v>2.2192</v>
      </c>
      <c r="J83" s="33" t="n">
        <f aca="false">IF(D83="район",MIN(I83,2),IF(D83="город респ. значения",1,IF(D83="областной центр",1,1.5)))</f>
        <v>2</v>
      </c>
      <c r="K83" s="34" t="n">
        <v>1.4162</v>
      </c>
      <c r="L83" s="35" t="n">
        <f aca="false">J83-K83</f>
        <v>0.5838</v>
      </c>
      <c r="M83" s="36" t="n">
        <f aca="false">IF(D83="город респ. значения","",H83)</f>
        <v>4.20680332899491</v>
      </c>
      <c r="N83" s="37" t="n">
        <f aca="false">IF(D83="город респ. значения","",G83)</f>
        <v>33518</v>
      </c>
    </row>
    <row r="84" customFormat="false" ht="15" hidden="false" customHeight="false" outlineLevel="0" collapsed="false">
      <c r="A84" s="20" t="s">
        <v>126</v>
      </c>
      <c r="B84" s="20" t="s">
        <v>13</v>
      </c>
      <c r="C84" s="20" t="s">
        <v>355</v>
      </c>
      <c r="D84" s="31" t="s">
        <v>280</v>
      </c>
      <c r="E84" s="32" t="n">
        <f aca="false">SUMIFS('Площадь МСХ'!$D:$D,'Площадь МСХ'!$E:$E,A84)</f>
        <v>722.989</v>
      </c>
      <c r="F84" s="32" t="n">
        <f aca="false">E84*10</f>
        <v>7229.89</v>
      </c>
      <c r="G84" s="21" t="n">
        <f aca="false">SUMIFS('РПН по МО'!$E:$E,'РПН по МО'!$F:$F,A84)</f>
        <v>11189</v>
      </c>
      <c r="H84" s="25" t="n">
        <f aca="false">IF(G84&gt;0,G84/F84,"")</f>
        <v>1.54760307556547</v>
      </c>
      <c r="I84" s="22" t="n">
        <f aca="false">IF(G84&gt;0,ROUND(1+$I$3*$I$4/H84,4),"")</f>
        <v>4.3142</v>
      </c>
      <c r="J84" s="33" t="n">
        <f aca="false">IF(D84="район",MIN(I84,2),IF(D84="город респ. значения",1,IF(D84="областной центр",1,1.5)))</f>
        <v>2</v>
      </c>
      <c r="K84" s="34" t="n">
        <v>2</v>
      </c>
      <c r="L84" s="35" t="n">
        <f aca="false">J84-K84</f>
        <v>0</v>
      </c>
      <c r="M84" s="36" t="n">
        <f aca="false">IF(D84="город респ. значения","",H84)</f>
        <v>1.54760307556547</v>
      </c>
      <c r="N84" s="37" t="n">
        <f aca="false">IF(D84="город респ. значения","",G84)</f>
        <v>11189</v>
      </c>
    </row>
    <row r="85" customFormat="false" ht="15" hidden="false" customHeight="false" outlineLevel="0" collapsed="false">
      <c r="A85" s="20" t="s">
        <v>127</v>
      </c>
      <c r="B85" s="20" t="s">
        <v>12</v>
      </c>
      <c r="C85" s="20" t="s">
        <v>356</v>
      </c>
      <c r="D85" s="31" t="s">
        <v>276</v>
      </c>
      <c r="E85" s="32" t="n">
        <f aca="false">SUMIFS('Площадь МСХ'!$D:$D,'Площадь МСХ'!$E:$E,A85)</f>
        <v>18.7868</v>
      </c>
      <c r="F85" s="32" t="n">
        <f aca="false">E85*10</f>
        <v>187.868</v>
      </c>
      <c r="G85" s="21" t="n">
        <f aca="false">SUMIFS('РПН по МО'!$E:$E,'РПН по МО'!$F:$F,A85)</f>
        <v>523149</v>
      </c>
      <c r="H85" s="25" t="n">
        <f aca="false">IF(G85&gt;0,G85/F85,"")</f>
        <v>2784.66263546746</v>
      </c>
      <c r="I85" s="22" t="n">
        <f aca="false">IF(G85&gt;0,ROUND(1+$I$3*$I$4/H85,4),"")</f>
        <v>1.0018</v>
      </c>
      <c r="J85" s="33" t="n">
        <f aca="false">IF(D85="район",MIN(I85,2),IF(D85="город респ. значения",1,IF(D85="областной центр",1,1.5)))</f>
        <v>1</v>
      </c>
      <c r="K85" s="34" t="n">
        <v>1</v>
      </c>
      <c r="L85" s="35" t="n">
        <f aca="false">J85-K85</f>
        <v>0</v>
      </c>
      <c r="M85" s="36" t="n">
        <f aca="false">IF(D85="город респ. значения","",H85)</f>
        <v>2784.66263546746</v>
      </c>
      <c r="N85" s="37" t="n">
        <f aca="false">IF(D85="город респ. значения","",G85)</f>
        <v>523149</v>
      </c>
    </row>
    <row r="86" customFormat="false" ht="15" hidden="false" customHeight="false" outlineLevel="0" collapsed="false">
      <c r="A86" s="20" t="s">
        <v>128</v>
      </c>
      <c r="B86" s="20" t="s">
        <v>12</v>
      </c>
      <c r="C86" s="20" t="s">
        <v>357</v>
      </c>
      <c r="D86" s="31" t="s">
        <v>280</v>
      </c>
      <c r="E86" s="32" t="n">
        <f aca="false">SUMIFS('Площадь МСХ'!$D:$D,'Площадь МСХ'!$E:$E,A86)</f>
        <v>446.38497</v>
      </c>
      <c r="F86" s="32" t="n">
        <f aca="false">E86*10</f>
        <v>4463.8497</v>
      </c>
      <c r="G86" s="21" t="n">
        <f aca="false">SUMIFS('РПН по МО'!$E:$E,'РПН по МО'!$F:$F,A86)</f>
        <v>83142</v>
      </c>
      <c r="H86" s="25" t="n">
        <f aca="false">IF(G86&gt;0,G86/F86,"")</f>
        <v>18.6256271128484</v>
      </c>
      <c r="I86" s="22" t="n">
        <f aca="false">IF(G86&gt;0,ROUND(1+$I$3*$I$4/H86,4),"")</f>
        <v>1.2754</v>
      </c>
      <c r="J86" s="33" t="n">
        <f aca="false">IF(D86="район",MIN(I86,2),IF(D86="город респ. значения",1,IF(D86="областной центр",1,1.5)))</f>
        <v>1.2754</v>
      </c>
      <c r="K86" s="34" t="n">
        <v>1.0874</v>
      </c>
      <c r="L86" s="35" t="n">
        <f aca="false">J86-K86</f>
        <v>0.188</v>
      </c>
      <c r="M86" s="36" t="n">
        <f aca="false">IF(D86="город респ. значения","",H86)</f>
        <v>18.6256271128484</v>
      </c>
      <c r="N86" s="37" t="n">
        <f aca="false">IF(D86="город респ. значения","",G86)</f>
        <v>83142</v>
      </c>
    </row>
    <row r="87" customFormat="false" ht="15" hidden="false" customHeight="false" outlineLevel="0" collapsed="false">
      <c r="A87" s="20" t="s">
        <v>129</v>
      </c>
      <c r="B87" s="20" t="s">
        <v>12</v>
      </c>
      <c r="C87" s="20" t="s">
        <v>328</v>
      </c>
      <c r="D87" s="31" t="s">
        <v>280</v>
      </c>
      <c r="E87" s="32" t="n">
        <f aca="false">SUMIFS('Площадь МСХ'!$D:$D,'Площадь МСХ'!$E:$E,A87)</f>
        <v>430.95365385</v>
      </c>
      <c r="F87" s="32" t="n">
        <f aca="false">E87*10</f>
        <v>4309.5365385</v>
      </c>
      <c r="G87" s="21" t="n">
        <f aca="false">SUMIFS('РПН по МО'!$E:$E,'РПН по МО'!$F:$F,A87)</f>
        <v>47625</v>
      </c>
      <c r="H87" s="25" t="n">
        <f aca="false">IF(G87&gt;0,G87/F87,"")</f>
        <v>11.0510723309882</v>
      </c>
      <c r="I87" s="22" t="n">
        <f aca="false">IF(G87&gt;0,ROUND(1+$I$3*$I$4/H87,4),"")</f>
        <v>1.4641</v>
      </c>
      <c r="J87" s="33" t="n">
        <f aca="false">IF(D87="район",MIN(I87,2),IF(D87="город респ. значения",1,IF(D87="областной центр",1,1.5)))</f>
        <v>1.4641</v>
      </c>
      <c r="K87" s="34" t="n">
        <v>1.1006</v>
      </c>
      <c r="L87" s="35" t="n">
        <f aca="false">J87-K87</f>
        <v>0.3635</v>
      </c>
      <c r="M87" s="36" t="n">
        <f aca="false">IF(D87="город респ. значения","",H87)</f>
        <v>11.0510723309882</v>
      </c>
      <c r="N87" s="37" t="n">
        <f aca="false">IF(D87="город респ. значения","",G87)</f>
        <v>47625</v>
      </c>
    </row>
    <row r="88" customFormat="false" ht="15" hidden="false" customHeight="false" outlineLevel="0" collapsed="false">
      <c r="A88" s="20" t="s">
        <v>130</v>
      </c>
      <c r="B88" s="20" t="s">
        <v>12</v>
      </c>
      <c r="C88" s="20" t="s">
        <v>358</v>
      </c>
      <c r="D88" s="31" t="s">
        <v>280</v>
      </c>
      <c r="E88" s="32" t="n">
        <f aca="false">SUMIFS('Площадь МСХ'!$D:$D,'Площадь МСХ'!$E:$E,A88)</f>
        <v>413.6979902</v>
      </c>
      <c r="F88" s="32" t="n">
        <f aca="false">E88*10</f>
        <v>4136.979902</v>
      </c>
      <c r="G88" s="21" t="n">
        <f aca="false">SUMIFS('РПН по МО'!$E:$E,'РПН по МО'!$F:$F,A88)</f>
        <v>42997</v>
      </c>
      <c r="H88" s="25" t="n">
        <f aca="false">IF(G88&gt;0,G88/F88,"")</f>
        <v>10.3933306466423</v>
      </c>
      <c r="I88" s="22" t="n">
        <f aca="false">IF(G88&gt;0,ROUND(1+$I$3*$I$4/H88,4),"")</f>
        <v>1.4935</v>
      </c>
      <c r="J88" s="33" t="n">
        <f aca="false">IF(D88="район",MIN(I88,2),IF(D88="город респ. значения",1,IF(D88="областной центр",1,1.5)))</f>
        <v>1.4935</v>
      </c>
      <c r="K88" s="34" t="n">
        <v>1.1545</v>
      </c>
      <c r="L88" s="35" t="n">
        <f aca="false">J88-K88</f>
        <v>0.339</v>
      </c>
      <c r="M88" s="36" t="n">
        <f aca="false">IF(D88="город респ. значения","",H88)</f>
        <v>10.3933306466423</v>
      </c>
      <c r="N88" s="37" t="n">
        <f aca="false">IF(D88="город респ. значения","",G88)</f>
        <v>42997</v>
      </c>
    </row>
    <row r="89" customFormat="false" ht="15" hidden="false" customHeight="false" outlineLevel="0" collapsed="false">
      <c r="A89" s="20" t="s">
        <v>131</v>
      </c>
      <c r="B89" s="20" t="s">
        <v>12</v>
      </c>
      <c r="C89" s="20" t="s">
        <v>359</v>
      </c>
      <c r="D89" s="31" t="s">
        <v>280</v>
      </c>
      <c r="E89" s="32" t="n">
        <f aca="false">SUMIFS('Площадь МСХ'!$D:$D,'Площадь МСХ'!$E:$E,A89)</f>
        <v>898.422</v>
      </c>
      <c r="F89" s="32" t="n">
        <f aca="false">E89*10</f>
        <v>8984.22</v>
      </c>
      <c r="G89" s="21" t="n">
        <f aca="false">SUMIFS('РПН по МО'!$E:$E,'РПН по МО'!$F:$F,A89)</f>
        <v>142751</v>
      </c>
      <c r="H89" s="25" t="n">
        <f aca="false">IF(G89&gt;0,G89/F89,"")</f>
        <v>15.8890810777118</v>
      </c>
      <c r="I89" s="22" t="n">
        <f aca="false">IF(G89&gt;0,ROUND(1+$I$3*$I$4/H89,4),"")</f>
        <v>1.3228</v>
      </c>
      <c r="J89" s="33" t="n">
        <f aca="false">IF(D89="район",MIN(I89,2),IF(D89="город респ. значения",1,IF(D89="областной центр",1,1.5)))</f>
        <v>1.3228</v>
      </c>
      <c r="K89" s="34" t="n">
        <v>1.1166</v>
      </c>
      <c r="L89" s="35" t="n">
        <f aca="false">J89-K89</f>
        <v>0.2062</v>
      </c>
      <c r="M89" s="36" t="n">
        <f aca="false">IF(D89="город респ. значения","",H89)</f>
        <v>15.8890810777118</v>
      </c>
      <c r="N89" s="37" t="n">
        <f aca="false">IF(D89="город респ. значения","",G89)</f>
        <v>142751</v>
      </c>
    </row>
    <row r="90" customFormat="false" ht="15" hidden="false" customHeight="false" outlineLevel="0" collapsed="false">
      <c r="A90" s="20" t="s">
        <v>132</v>
      </c>
      <c r="B90" s="20" t="s">
        <v>12</v>
      </c>
      <c r="C90" s="20" t="s">
        <v>360</v>
      </c>
      <c r="D90" s="31" t="s">
        <v>280</v>
      </c>
      <c r="E90" s="32" t="n">
        <f aca="false">SUMIFS('Площадь МСХ'!$D:$D,'Площадь МСХ'!$E:$E,A90)</f>
        <v>908.6912877196</v>
      </c>
      <c r="F90" s="32" t="n">
        <f aca="false">E90*10</f>
        <v>9086.912877196</v>
      </c>
      <c r="G90" s="21" t="n">
        <f aca="false">SUMIFS('РПН по МО'!$E:$E,'РПН по МО'!$F:$F,A90)</f>
        <v>57783</v>
      </c>
      <c r="H90" s="25" t="n">
        <f aca="false">IF(G90&gt;0,G90/F90,"")</f>
        <v>6.35892527868391</v>
      </c>
      <c r="I90" s="22" t="n">
        <f aca="false">IF(G90&gt;0,ROUND(1+$I$3*$I$4/H90,4),"")</f>
        <v>1.8066</v>
      </c>
      <c r="J90" s="33" t="n">
        <f aca="false">IF(D90="район",MIN(I90,2),IF(D90="город респ. значения",1,IF(D90="областной центр",1,1.5)))</f>
        <v>1.8066</v>
      </c>
      <c r="K90" s="34" t="n">
        <v>1.2769</v>
      </c>
      <c r="L90" s="35" t="n">
        <f aca="false">J90-K90</f>
        <v>0.5297</v>
      </c>
      <c r="M90" s="36" t="n">
        <f aca="false">IF(D90="город респ. значения","",H90)</f>
        <v>6.35892527868391</v>
      </c>
      <c r="N90" s="37" t="n">
        <f aca="false">IF(D90="город респ. значения","",G90)</f>
        <v>57783</v>
      </c>
    </row>
    <row r="91" customFormat="false" ht="15" hidden="false" customHeight="false" outlineLevel="0" collapsed="false">
      <c r="A91" s="20" t="s">
        <v>133</v>
      </c>
      <c r="B91" s="20" t="s">
        <v>12</v>
      </c>
      <c r="C91" s="20" t="s">
        <v>361</v>
      </c>
      <c r="D91" s="31" t="s">
        <v>280</v>
      </c>
      <c r="E91" s="32" t="n">
        <f aca="false">SUMIFS('Площадь МСХ'!$D:$D,'Площадь МСХ'!$E:$E,A91)</f>
        <v>705.69700311</v>
      </c>
      <c r="F91" s="32" t="n">
        <f aca="false">E91*10</f>
        <v>7056.9700311</v>
      </c>
      <c r="G91" s="21" t="n">
        <f aca="false">SUMIFS('РПН по МО'!$E:$E,'РПН по МО'!$F:$F,A91)</f>
        <v>79947</v>
      </c>
      <c r="H91" s="25" t="n">
        <f aca="false">IF(G91&gt;0,G91/F91,"")</f>
        <v>11.3287997040762</v>
      </c>
      <c r="I91" s="22" t="n">
        <f aca="false">IF(G91&gt;0,ROUND(1+$I$3*$I$4/H91,4),"")</f>
        <v>1.4527</v>
      </c>
      <c r="J91" s="33" t="n">
        <f aca="false">IF(D91="район",MIN(I91,2),IF(D91="город респ. значения",1,IF(D91="областной центр",1,1.5)))</f>
        <v>1.4527</v>
      </c>
      <c r="K91" s="34" t="n">
        <v>1.1646</v>
      </c>
      <c r="L91" s="35" t="n">
        <f aca="false">J91-K91</f>
        <v>0.2881</v>
      </c>
      <c r="M91" s="36" t="n">
        <f aca="false">IF(D91="город респ. значения","",H91)</f>
        <v>11.3287997040762</v>
      </c>
      <c r="N91" s="37" t="n">
        <f aca="false">IF(D91="город респ. значения","",G91)</f>
        <v>79947</v>
      </c>
    </row>
    <row r="92" customFormat="false" ht="15" hidden="false" customHeight="false" outlineLevel="0" collapsed="false">
      <c r="A92" s="20" t="s">
        <v>134</v>
      </c>
      <c r="B92" s="20" t="s">
        <v>12</v>
      </c>
      <c r="C92" s="20" t="s">
        <v>362</v>
      </c>
      <c r="D92" s="31" t="s">
        <v>280</v>
      </c>
      <c r="E92" s="32" t="n">
        <f aca="false">SUMIFS('Площадь МСХ'!$D:$D,'Площадь МСХ'!$E:$E,A92)</f>
        <v>5045.071</v>
      </c>
      <c r="F92" s="32" t="n">
        <f aca="false">E92*10</f>
        <v>50450.71</v>
      </c>
      <c r="G92" s="21" t="n">
        <f aca="false">SUMIFS('РПН по МО'!$E:$E,'РПН по МО'!$F:$F,A92)</f>
        <v>23946</v>
      </c>
      <c r="H92" s="25" t="n">
        <f aca="false">IF(G92&gt;0,G92/F92,"")</f>
        <v>0.474641486710494</v>
      </c>
      <c r="I92" s="22" t="n">
        <f aca="false">IF(G92&gt;0,ROUND(1+$I$3*$I$4/H92,4),"")</f>
        <v>11.8061</v>
      </c>
      <c r="J92" s="33" t="n">
        <f aca="false">IF(D92="район",MIN(I92,2),IF(D92="город респ. значения",1,IF(D92="областной центр",1,1.5)))</f>
        <v>2</v>
      </c>
      <c r="K92" s="34" t="n">
        <v>2</v>
      </c>
      <c r="L92" s="35" t="n">
        <f aca="false">J92-K92</f>
        <v>0</v>
      </c>
      <c r="M92" s="36" t="n">
        <f aca="false">IF(D92="город респ. значения","",H92)</f>
        <v>0.474641486710494</v>
      </c>
      <c r="N92" s="37" t="n">
        <f aca="false">IF(D92="город респ. значения","",G92)</f>
        <v>23946</v>
      </c>
    </row>
    <row r="93" customFormat="false" ht="15" hidden="false" customHeight="false" outlineLevel="0" collapsed="false">
      <c r="A93" s="20" t="s">
        <v>135</v>
      </c>
      <c r="B93" s="20" t="s">
        <v>12</v>
      </c>
      <c r="C93" s="20" t="s">
        <v>363</v>
      </c>
      <c r="D93" s="31" t="s">
        <v>280</v>
      </c>
      <c r="E93" s="32" t="n">
        <f aca="false">SUMIFS('Площадь МСХ'!$D:$D,'Площадь МСХ'!$E:$E,A93)</f>
        <v>3136.094</v>
      </c>
      <c r="F93" s="32" t="n">
        <f aca="false">E93*10</f>
        <v>31360.94</v>
      </c>
      <c r="G93" s="21" t="n">
        <f aca="false">SUMIFS('РПН по МО'!$E:$E,'РПН по МО'!$F:$F,A93)</f>
        <v>36960</v>
      </c>
      <c r="H93" s="25" t="n">
        <f aca="false">IF(G93&gt;0,G93/F93,"")</f>
        <v>1.17853610255305</v>
      </c>
      <c r="I93" s="22" t="n">
        <f aca="false">IF(G93&gt;0,ROUND(1+$I$3*$I$4/H93,4),"")</f>
        <v>5.352</v>
      </c>
      <c r="J93" s="33" t="n">
        <f aca="false">IF(D93="район",MIN(I93,2),IF(D93="город респ. значения",1,IF(D93="областной центр",1,1.5)))</f>
        <v>2</v>
      </c>
      <c r="K93" s="34" t="n">
        <v>2</v>
      </c>
      <c r="L93" s="35" t="n">
        <f aca="false">J93-K93</f>
        <v>0</v>
      </c>
      <c r="M93" s="36" t="n">
        <f aca="false">IF(D93="город респ. значения","",H93)</f>
        <v>1.17853610255305</v>
      </c>
      <c r="N93" s="37" t="n">
        <f aca="false">IF(D93="город респ. значения","",G93)</f>
        <v>36960</v>
      </c>
    </row>
    <row r="94" customFormat="false" ht="15" hidden="false" customHeight="false" outlineLevel="0" collapsed="false">
      <c r="A94" s="20" t="s">
        <v>136</v>
      </c>
      <c r="B94" s="20" t="s">
        <v>12</v>
      </c>
      <c r="C94" s="20" t="s">
        <v>364</v>
      </c>
      <c r="D94" s="31" t="s">
        <v>280</v>
      </c>
      <c r="E94" s="32" t="n">
        <f aca="false">SUMIFS('Площадь МСХ'!$D:$D,'Площадь МСХ'!$E:$E,A94)</f>
        <v>1220.561</v>
      </c>
      <c r="F94" s="32" t="n">
        <f aca="false">E94*10</f>
        <v>12205.61</v>
      </c>
      <c r="G94" s="21" t="n">
        <f aca="false">SUMIFS('РПН по МО'!$E:$E,'РПН по МО'!$F:$F,A94)</f>
        <v>38502</v>
      </c>
      <c r="H94" s="25" t="n">
        <f aca="false">IF(G94&gt;0,G94/F94,"")</f>
        <v>3.15445110895728</v>
      </c>
      <c r="I94" s="22" t="n">
        <f aca="false">IF(G94&gt;0,ROUND(1+$I$3*$I$4/H94,4),"")</f>
        <v>2.626</v>
      </c>
      <c r="J94" s="33" t="n">
        <f aca="false">IF(D94="район",MIN(I94,2),IF(D94="город респ. значения",1,IF(D94="областной центр",1,1.5)))</f>
        <v>2</v>
      </c>
      <c r="K94" s="34" t="n">
        <v>1.5121</v>
      </c>
      <c r="L94" s="35" t="n">
        <f aca="false">J94-K94</f>
        <v>0.4879</v>
      </c>
      <c r="M94" s="36" t="n">
        <f aca="false">IF(D94="город респ. значения","",H94)</f>
        <v>3.15445110895728</v>
      </c>
      <c r="N94" s="37" t="n">
        <f aca="false">IF(D94="город респ. значения","",G94)</f>
        <v>38502</v>
      </c>
    </row>
    <row r="95" customFormat="false" ht="15" hidden="false" customHeight="false" outlineLevel="0" collapsed="false">
      <c r="A95" s="20" t="s">
        <v>137</v>
      </c>
      <c r="B95" s="20" t="s">
        <v>12</v>
      </c>
      <c r="C95" s="20" t="s">
        <v>365</v>
      </c>
      <c r="D95" s="31" t="s">
        <v>280</v>
      </c>
      <c r="E95" s="32" t="n">
        <f aca="false">SUMIFS('Площадь МСХ'!$D:$D,'Площадь МСХ'!$E:$E,A95)</f>
        <v>1203.0297992316</v>
      </c>
      <c r="F95" s="32" t="n">
        <f aca="false">E95*10</f>
        <v>12030.297992316</v>
      </c>
      <c r="G95" s="21" t="n">
        <f aca="false">SUMIFS('РПН по МО'!$E:$E,'РПН по МО'!$F:$F,A95)</f>
        <v>94820</v>
      </c>
      <c r="H95" s="25" t="n">
        <f aca="false">IF(G95&gt;0,G95/F95,"")</f>
        <v>7.88176652486609</v>
      </c>
      <c r="I95" s="22" t="n">
        <f aca="false">IF(G95&gt;0,ROUND(1+$I$3*$I$4/H95,4),"")</f>
        <v>1.6507</v>
      </c>
      <c r="J95" s="33" t="n">
        <f aca="false">IF(D95="район",MIN(I95,2),IF(D95="город респ. значения",1,IF(D95="областной центр",1,1.5)))</f>
        <v>1.6507</v>
      </c>
      <c r="K95" s="34" t="n">
        <v>1.2319</v>
      </c>
      <c r="L95" s="35" t="n">
        <f aca="false">J95-K95</f>
        <v>0.4188</v>
      </c>
      <c r="M95" s="36" t="n">
        <f aca="false">IF(D95="город респ. значения","",H95)</f>
        <v>7.88176652486609</v>
      </c>
      <c r="N95" s="37" t="n">
        <f aca="false">IF(D95="город респ. значения","",G95)</f>
        <v>94820</v>
      </c>
    </row>
    <row r="96" customFormat="false" ht="15" hidden="false" customHeight="false" outlineLevel="0" collapsed="false">
      <c r="A96" s="20" t="s">
        <v>138</v>
      </c>
      <c r="B96" s="20" t="s">
        <v>22</v>
      </c>
      <c r="C96" s="20" t="s">
        <v>366</v>
      </c>
      <c r="D96" s="31" t="s">
        <v>276</v>
      </c>
      <c r="E96" s="32" t="n">
        <f aca="false">SUMIFS('Площадь МСХ'!$D:$D,'Площадь МСХ'!$E:$E,A96)</f>
        <v>38.502</v>
      </c>
      <c r="F96" s="32" t="n">
        <f aca="false">E96*10</f>
        <v>385.02</v>
      </c>
      <c r="G96" s="21" t="n">
        <f aca="false">SUMIFS('РПН по МО'!$E:$E,'РПН по МО'!$F:$F,A96)</f>
        <v>203079</v>
      </c>
      <c r="H96" s="25" t="n">
        <f aca="false">IF(G96&gt;0,G96/F96,"")</f>
        <v>527.450522050803</v>
      </c>
      <c r="I96" s="22" t="n">
        <f aca="false">IF(G96&gt;0,ROUND(1+$I$3*$I$4/H96,4),"")</f>
        <v>1.0097</v>
      </c>
      <c r="J96" s="33" t="n">
        <f aca="false">IF(D96="район",MIN(I96,2),IF(D96="город респ. значения",1,IF(D96="областной центр",1,1.5)))</f>
        <v>1</v>
      </c>
      <c r="K96" s="34" t="n">
        <v>1</v>
      </c>
      <c r="L96" s="35" t="n">
        <f aca="false">J96-K96</f>
        <v>0</v>
      </c>
      <c r="M96" s="36" t="n">
        <f aca="false">IF(D96="город респ. значения","",H96)</f>
        <v>527.450522050803</v>
      </c>
      <c r="N96" s="37" t="n">
        <f aca="false">IF(D96="город респ. значения","",G96)</f>
        <v>203079</v>
      </c>
    </row>
    <row r="97" customFormat="false" ht="15" hidden="false" customHeight="false" outlineLevel="0" collapsed="false">
      <c r="A97" s="20" t="s">
        <v>139</v>
      </c>
      <c r="B97" s="20" t="s">
        <v>22</v>
      </c>
      <c r="C97" s="20" t="s">
        <v>367</v>
      </c>
      <c r="D97" s="31" t="s">
        <v>278</v>
      </c>
      <c r="E97" s="32" t="n">
        <f aca="false">SUMIFS('Площадь МСХ'!$D:$D,'Площадь МСХ'!$E:$E,A97)</f>
        <v>7.008</v>
      </c>
      <c r="F97" s="32" t="n">
        <f aca="false">E97*10</f>
        <v>70.08</v>
      </c>
      <c r="G97" s="21" t="n">
        <f aca="false">SUMIFS('РПН по МО'!$E:$E,'РПН по МО'!$F:$F,A97)</f>
        <v>27336</v>
      </c>
      <c r="H97" s="25" t="n">
        <f aca="false">IF(G97&gt;0,G97/F97,"")</f>
        <v>390.068493150685</v>
      </c>
      <c r="I97" s="22" t="n">
        <f aca="false">IF(G97&gt;0,ROUND(1+$I$3*$I$4/H97,4),"")</f>
        <v>1.0131</v>
      </c>
      <c r="J97" s="33" t="n">
        <f aca="false">IF(D97="район",MIN(I97,2),IF(D97="город респ. значения",1,IF(D97="областной центр",1,1.5)))</f>
        <v>1.5</v>
      </c>
      <c r="K97" s="34" t="n">
        <v>1.5</v>
      </c>
      <c r="L97" s="35" t="n">
        <f aca="false">J97-K97</f>
        <v>0</v>
      </c>
      <c r="M97" s="36" t="n">
        <f aca="false">IF(D97="город респ. значения","",H97)</f>
        <v>390.068493150685</v>
      </c>
      <c r="N97" s="37" t="n">
        <f aca="false">IF(D97="город респ. значения","",G97)</f>
        <v>27336</v>
      </c>
    </row>
    <row r="98" customFormat="false" ht="15" hidden="false" customHeight="false" outlineLevel="0" collapsed="false">
      <c r="A98" s="20" t="s">
        <v>140</v>
      </c>
      <c r="B98" s="20" t="s">
        <v>22</v>
      </c>
      <c r="C98" s="20" t="s">
        <v>368</v>
      </c>
      <c r="D98" s="31" t="s">
        <v>280</v>
      </c>
      <c r="E98" s="32" t="n">
        <f aca="false">SUMIFS('Площадь МСХ'!$D:$D,'Площадь МСХ'!$E:$E,A98)</f>
        <v>1259.2931229</v>
      </c>
      <c r="F98" s="32" t="n">
        <f aca="false">E98*10</f>
        <v>12592.931229</v>
      </c>
      <c r="G98" s="21" t="n">
        <f aca="false">SUMIFS('РПН по МО'!$E:$E,'РПН по МО'!$F:$F,A98)</f>
        <v>31661</v>
      </c>
      <c r="H98" s="25" t="n">
        <f aca="false">IF(G98&gt;0,G98/F98,"")</f>
        <v>2.51418827151923</v>
      </c>
      <c r="I98" s="22" t="n">
        <f aca="false">IF(G98&gt;0,ROUND(1+$I$3*$I$4/H98,4),"")</f>
        <v>3.04</v>
      </c>
      <c r="J98" s="33" t="n">
        <f aca="false">IF(D98="район",MIN(I98,2),IF(D98="город респ. значения",1,IF(D98="областной центр",1,1.5)))</f>
        <v>2</v>
      </c>
      <c r="K98" s="34" t="n">
        <v>1.6968</v>
      </c>
      <c r="L98" s="35" t="n">
        <f aca="false">J98-K98</f>
        <v>0.3032</v>
      </c>
      <c r="M98" s="36" t="n">
        <f aca="false">IF(D98="город респ. значения","",H98)</f>
        <v>2.51418827151923</v>
      </c>
      <c r="N98" s="37" t="n">
        <f aca="false">IF(D98="город респ. значения","",G98)</f>
        <v>31661</v>
      </c>
    </row>
    <row r="99" customFormat="false" ht="15" hidden="false" customHeight="false" outlineLevel="0" collapsed="false">
      <c r="A99" s="20" t="s">
        <v>141</v>
      </c>
      <c r="B99" s="20" t="s">
        <v>22</v>
      </c>
      <c r="C99" s="20" t="s">
        <v>369</v>
      </c>
      <c r="D99" s="31" t="s">
        <v>280</v>
      </c>
      <c r="E99" s="32" t="n">
        <f aca="false">SUMIFS('Площадь МСХ'!$D:$D,'Площадь МСХ'!$E:$E,A99)</f>
        <v>2367.267</v>
      </c>
      <c r="F99" s="32" t="n">
        <f aca="false">E99*10</f>
        <v>23672.67</v>
      </c>
      <c r="G99" s="21" t="n">
        <f aca="false">SUMIFS('РПН по МО'!$E:$E,'РПН по МО'!$F:$F,A99)</f>
        <v>62844</v>
      </c>
      <c r="H99" s="25" t="n">
        <f aca="false">IF(G99&gt;0,G99/F99,"")</f>
        <v>2.65470688350744</v>
      </c>
      <c r="I99" s="22" t="n">
        <f aca="false">IF(G99&gt;0,ROUND(1+$I$3*$I$4/H99,4),"")</f>
        <v>2.9321</v>
      </c>
      <c r="J99" s="33" t="n">
        <f aca="false">IF(D99="район",MIN(I99,2),IF(D99="город респ. значения",1,IF(D99="областной центр",1,1.5)))</f>
        <v>2</v>
      </c>
      <c r="K99" s="34" t="n">
        <v>1.649</v>
      </c>
      <c r="L99" s="35" t="n">
        <f aca="false">J99-K99</f>
        <v>0.351</v>
      </c>
      <c r="M99" s="36" t="n">
        <f aca="false">IF(D99="город респ. значения","",H99)</f>
        <v>2.65470688350744</v>
      </c>
      <c r="N99" s="37" t="n">
        <f aca="false">IF(D99="город респ. значения","",G99)</f>
        <v>62844</v>
      </c>
    </row>
    <row r="100" customFormat="false" ht="15" hidden="false" customHeight="false" outlineLevel="0" collapsed="false">
      <c r="A100" s="20" t="s">
        <v>142</v>
      </c>
      <c r="B100" s="20" t="s">
        <v>22</v>
      </c>
      <c r="C100" s="20" t="s">
        <v>370</v>
      </c>
      <c r="D100" s="31" t="s">
        <v>280</v>
      </c>
      <c r="E100" s="32" t="n">
        <f aca="false">SUMIFS('Площадь МСХ'!$D:$D,'Площадь МСХ'!$E:$E,A100)</f>
        <v>397.048</v>
      </c>
      <c r="F100" s="32" t="n">
        <f aca="false">E100*10</f>
        <v>3970.48</v>
      </c>
      <c r="G100" s="21" t="n">
        <f aca="false">SUMIFS('РПН по МО'!$E:$E,'РПН по МО'!$F:$F,A100)</f>
        <v>48356</v>
      </c>
      <c r="H100" s="25" t="n">
        <f aca="false">IF(G100&gt;0,G100/F100,"")</f>
        <v>12.1788801353992</v>
      </c>
      <c r="I100" s="22" t="n">
        <f aca="false">IF(G100&gt;0,ROUND(1+$I$3*$I$4/H100,4),"")</f>
        <v>1.4211</v>
      </c>
      <c r="J100" s="33" t="n">
        <f aca="false">IF(D100="район",MIN(I100,2),IF(D100="город респ. значения",1,IF(D100="областной центр",1,1.5)))</f>
        <v>1.4211</v>
      </c>
      <c r="K100" s="34" t="n">
        <v>1.1572</v>
      </c>
      <c r="L100" s="35" t="n">
        <f aca="false">J100-K100</f>
        <v>0.2639</v>
      </c>
      <c r="M100" s="36" t="n">
        <f aca="false">IF(D100="город респ. значения","",H100)</f>
        <v>12.1788801353992</v>
      </c>
      <c r="N100" s="37" t="n">
        <f aca="false">IF(D100="город респ. значения","",G100)</f>
        <v>48356</v>
      </c>
    </row>
    <row r="101" customFormat="false" ht="15" hidden="false" customHeight="false" outlineLevel="0" collapsed="false">
      <c r="A101" s="20" t="s">
        <v>143</v>
      </c>
      <c r="B101" s="20" t="s">
        <v>22</v>
      </c>
      <c r="C101" s="20" t="s">
        <v>371</v>
      </c>
      <c r="D101" s="31" t="s">
        <v>280</v>
      </c>
      <c r="E101" s="32" t="n">
        <f aca="false">SUMIFS('Площадь МСХ'!$D:$D,'Площадь МСХ'!$E:$E,A101)</f>
        <v>1149.301</v>
      </c>
      <c r="F101" s="32" t="n">
        <f aca="false">E101*10</f>
        <v>11493.01</v>
      </c>
      <c r="G101" s="21" t="n">
        <f aca="false">SUMIFS('РПН по МО'!$E:$E,'РПН по МО'!$F:$F,A101)</f>
        <v>37267</v>
      </c>
      <c r="H101" s="25" t="n">
        <f aca="false">IF(G101&gt;0,G101/F101,"")</f>
        <v>3.24257962013433</v>
      </c>
      <c r="I101" s="22" t="n">
        <f aca="false">IF(G101&gt;0,ROUND(1+$I$3*$I$4/H101,4),"")</f>
        <v>2.5818</v>
      </c>
      <c r="J101" s="33" t="n">
        <f aca="false">IF(D101="район",MIN(I101,2),IF(D101="город респ. значения",1,IF(D101="областной центр",1,1.5)))</f>
        <v>2</v>
      </c>
      <c r="K101" s="34" t="n">
        <v>1.5318</v>
      </c>
      <c r="L101" s="35" t="n">
        <f aca="false">J101-K101</f>
        <v>0.4682</v>
      </c>
      <c r="M101" s="36" t="n">
        <f aca="false">IF(D101="город респ. значения","",H101)</f>
        <v>3.24257962013433</v>
      </c>
      <c r="N101" s="37" t="n">
        <f aca="false">IF(D101="город респ. значения","",G101)</f>
        <v>37267</v>
      </c>
    </row>
    <row r="102" customFormat="false" ht="15" hidden="false" customHeight="false" outlineLevel="0" collapsed="false">
      <c r="A102" s="20" t="s">
        <v>144</v>
      </c>
      <c r="B102" s="20" t="s">
        <v>22</v>
      </c>
      <c r="C102" s="20" t="s">
        <v>372</v>
      </c>
      <c r="D102" s="31" t="s">
        <v>280</v>
      </c>
      <c r="E102" s="32" t="n">
        <f aca="false">SUMIFS('Площадь МСХ'!$D:$D,'Площадь МСХ'!$E:$E,A102)</f>
        <v>706.6954329</v>
      </c>
      <c r="F102" s="32" t="n">
        <f aca="false">E102*10</f>
        <v>7066.954329</v>
      </c>
      <c r="G102" s="21" t="n">
        <f aca="false">SUMIFS('РПН по МО'!$E:$E,'РПН по МО'!$F:$F,A102)</f>
        <v>38927</v>
      </c>
      <c r="H102" s="25" t="n">
        <f aca="false">IF(G102&gt;0,G102/F102,"")</f>
        <v>5.50831350929479</v>
      </c>
      <c r="I102" s="22" t="n">
        <f aca="false">IF(G102&gt;0,ROUND(1+$I$3*$I$4/H102,4),"")</f>
        <v>1.9311</v>
      </c>
      <c r="J102" s="33" t="n">
        <f aca="false">IF(D102="район",MIN(I102,2),IF(D102="город респ. значения",1,IF(D102="областной центр",1,1.5)))</f>
        <v>1.9311</v>
      </c>
      <c r="K102" s="34" t="n">
        <v>1.3462</v>
      </c>
      <c r="L102" s="35" t="n">
        <f aca="false">J102-K102</f>
        <v>0.5849</v>
      </c>
      <c r="M102" s="36" t="n">
        <f aca="false">IF(D102="город респ. значения","",H102)</f>
        <v>5.50831350929479</v>
      </c>
      <c r="N102" s="37" t="n">
        <f aca="false">IF(D102="город респ. значения","",G102)</f>
        <v>38927</v>
      </c>
    </row>
    <row r="103" customFormat="false" ht="15" hidden="false" customHeight="false" outlineLevel="0" collapsed="false">
      <c r="A103" s="20" t="s">
        <v>145</v>
      </c>
      <c r="B103" s="20" t="s">
        <v>22</v>
      </c>
      <c r="C103" s="20" t="s">
        <v>373</v>
      </c>
      <c r="D103" s="31" t="s">
        <v>280</v>
      </c>
      <c r="E103" s="32" t="n">
        <f aca="false">SUMIFS('Площадь МСХ'!$D:$D,'Площадь МСХ'!$E:$E,A103)</f>
        <v>2422.222</v>
      </c>
      <c r="F103" s="32" t="n">
        <f aca="false">E103*10</f>
        <v>24222.22</v>
      </c>
      <c r="G103" s="21" t="n">
        <f aca="false">SUMIFS('РПН по МО'!$E:$E,'РПН по МО'!$F:$F,A103)</f>
        <v>40032</v>
      </c>
      <c r="H103" s="25" t="n">
        <f aca="false">IF(G103&gt;0,G103/F103,"")</f>
        <v>1.65269739933004</v>
      </c>
      <c r="I103" s="22" t="n">
        <f aca="false">IF(G103&gt;0,ROUND(1+$I$3*$I$4/H103,4),"")</f>
        <v>4.1034</v>
      </c>
      <c r="J103" s="33" t="n">
        <f aca="false">IF(D103="район",MIN(I103,2),IF(D103="город респ. значения",1,IF(D103="областной центр",1,1.5)))</f>
        <v>2</v>
      </c>
      <c r="K103" s="34" t="n">
        <v>2</v>
      </c>
      <c r="L103" s="35" t="n">
        <f aca="false">J103-K103</f>
        <v>0</v>
      </c>
      <c r="M103" s="36" t="n">
        <f aca="false">IF(D103="город респ. значения","",H103)</f>
        <v>1.65269739933004</v>
      </c>
      <c r="N103" s="37" t="n">
        <f aca="false">IF(D103="город респ. значения","",G103)</f>
        <v>40032</v>
      </c>
    </row>
    <row r="104" customFormat="false" ht="15" hidden="false" customHeight="false" outlineLevel="0" collapsed="false">
      <c r="A104" s="20" t="s">
        <v>146</v>
      </c>
      <c r="B104" s="20" t="s">
        <v>22</v>
      </c>
      <c r="C104" s="20" t="s">
        <v>374</v>
      </c>
      <c r="D104" s="31" t="s">
        <v>280</v>
      </c>
      <c r="E104" s="32" t="n">
        <f aca="false">SUMIFS('Площадь МСХ'!$D:$D,'Площадь МСХ'!$E:$E,A104)</f>
        <v>1058.252</v>
      </c>
      <c r="F104" s="32" t="n">
        <f aca="false">E104*10</f>
        <v>10582.52</v>
      </c>
      <c r="G104" s="21" t="n">
        <f aca="false">SUMIFS('РПН по МО'!$E:$E,'РПН по МО'!$F:$F,A104)</f>
        <v>127299</v>
      </c>
      <c r="H104" s="25" t="n">
        <f aca="false">IF(G104&gt;0,G104/F104,"")</f>
        <v>12.0291764154474</v>
      </c>
      <c r="I104" s="22" t="n">
        <f aca="false">IF(G104&gt;0,ROUND(1+$I$3*$I$4/H104,4),"")</f>
        <v>1.4264</v>
      </c>
      <c r="J104" s="33" t="n">
        <f aca="false">IF(D104="район",MIN(I104,2),IF(D104="город респ. значения",1,IF(D104="областной центр",1,1.5)))</f>
        <v>1.4264</v>
      </c>
      <c r="K104" s="34" t="n">
        <v>1.1629</v>
      </c>
      <c r="L104" s="35" t="n">
        <f aca="false">J104-K104</f>
        <v>0.2635</v>
      </c>
      <c r="M104" s="36" t="n">
        <f aca="false">IF(D104="город респ. значения","",H104)</f>
        <v>12.0291764154474</v>
      </c>
      <c r="N104" s="37" t="n">
        <f aca="false">IF(D104="город респ. значения","",G104)</f>
        <v>127299</v>
      </c>
    </row>
    <row r="105" customFormat="false" ht="15" hidden="false" customHeight="false" outlineLevel="0" collapsed="false">
      <c r="A105" s="20" t="s">
        <v>147</v>
      </c>
      <c r="B105" s="20" t="s">
        <v>22</v>
      </c>
      <c r="C105" s="20" t="s">
        <v>375</v>
      </c>
      <c r="D105" s="31" t="s">
        <v>280</v>
      </c>
      <c r="E105" s="32" t="n">
        <f aca="false">SUMIFS('Площадь МСХ'!$D:$D,'Площадь МСХ'!$E:$E,A105)</f>
        <v>2440.409</v>
      </c>
      <c r="F105" s="32" t="n">
        <f aca="false">E105*10</f>
        <v>24404.09</v>
      </c>
      <c r="G105" s="21" t="n">
        <f aca="false">SUMIFS('РПН по МО'!$E:$E,'РПН по МО'!$F:$F,A105)</f>
        <v>34890</v>
      </c>
      <c r="H105" s="25" t="n">
        <f aca="false">IF(G105&gt;0,G105/F105,"")</f>
        <v>1.42967838587712</v>
      </c>
      <c r="I105" s="22" t="n">
        <f aca="false">IF(G105&gt;0,ROUND(1+$I$3*$I$4/H105,4),"")</f>
        <v>4.5875</v>
      </c>
      <c r="J105" s="33" t="n">
        <f aca="false">IF(D105="район",MIN(I105,2),IF(D105="город респ. значения",1,IF(D105="областной центр",1,1.5)))</f>
        <v>2</v>
      </c>
      <c r="K105" s="34" t="n">
        <v>2</v>
      </c>
      <c r="L105" s="35" t="n">
        <f aca="false">J105-K105</f>
        <v>0</v>
      </c>
      <c r="M105" s="36" t="n">
        <f aca="false">IF(D105="город респ. значения","",H105)</f>
        <v>1.42967838587712</v>
      </c>
      <c r="N105" s="37" t="n">
        <f aca="false">IF(D105="город респ. значения","",G105)</f>
        <v>34890</v>
      </c>
    </row>
    <row r="106" customFormat="false" ht="15" hidden="false" customHeight="false" outlineLevel="0" collapsed="false">
      <c r="A106" s="20" t="s">
        <v>148</v>
      </c>
      <c r="B106" s="20" t="s">
        <v>14</v>
      </c>
      <c r="C106" s="20" t="s">
        <v>376</v>
      </c>
      <c r="D106" s="31" t="s">
        <v>276</v>
      </c>
      <c r="E106" s="32" t="n">
        <f aca="false">SUMIFS('Площадь МСХ'!$D:$D,'Площадь МСХ'!$E:$E,A106)</f>
        <v>49.78</v>
      </c>
      <c r="F106" s="32" t="n">
        <f aca="false">E106*10</f>
        <v>497.8</v>
      </c>
      <c r="G106" s="21" t="n">
        <f aca="false">SUMIFS('РПН по МО'!$E:$E,'РПН по МО'!$F:$F,A106)</f>
        <v>619518</v>
      </c>
      <c r="H106" s="25" t="n">
        <f aca="false">IF(G106&gt;0,G106/F106,"")</f>
        <v>1244.51185214946</v>
      </c>
      <c r="I106" s="22" t="n">
        <f aca="false">IF(G106&gt;0,ROUND(1+$I$3*$I$4/H106,4),"")</f>
        <v>1.0041</v>
      </c>
      <c r="J106" s="33" t="n">
        <f aca="false">IF(D106="район",MIN(I106,2),IF(D106="город респ. значения",1,IF(D106="областной центр",1,1.5)))</f>
        <v>1</v>
      </c>
      <c r="K106" s="34" t="n">
        <v>1</v>
      </c>
      <c r="L106" s="35" t="n">
        <f aca="false">J106-K106</f>
        <v>0</v>
      </c>
      <c r="M106" s="36" t="n">
        <f aca="false">IF(D106="город респ. значения","",H106)</f>
        <v>1244.51185214946</v>
      </c>
      <c r="N106" s="37" t="n">
        <f aca="false">IF(D106="город респ. значения","",G106)</f>
        <v>619518</v>
      </c>
    </row>
    <row r="107" customFormat="false" ht="15" hidden="false" customHeight="false" outlineLevel="0" collapsed="false">
      <c r="A107" s="20" t="s">
        <v>149</v>
      </c>
      <c r="B107" s="20" t="s">
        <v>14</v>
      </c>
      <c r="C107" s="20" t="s">
        <v>377</v>
      </c>
      <c r="D107" s="31" t="s">
        <v>278</v>
      </c>
      <c r="E107" s="32" t="n">
        <f aca="false">SUMIFS('Площадь МСХ'!$D:$D,'Площадь МСХ'!$E:$E,A107)</f>
        <v>600.33506</v>
      </c>
      <c r="F107" s="32" t="n">
        <f aca="false">E107*10</f>
        <v>6003.3506</v>
      </c>
      <c r="G107" s="21" t="n">
        <f aca="false">SUMIFS('РПН по МО'!$E:$E,'РПН по МО'!$F:$F,A107)</f>
        <v>75900</v>
      </c>
      <c r="H107" s="25" t="n">
        <f aca="false">IF(G107&gt;0,G107/F107,"")</f>
        <v>12.6429397610061</v>
      </c>
      <c r="I107" s="22" t="n">
        <f aca="false">IF(G107&gt;0,ROUND(1+$I$3*$I$4/H107,4),"")</f>
        <v>1.4057</v>
      </c>
      <c r="J107" s="33" t="n">
        <f aca="false">IF(D107="район",MIN(I107,2),IF(D107="город респ. значения",1,IF(D107="областной центр",1,1.5)))</f>
        <v>1.5</v>
      </c>
      <c r="K107" s="34" t="n">
        <v>1.5</v>
      </c>
      <c r="L107" s="35" t="n">
        <f aca="false">J107-K107</f>
        <v>0</v>
      </c>
      <c r="M107" s="36" t="n">
        <f aca="false">IF(D107="город респ. значения","",H107)</f>
        <v>12.6429397610061</v>
      </c>
      <c r="N107" s="37" t="n">
        <f aca="false">IF(D107="город респ. значения","",G107)</f>
        <v>75900</v>
      </c>
    </row>
    <row r="108" customFormat="false" ht="15" hidden="false" customHeight="false" outlineLevel="0" collapsed="false">
      <c r="A108" s="20" t="s">
        <v>150</v>
      </c>
      <c r="B108" s="20" t="s">
        <v>14</v>
      </c>
      <c r="C108" s="20" t="s">
        <v>378</v>
      </c>
      <c r="D108" s="31" t="s">
        <v>278</v>
      </c>
      <c r="E108" s="32" t="n">
        <f aca="false">SUMIFS('Площадь МСХ'!$D:$D,'Площадь МСХ'!$E:$E,A108)</f>
        <v>5.45204</v>
      </c>
      <c r="F108" s="32" t="n">
        <f aca="false">E108*10</f>
        <v>54.5204</v>
      </c>
      <c r="G108" s="21" t="n">
        <f aca="false">SUMIFS('РПН по МО'!$E:$E,'РПН по МО'!$F:$F,A108)</f>
        <v>14179</v>
      </c>
      <c r="H108" s="25" t="n">
        <f aca="false">IF(G108&gt;0,G108/F108,"")</f>
        <v>260.06779113873</v>
      </c>
      <c r="I108" s="22" t="n">
        <f aca="false">IF(G108&gt;0,ROUND(1+$I$3*$I$4/H108,4),"")</f>
        <v>1.0197</v>
      </c>
      <c r="J108" s="33" t="n">
        <f aca="false">IF(D108="район",MIN(I108,2),IF(D108="город респ. значения",1,IF(D108="областной центр",1,1.5)))</f>
        <v>1.5</v>
      </c>
      <c r="K108" s="34" t="n">
        <v>1.5</v>
      </c>
      <c r="L108" s="35" t="n">
        <f aca="false">J108-K108</f>
        <v>0</v>
      </c>
      <c r="M108" s="36" t="n">
        <f aca="false">IF(D108="город респ. значения","",H108)</f>
        <v>260.06779113873</v>
      </c>
      <c r="N108" s="37" t="n">
        <f aca="false">IF(D108="город респ. значения","",G108)</f>
        <v>14179</v>
      </c>
    </row>
    <row r="109" customFormat="false" ht="15" hidden="false" customHeight="false" outlineLevel="0" collapsed="false">
      <c r="A109" s="20" t="s">
        <v>151</v>
      </c>
      <c r="B109" s="20" t="s">
        <v>14</v>
      </c>
      <c r="C109" s="20" t="s">
        <v>379</v>
      </c>
      <c r="D109" s="31" t="s">
        <v>278</v>
      </c>
      <c r="E109" s="32" t="n">
        <f aca="false">SUMIFS('Площадь МСХ'!$D:$D,'Площадь МСХ'!$E:$E,A109)</f>
        <v>16.1040673</v>
      </c>
      <c r="F109" s="32" t="n">
        <f aca="false">E109*10</f>
        <v>161.040673</v>
      </c>
      <c r="G109" s="21" t="n">
        <f aca="false">SUMIFS('РПН по МО'!$E:$E,'РПН по МО'!$F:$F,A109)</f>
        <v>46735</v>
      </c>
      <c r="H109" s="25" t="n">
        <f aca="false">IF(G109&gt;0,G109/F109,"")</f>
        <v>290.206189091125</v>
      </c>
      <c r="I109" s="22" t="n">
        <f aca="false">IF(G109&gt;0,ROUND(1+$I$3*$I$4/H109,4),"")</f>
        <v>1.0177</v>
      </c>
      <c r="J109" s="33" t="n">
        <f aca="false">IF(D109="район",MIN(I109,2),IF(D109="город респ. значения",1,IF(D109="областной центр",1,1.5)))</f>
        <v>1.5</v>
      </c>
      <c r="K109" s="34" t="n">
        <v>1.5</v>
      </c>
      <c r="L109" s="35" t="n">
        <f aca="false">J109-K109</f>
        <v>0</v>
      </c>
      <c r="M109" s="36" t="n">
        <f aca="false">IF(D109="город респ. значения","",H109)</f>
        <v>290.206189091125</v>
      </c>
      <c r="N109" s="37" t="n">
        <f aca="false">IF(D109="город респ. значения","",G109)</f>
        <v>46735</v>
      </c>
    </row>
    <row r="110" customFormat="false" ht="15" hidden="false" customHeight="false" outlineLevel="0" collapsed="false">
      <c r="A110" s="20" t="s">
        <v>152</v>
      </c>
      <c r="B110" s="20" t="s">
        <v>14</v>
      </c>
      <c r="C110" s="20" t="s">
        <v>380</v>
      </c>
      <c r="D110" s="31" t="s">
        <v>278</v>
      </c>
      <c r="E110" s="32" t="n">
        <f aca="false">SUMIFS('Площадь МСХ'!$D:$D,'Площадь МСХ'!$E:$E,A110)</f>
        <v>31.1473331</v>
      </c>
      <c r="F110" s="32" t="n">
        <f aca="false">E110*10</f>
        <v>311.473331</v>
      </c>
      <c r="G110" s="21" t="n">
        <f aca="false">SUMIFS('РПН по МО'!$E:$E,'РПН по МО'!$F:$F,A110)</f>
        <v>142401</v>
      </c>
      <c r="H110" s="25" t="n">
        <f aca="false">IF(G110&gt;0,G110/F110,"")</f>
        <v>457.18520922101</v>
      </c>
      <c r="I110" s="22" t="n">
        <f aca="false">IF(G110&gt;0,ROUND(1+$I$3*$I$4/H110,4),"")</f>
        <v>1.0112</v>
      </c>
      <c r="J110" s="33" t="n">
        <f aca="false">IF(D110="район",MIN(I110,2),IF(D110="город респ. значения",1,IF(D110="областной центр",1,1.5)))</f>
        <v>1.5</v>
      </c>
      <c r="K110" s="34" t="n">
        <v>1.5</v>
      </c>
      <c r="L110" s="35" t="n">
        <f aca="false">J110-K110</f>
        <v>0</v>
      </c>
      <c r="M110" s="36" t="n">
        <f aca="false">IF(D110="город респ. значения","",H110)</f>
        <v>457.18520922101</v>
      </c>
      <c r="N110" s="37" t="n">
        <f aca="false">IF(D110="город респ. значения","",G110)</f>
        <v>142401</v>
      </c>
    </row>
    <row r="111" customFormat="false" ht="15" hidden="false" customHeight="false" outlineLevel="0" collapsed="false">
      <c r="A111" s="20" t="s">
        <v>153</v>
      </c>
      <c r="B111" s="20" t="s">
        <v>14</v>
      </c>
      <c r="C111" s="20" t="s">
        <v>381</v>
      </c>
      <c r="D111" s="31" t="s">
        <v>278</v>
      </c>
      <c r="E111" s="32" t="n">
        <f aca="false">SUMIFS('Площадь МСХ'!$D:$D,'Площадь МСХ'!$E:$E,A111)</f>
        <v>23.6194543</v>
      </c>
      <c r="F111" s="32" t="n">
        <f aca="false">E111*10</f>
        <v>236.194543</v>
      </c>
      <c r="G111" s="21" t="n">
        <f aca="false">SUMIFS('РПН по МО'!$E:$E,'РПН по МО'!$F:$F,A111)</f>
        <v>80208</v>
      </c>
      <c r="H111" s="25" t="n">
        <f aca="false">IF(G111&gt;0,G111/F111,"")</f>
        <v>339.584475497387</v>
      </c>
      <c r="I111" s="22" t="n">
        <f aca="false">IF(G111&gt;0,ROUND(1+$I$3*$I$4/H111,4),"")</f>
        <v>1.0151</v>
      </c>
      <c r="J111" s="33" t="n">
        <f aca="false">IF(D111="район",MIN(I111,2),IF(D111="город респ. значения",1,IF(D111="областной центр",1,1.5)))</f>
        <v>1.5</v>
      </c>
      <c r="K111" s="34" t="n">
        <v>1.5</v>
      </c>
      <c r="L111" s="35" t="n">
        <f aca="false">J111-K111</f>
        <v>0</v>
      </c>
      <c r="M111" s="36" t="n">
        <f aca="false">IF(D111="город респ. значения","",H111)</f>
        <v>339.584475497387</v>
      </c>
      <c r="N111" s="37" t="n">
        <f aca="false">IF(D111="город респ. значения","",G111)</f>
        <v>80208</v>
      </c>
    </row>
    <row r="112" customFormat="false" ht="15" hidden="false" customHeight="false" outlineLevel="0" collapsed="false">
      <c r="A112" s="20" t="s">
        <v>154</v>
      </c>
      <c r="B112" s="20" t="s">
        <v>14</v>
      </c>
      <c r="C112" s="20" t="s">
        <v>279</v>
      </c>
      <c r="D112" s="31" t="s">
        <v>280</v>
      </c>
      <c r="E112" s="32" t="n">
        <f aca="false">SUMIFS('Площадь МСХ'!$D:$D,'Площадь МСХ'!$E:$E,A112)</f>
        <v>672.5285186</v>
      </c>
      <c r="F112" s="32" t="n">
        <f aca="false">E112*10</f>
        <v>6725.285186</v>
      </c>
      <c r="G112" s="21" t="n">
        <f aca="false">SUMIFS('РПН по МО'!$E:$E,'РПН по МО'!$F:$F,A112)</f>
        <v>58499</v>
      </c>
      <c r="H112" s="25" t="n">
        <f aca="false">IF(G112&gt;0,G112/F112,"")</f>
        <v>8.69836718921261</v>
      </c>
      <c r="I112" s="22" t="n">
        <f aca="false">IF(G112&gt;0,ROUND(1+$I$3*$I$4/H112,4),"")</f>
        <v>1.5897</v>
      </c>
      <c r="J112" s="33" t="n">
        <f aca="false">IF(D112="район",MIN(I112,2),IF(D112="город респ. значения",1,IF(D112="областной центр",1,1.5)))</f>
        <v>1.5897</v>
      </c>
      <c r="K112" s="34" t="n">
        <v>1.2338</v>
      </c>
      <c r="L112" s="35" t="n">
        <f aca="false">J112-K112</f>
        <v>0.3559</v>
      </c>
      <c r="M112" s="36" t="n">
        <f aca="false">IF(D112="город респ. значения","",H112)</f>
        <v>8.69836718921261</v>
      </c>
      <c r="N112" s="37" t="n">
        <f aca="false">IF(D112="город респ. значения","",G112)</f>
        <v>58499</v>
      </c>
    </row>
    <row r="113" customFormat="false" ht="15" hidden="false" customHeight="false" outlineLevel="0" collapsed="false">
      <c r="A113" s="20" t="s">
        <v>155</v>
      </c>
      <c r="B113" s="20" t="s">
        <v>14</v>
      </c>
      <c r="C113" s="20" t="s">
        <v>382</v>
      </c>
      <c r="D113" s="31" t="s">
        <v>280</v>
      </c>
      <c r="E113" s="32" t="n">
        <f aca="false">SUMIFS('Площадь МСХ'!$D:$D,'Площадь МСХ'!$E:$E,A113)</f>
        <v>5190.9315946</v>
      </c>
      <c r="F113" s="32" t="n">
        <f aca="false">E113*10</f>
        <v>51909.315946</v>
      </c>
      <c r="G113" s="21" t="n">
        <f aca="false">SUMIFS('РПН по МО'!$E:$E,'РПН по МО'!$F:$F,A113)</f>
        <v>9382</v>
      </c>
      <c r="H113" s="25" t="n">
        <f aca="false">IF(G113&gt;0,G113/F113,"")</f>
        <v>0.180738270752014</v>
      </c>
      <c r="I113" s="22" t="n">
        <f aca="false">IF(G113&gt;0,ROUND(1+$I$3*$I$4/H113,4),"")</f>
        <v>29.3783</v>
      </c>
      <c r="J113" s="33" t="n">
        <f aca="false">IF(D113="район",MIN(I113,2),IF(D113="город респ. значения",1,IF(D113="областной центр",1,1.5)))</f>
        <v>2</v>
      </c>
      <c r="K113" s="34" t="n">
        <v>2</v>
      </c>
      <c r="L113" s="35" t="n">
        <f aca="false">J113-K113</f>
        <v>0</v>
      </c>
      <c r="M113" s="36" t="n">
        <f aca="false">IF(D113="город респ. значения","",H113)</f>
        <v>0.180738270752014</v>
      </c>
      <c r="N113" s="37" t="n">
        <f aca="false">IF(D113="город респ. значения","",G113)</f>
        <v>9382</v>
      </c>
    </row>
    <row r="114" customFormat="false" ht="15" hidden="false" customHeight="false" outlineLevel="0" collapsed="false">
      <c r="A114" s="20" t="s">
        <v>156</v>
      </c>
      <c r="B114" s="20" t="s">
        <v>14</v>
      </c>
      <c r="C114" s="20" t="s">
        <v>383</v>
      </c>
      <c r="D114" s="31" t="s">
        <v>280</v>
      </c>
      <c r="E114" s="32" t="n">
        <f aca="false">SUMIFS('Площадь МСХ'!$D:$D,'Площадь МСХ'!$E:$E,A114)</f>
        <v>1439.3199769</v>
      </c>
      <c r="F114" s="32" t="n">
        <f aca="false">E114*10</f>
        <v>14393.199769</v>
      </c>
      <c r="G114" s="21" t="n">
        <f aca="false">SUMIFS('РПН по МО'!$E:$E,'РПН по МО'!$F:$F,A114)</f>
        <v>42849</v>
      </c>
      <c r="H114" s="25" t="n">
        <f aca="false">IF(G114&gt;0,G114/F114,"")</f>
        <v>2.9770308678886</v>
      </c>
      <c r="I114" s="22" t="n">
        <f aca="false">IF(G114&gt;0,ROUND(1+$I$3*$I$4/H114,4),"")</f>
        <v>2.7229</v>
      </c>
      <c r="J114" s="33" t="n">
        <f aca="false">IF(D114="район",MIN(I114,2),IF(D114="город респ. значения",1,IF(D114="областной центр",1,1.5)))</f>
        <v>2</v>
      </c>
      <c r="K114" s="34" t="n">
        <v>1.5536</v>
      </c>
      <c r="L114" s="35" t="n">
        <f aca="false">J114-K114</f>
        <v>0.4464</v>
      </c>
      <c r="M114" s="36" t="n">
        <f aca="false">IF(D114="город респ. значения","",H114)</f>
        <v>2.9770308678886</v>
      </c>
      <c r="N114" s="37" t="n">
        <f aca="false">IF(D114="город респ. значения","",G114)</f>
        <v>42849</v>
      </c>
    </row>
    <row r="115" customFormat="false" ht="15" hidden="false" customHeight="false" outlineLevel="0" collapsed="false">
      <c r="A115" s="20" t="s">
        <v>157</v>
      </c>
      <c r="B115" s="20" t="s">
        <v>14</v>
      </c>
      <c r="C115" s="20" t="s">
        <v>384</v>
      </c>
      <c r="D115" s="31" t="s">
        <v>280</v>
      </c>
      <c r="E115" s="32" t="n">
        <f aca="false">SUMIFS('Площадь МСХ'!$D:$D,'Площадь МСХ'!$E:$E,A115)</f>
        <v>3547.236</v>
      </c>
      <c r="F115" s="32" t="n">
        <f aca="false">E115*10</f>
        <v>35472.36</v>
      </c>
      <c r="G115" s="21" t="n">
        <f aca="false">SUMIFS('РПН по МО'!$E:$E,'РПН по МО'!$F:$F,A115)</f>
        <v>24583</v>
      </c>
      <c r="H115" s="25" t="n">
        <f aca="false">IF(G115&gt;0,G115/F115,"")</f>
        <v>0.693018451549319</v>
      </c>
      <c r="I115" s="22" t="n">
        <f aca="false">IF(G115&gt;0,ROUND(1+$I$3*$I$4/H115,4),"")</f>
        <v>8.401</v>
      </c>
      <c r="J115" s="33" t="n">
        <f aca="false">IF(D115="район",MIN(I115,2),IF(D115="город респ. значения",1,IF(D115="областной центр",1,1.5)))</f>
        <v>2</v>
      </c>
      <c r="K115" s="34" t="n">
        <v>2</v>
      </c>
      <c r="L115" s="35" t="n">
        <f aca="false">J115-K115</f>
        <v>0</v>
      </c>
      <c r="M115" s="36" t="n">
        <f aca="false">IF(D115="город респ. значения","",H115)</f>
        <v>0.693018451549319</v>
      </c>
      <c r="N115" s="37" t="n">
        <f aca="false">IF(D115="город респ. значения","",G115)</f>
        <v>24583</v>
      </c>
    </row>
    <row r="116" customFormat="false" ht="15" hidden="false" customHeight="false" outlineLevel="0" collapsed="false">
      <c r="A116" s="20" t="s">
        <v>158</v>
      </c>
      <c r="B116" s="20" t="s">
        <v>14</v>
      </c>
      <c r="C116" s="20" t="s">
        <v>385</v>
      </c>
      <c r="D116" s="31" t="s">
        <v>280</v>
      </c>
      <c r="E116" s="32" t="n">
        <f aca="false">SUMIFS('Площадь МСХ'!$D:$D,'Площадь МСХ'!$E:$E,A116)</f>
        <v>4632.6301005</v>
      </c>
      <c r="F116" s="32" t="n">
        <f aca="false">E116*10</f>
        <v>46326.301005</v>
      </c>
      <c r="G116" s="21" t="n">
        <f aca="false">SUMIFS('РПН по МО'!$E:$E,'РПН по МО'!$F:$F,A116)</f>
        <v>18022</v>
      </c>
      <c r="H116" s="25" t="n">
        <f aca="false">IF(G116&gt;0,G116/F116,"")</f>
        <v>0.389023073481625</v>
      </c>
      <c r="I116" s="22" t="n">
        <f aca="false">IF(G116&gt;0,ROUND(1+$I$3*$I$4/H116,4),"")</f>
        <v>14.1844</v>
      </c>
      <c r="J116" s="33" t="n">
        <f aca="false">IF(D116="район",MIN(I116,2),IF(D116="город респ. значения",1,IF(D116="областной центр",1,1.5)))</f>
        <v>2</v>
      </c>
      <c r="K116" s="34" t="n">
        <v>2</v>
      </c>
      <c r="L116" s="35" t="n">
        <f aca="false">J116-K116</f>
        <v>0</v>
      </c>
      <c r="M116" s="36" t="n">
        <f aca="false">IF(D116="город респ. значения","",H116)</f>
        <v>0.389023073481625</v>
      </c>
      <c r="N116" s="37" t="n">
        <f aca="false">IF(D116="город респ. значения","",G116)</f>
        <v>18022</v>
      </c>
    </row>
    <row r="117" customFormat="false" ht="15" hidden="false" customHeight="false" outlineLevel="0" collapsed="false">
      <c r="A117" s="20" t="s">
        <v>159</v>
      </c>
      <c r="B117" s="20" t="s">
        <v>14</v>
      </c>
      <c r="C117" s="20" t="s">
        <v>386</v>
      </c>
      <c r="D117" s="31" t="s">
        <v>280</v>
      </c>
      <c r="E117" s="32" t="n">
        <f aca="false">SUMIFS('Площадь МСХ'!$D:$D,'Площадь МСХ'!$E:$E,A117)</f>
        <v>1126.147</v>
      </c>
      <c r="F117" s="32" t="n">
        <f aca="false">E117*10</f>
        <v>11261.47</v>
      </c>
      <c r="G117" s="21" t="n">
        <f aca="false">SUMIFS('РПН по МО'!$E:$E,'РПН по МО'!$F:$F,A117)</f>
        <v>28367</v>
      </c>
      <c r="H117" s="25" t="n">
        <f aca="false">IF(G117&gt;0,G117/F117,"")</f>
        <v>2.51894290887424</v>
      </c>
      <c r="I117" s="22" t="n">
        <f aca="false">IF(G117&gt;0,ROUND(1+$I$3*$I$4/H117,4),"")</f>
        <v>3.0362</v>
      </c>
      <c r="J117" s="33" t="n">
        <f aca="false">IF(D117="район",MIN(I117,2),IF(D117="город респ. значения",1,IF(D117="областной центр",1,1.5)))</f>
        <v>2</v>
      </c>
      <c r="K117" s="34" t="n">
        <v>1.769</v>
      </c>
      <c r="L117" s="35" t="n">
        <f aca="false">J117-K117</f>
        <v>0.231</v>
      </c>
      <c r="M117" s="36" t="n">
        <f aca="false">IF(D117="город респ. значения","",H117)</f>
        <v>2.51894290887424</v>
      </c>
      <c r="N117" s="37" t="n">
        <f aca="false">IF(D117="город респ. значения","",G117)</f>
        <v>28367</v>
      </c>
    </row>
    <row r="118" customFormat="false" ht="15" hidden="false" customHeight="false" outlineLevel="0" collapsed="false">
      <c r="A118" s="20" t="s">
        <v>160</v>
      </c>
      <c r="B118" s="20" t="s">
        <v>14</v>
      </c>
      <c r="C118" s="20" t="s">
        <v>387</v>
      </c>
      <c r="D118" s="31" t="s">
        <v>280</v>
      </c>
      <c r="E118" s="32" t="n">
        <f aca="false">SUMIFS('Площадь МСХ'!$D:$D,'Площадь МСХ'!$E:$E,A118)</f>
        <v>6569.4047539</v>
      </c>
      <c r="F118" s="32" t="n">
        <f aca="false">E118*10</f>
        <v>65694.047539</v>
      </c>
      <c r="G118" s="21" t="n">
        <f aca="false">SUMIFS('РПН по МО'!$E:$E,'РПН по МО'!$F:$F,A118)</f>
        <v>31193</v>
      </c>
      <c r="H118" s="25" t="n">
        <f aca="false">IF(G118&gt;0,G118/F118,"")</f>
        <v>0.474822319046211</v>
      </c>
      <c r="I118" s="22" t="n">
        <f aca="false">IF(G118&gt;0,ROUND(1+$I$3*$I$4/H118,4),"")</f>
        <v>11.802</v>
      </c>
      <c r="J118" s="33" t="n">
        <f aca="false">IF(D118="район",MIN(I118,2),IF(D118="город респ. значения",1,IF(D118="областной центр",1,1.5)))</f>
        <v>2</v>
      </c>
      <c r="K118" s="34" t="n">
        <v>2</v>
      </c>
      <c r="L118" s="35" t="n">
        <f aca="false">J118-K118</f>
        <v>0</v>
      </c>
      <c r="M118" s="36" t="n">
        <f aca="false">IF(D118="город респ. значения","",H118)</f>
        <v>0.474822319046211</v>
      </c>
      <c r="N118" s="37" t="n">
        <f aca="false">IF(D118="город респ. значения","",G118)</f>
        <v>31193</v>
      </c>
    </row>
    <row r="119" customFormat="false" ht="15" hidden="false" customHeight="false" outlineLevel="0" collapsed="false">
      <c r="A119" s="20" t="s">
        <v>161</v>
      </c>
      <c r="B119" s="20" t="s">
        <v>15</v>
      </c>
      <c r="C119" s="20" t="s">
        <v>388</v>
      </c>
      <c r="D119" s="31" t="s">
        <v>276</v>
      </c>
      <c r="E119" s="32" t="n">
        <f aca="false">SUMIFS('Площадь МСХ'!$D:$D,'Площадь МСХ'!$E:$E,A119)</f>
        <v>28.0747000024103</v>
      </c>
      <c r="F119" s="32" t="n">
        <f aca="false">E119*10</f>
        <v>280.747000024103</v>
      </c>
      <c r="G119" s="21" t="n">
        <f aca="false">SUMIFS('РПН по МО'!$E:$E,'РПН по МО'!$F:$F,A119)</f>
        <v>304566</v>
      </c>
      <c r="H119" s="25" t="n">
        <f aca="false">IF(G119&gt;0,G119/F119,"")</f>
        <v>1084.84151201563</v>
      </c>
      <c r="I119" s="22" t="n">
        <f aca="false">IF(G119&gt;0,ROUND(1+$I$3*$I$4/H119,4),"")</f>
        <v>1.0047</v>
      </c>
      <c r="J119" s="33" t="n">
        <f aca="false">IF(D119="район",MIN(I119,2),IF(D119="город респ. значения",1,IF(D119="областной центр",1,1.5)))</f>
        <v>1</v>
      </c>
      <c r="K119" s="34" t="n">
        <v>1</v>
      </c>
      <c r="L119" s="35" t="n">
        <f aca="false">J119-K119</f>
        <v>0</v>
      </c>
      <c r="M119" s="36" t="n">
        <f aca="false">IF(D119="город респ. значения","",H119)</f>
        <v>1084.84151201563</v>
      </c>
      <c r="N119" s="37" t="n">
        <f aca="false">IF(D119="город респ. значения","",G119)</f>
        <v>304566</v>
      </c>
    </row>
    <row r="120" customFormat="false" ht="15" hidden="false" customHeight="false" outlineLevel="0" collapsed="false">
      <c r="A120" s="20" t="s">
        <v>162</v>
      </c>
      <c r="B120" s="20" t="s">
        <v>15</v>
      </c>
      <c r="C120" s="20" t="s">
        <v>389</v>
      </c>
      <c r="D120" s="31" t="s">
        <v>278</v>
      </c>
      <c r="E120" s="32" t="n">
        <f aca="false">SUMIFS('Площадь МСХ'!$D:$D,'Площадь МСХ'!$E:$E,A120)</f>
        <v>1558.72</v>
      </c>
      <c r="F120" s="32" t="n">
        <f aca="false">E120*10</f>
        <v>15587.2</v>
      </c>
      <c r="G120" s="21" t="n">
        <f aca="false">SUMIFS('РПН по МО'!$E:$E,'РПН по МО'!$F:$F,A120)</f>
        <v>33974</v>
      </c>
      <c r="H120" s="25" t="n">
        <f aca="false">IF(G120&gt;0,G120/F120,"")</f>
        <v>2.17960890987477</v>
      </c>
      <c r="I120" s="22" t="n">
        <f aca="false">IF(G120&gt;0,ROUND(1+$I$3*$I$4/H120,4),"")</f>
        <v>3.3532</v>
      </c>
      <c r="J120" s="33" t="n">
        <f aca="false">IF(D120="район",MIN(I120,2),IF(D120="город респ. значения",1,IF(D120="областной центр",1,1.5)))</f>
        <v>1.5</v>
      </c>
      <c r="K120" s="34" t="n">
        <v>1.5</v>
      </c>
      <c r="L120" s="35" t="n">
        <f aca="false">J120-K120</f>
        <v>0</v>
      </c>
      <c r="M120" s="36" t="n">
        <f aca="false">IF(D120="город респ. значения","",H120)</f>
        <v>2.17960890987477</v>
      </c>
      <c r="N120" s="37" t="n">
        <f aca="false">IF(D120="город респ. значения","",G120)</f>
        <v>33974</v>
      </c>
    </row>
    <row r="121" customFormat="false" ht="15" hidden="false" customHeight="false" outlineLevel="0" collapsed="false">
      <c r="A121" s="20" t="s">
        <v>163</v>
      </c>
      <c r="B121" s="20" t="s">
        <v>15</v>
      </c>
      <c r="C121" s="20" t="s">
        <v>390</v>
      </c>
      <c r="D121" s="31" t="s">
        <v>278</v>
      </c>
      <c r="E121" s="32" t="n">
        <f aca="false">SUMIFS('Площадь МСХ'!$D:$D,'Площадь МСХ'!$E:$E,A121)</f>
        <v>14.505</v>
      </c>
      <c r="F121" s="32" t="n">
        <f aca="false">E121*10</f>
        <v>145.05</v>
      </c>
      <c r="G121" s="21" t="n">
        <f aca="false">SUMIFS('РПН по МО'!$E:$E,'РПН по МО'!$F:$F,A121)</f>
        <v>31868</v>
      </c>
      <c r="H121" s="25" t="n">
        <f aca="false">IF(G121&gt;0,G121/F121,"")</f>
        <v>219.703550499828</v>
      </c>
      <c r="I121" s="22" t="n">
        <f aca="false">IF(G121&gt;0,ROUND(1+$I$3*$I$4/H121,4),"")</f>
        <v>1.0233</v>
      </c>
      <c r="J121" s="33" t="n">
        <f aca="false">IF(D121="район",MIN(I121,2),IF(D121="город респ. значения",1,IF(D121="областной центр",1,1.5)))</f>
        <v>1.5</v>
      </c>
      <c r="K121" s="34" t="n">
        <v>1.5</v>
      </c>
      <c r="L121" s="35" t="n">
        <f aca="false">J121-K121</f>
        <v>0</v>
      </c>
      <c r="M121" s="36" t="n">
        <f aca="false">IF(D121="город респ. значения","",H121)</f>
        <v>219.703550499828</v>
      </c>
      <c r="N121" s="37" t="n">
        <f aca="false">IF(D121="город респ. значения","",G121)</f>
        <v>31868</v>
      </c>
    </row>
    <row r="122" customFormat="false" ht="15" hidden="false" customHeight="false" outlineLevel="0" collapsed="false">
      <c r="A122" s="20" t="s">
        <v>164</v>
      </c>
      <c r="B122" s="20" t="s">
        <v>15</v>
      </c>
      <c r="C122" s="20" t="s">
        <v>391</v>
      </c>
      <c r="D122" s="31" t="s">
        <v>278</v>
      </c>
      <c r="E122" s="32" t="n">
        <f aca="false">SUMIFS('Площадь МСХ'!$D:$D,'Площадь МСХ'!$E:$E,A122)</f>
        <v>25.565</v>
      </c>
      <c r="F122" s="32" t="n">
        <f aca="false">E122*10</f>
        <v>255.65</v>
      </c>
      <c r="G122" s="21" t="n">
        <f aca="false">SUMIFS('РПН по МО'!$E:$E,'РПН по МО'!$F:$F,A122)</f>
        <v>118914</v>
      </c>
      <c r="H122" s="25" t="n">
        <f aca="false">IF(G122&gt;0,G122/F122,"")</f>
        <v>465.143751222374</v>
      </c>
      <c r="I122" s="22" t="n">
        <f aca="false">IF(G122&gt;0,ROUND(1+$I$3*$I$4/H122,4),"")</f>
        <v>1.011</v>
      </c>
      <c r="J122" s="33" t="n">
        <f aca="false">IF(D122="район",MIN(I122,2),IF(D122="город респ. значения",1,IF(D122="областной центр",1,1.5)))</f>
        <v>1.5</v>
      </c>
      <c r="K122" s="34" t="n">
        <v>1.5</v>
      </c>
      <c r="L122" s="35" t="n">
        <f aca="false">J122-K122</f>
        <v>0</v>
      </c>
      <c r="M122" s="36" t="n">
        <f aca="false">IF(D122="город респ. значения","",H122)</f>
        <v>465.143751222374</v>
      </c>
      <c r="N122" s="37" t="n">
        <f aca="false">IF(D122="город респ. значения","",G122)</f>
        <v>118914</v>
      </c>
    </row>
    <row r="123" customFormat="false" ht="15" hidden="false" customHeight="false" outlineLevel="0" collapsed="false">
      <c r="A123" s="20" t="s">
        <v>165</v>
      </c>
      <c r="B123" s="20" t="s">
        <v>15</v>
      </c>
      <c r="C123" s="20" t="s">
        <v>392</v>
      </c>
      <c r="D123" s="31" t="s">
        <v>280</v>
      </c>
      <c r="E123" s="32" t="n">
        <f aca="false">SUMIFS('Площадь МСХ'!$D:$D,'Площадь МСХ'!$E:$E,A123)</f>
        <v>544.767</v>
      </c>
      <c r="F123" s="32" t="n">
        <f aca="false">E123*10</f>
        <v>5447.67</v>
      </c>
      <c r="G123" s="21" t="n">
        <f aca="false">SUMIFS('РПН по МО'!$E:$E,'РПН по МО'!$F:$F,A123)</f>
        <v>9639</v>
      </c>
      <c r="H123" s="25" t="n">
        <f aca="false">IF(G123&gt;0,G123/F123,"")</f>
        <v>1.76938030387303</v>
      </c>
      <c r="I123" s="22" t="n">
        <f aca="false">IF(G123&gt;0,ROUND(1+$I$3*$I$4/H123,4),"")</f>
        <v>3.8988</v>
      </c>
      <c r="J123" s="33" t="n">
        <f aca="false">IF(D123="район",MIN(I123,2),IF(D123="город респ. значения",1,IF(D123="областной центр",1,1.5)))</f>
        <v>2</v>
      </c>
      <c r="K123" s="34" t="n">
        <v>1.8963</v>
      </c>
      <c r="L123" s="35" t="n">
        <f aca="false">J123-K123</f>
        <v>0.1037</v>
      </c>
      <c r="M123" s="36" t="n">
        <f aca="false">IF(D123="город респ. значения","",H123)</f>
        <v>1.76938030387303</v>
      </c>
      <c r="N123" s="37" t="n">
        <f aca="false">IF(D123="город респ. значения","",G123)</f>
        <v>9639</v>
      </c>
    </row>
    <row r="124" customFormat="false" ht="15" hidden="false" customHeight="false" outlineLevel="0" collapsed="false">
      <c r="A124" s="20" t="s">
        <v>166</v>
      </c>
      <c r="B124" s="20" t="s">
        <v>15</v>
      </c>
      <c r="C124" s="20" t="s">
        <v>393</v>
      </c>
      <c r="D124" s="31" t="s">
        <v>280</v>
      </c>
      <c r="E124" s="32" t="n">
        <f aca="false">SUMIFS('Площадь МСХ'!$D:$D,'Площадь МСХ'!$E:$E,A124)</f>
        <v>2250.988</v>
      </c>
      <c r="F124" s="32" t="n">
        <f aca="false">E124*10</f>
        <v>22509.88</v>
      </c>
      <c r="G124" s="21" t="n">
        <f aca="false">SUMIFS('РПН по МО'!$E:$E,'РПН по МО'!$F:$F,A124)</f>
        <v>9576</v>
      </c>
      <c r="H124" s="25" t="n">
        <f aca="false">IF(G124&gt;0,G124/F124,"")</f>
        <v>0.425413196338674</v>
      </c>
      <c r="I124" s="22" t="n">
        <f aca="false">IF(G124&gt;0,ROUND(1+$I$3*$I$4/H124,4),"")</f>
        <v>13.0566</v>
      </c>
      <c r="J124" s="33" t="n">
        <f aca="false">IF(D124="район",MIN(I124,2),IF(D124="город респ. значения",1,IF(D124="областной центр",1,1.5)))</f>
        <v>2</v>
      </c>
      <c r="K124" s="34" t="n">
        <v>2</v>
      </c>
      <c r="L124" s="35" t="n">
        <f aca="false">J124-K124</f>
        <v>0</v>
      </c>
      <c r="M124" s="36" t="n">
        <f aca="false">IF(D124="город респ. значения","",H124)</f>
        <v>0.425413196338674</v>
      </c>
      <c r="N124" s="37" t="n">
        <f aca="false">IF(D124="город респ. значения","",G124)</f>
        <v>9576</v>
      </c>
    </row>
    <row r="125" customFormat="false" ht="15" hidden="false" customHeight="false" outlineLevel="0" collapsed="false">
      <c r="A125" s="20" t="s">
        <v>167</v>
      </c>
      <c r="B125" s="20" t="s">
        <v>15</v>
      </c>
      <c r="C125" s="20" t="s">
        <v>394</v>
      </c>
      <c r="D125" s="31" t="s">
        <v>280</v>
      </c>
      <c r="E125" s="32" t="n">
        <f aca="false">SUMIFS('Площадь МСХ'!$D:$D,'Площадь МСХ'!$E:$E,A125)</f>
        <v>1110.872</v>
      </c>
      <c r="F125" s="32" t="n">
        <f aca="false">E125*10</f>
        <v>11108.72</v>
      </c>
      <c r="G125" s="21" t="n">
        <f aca="false">SUMIFS('РПН по МО'!$E:$E,'РПН по МО'!$F:$F,A125)</f>
        <v>28596</v>
      </c>
      <c r="H125" s="25" t="n">
        <f aca="false">IF(G125&gt;0,G125/F125,"")</f>
        <v>2.5741939665416</v>
      </c>
      <c r="I125" s="22" t="n">
        <f aca="false">IF(G125&gt;0,ROUND(1+$I$3*$I$4/H125,4),"")</f>
        <v>2.9925</v>
      </c>
      <c r="J125" s="33" t="n">
        <f aca="false">IF(D125="район",MIN(I125,2),IF(D125="город респ. значения",1,IF(D125="областной центр",1,1.5)))</f>
        <v>2</v>
      </c>
      <c r="K125" s="34" t="n">
        <v>1.6586</v>
      </c>
      <c r="L125" s="35" t="n">
        <f aca="false">J125-K125</f>
        <v>0.3414</v>
      </c>
      <c r="M125" s="36" t="n">
        <f aca="false">IF(D125="город респ. значения","",H125)</f>
        <v>2.5741939665416</v>
      </c>
      <c r="N125" s="37" t="n">
        <f aca="false">IF(D125="город респ. значения","",G125)</f>
        <v>28596</v>
      </c>
    </row>
    <row r="126" customFormat="false" ht="15" hidden="false" customHeight="false" outlineLevel="0" collapsed="false">
      <c r="A126" s="20" t="s">
        <v>168</v>
      </c>
      <c r="B126" s="20" t="s">
        <v>15</v>
      </c>
      <c r="C126" s="20" t="s">
        <v>395</v>
      </c>
      <c r="D126" s="31" t="s">
        <v>280</v>
      </c>
      <c r="E126" s="32" t="n">
        <f aca="false">SUMIFS('Площадь МСХ'!$D:$D,'Площадь МСХ'!$E:$E,A126)</f>
        <v>676.901</v>
      </c>
      <c r="F126" s="32" t="n">
        <f aca="false">E126*10</f>
        <v>6769.01</v>
      </c>
      <c r="G126" s="21" t="n">
        <f aca="false">SUMIFS('РПН по МО'!$E:$E,'РПН по МО'!$F:$F,A126)</f>
        <v>13668</v>
      </c>
      <c r="H126" s="25" t="n">
        <f aca="false">IF(G126&gt;0,G126/F126,"")</f>
        <v>2.01920221716322</v>
      </c>
      <c r="I126" s="22" t="n">
        <f aca="false">IF(G126&gt;0,ROUND(1+$I$3*$I$4/H126,4),"")</f>
        <v>3.5401</v>
      </c>
      <c r="J126" s="33" t="n">
        <f aca="false">IF(D126="район",MIN(I126,2),IF(D126="город респ. значения",1,IF(D126="областной центр",1,1.5)))</f>
        <v>2</v>
      </c>
      <c r="K126" s="34" t="n">
        <v>1.85</v>
      </c>
      <c r="L126" s="35" t="n">
        <f aca="false">J126-K126</f>
        <v>0.15</v>
      </c>
      <c r="M126" s="36" t="n">
        <f aca="false">IF(D126="город респ. значения","",H126)</f>
        <v>2.01920221716322</v>
      </c>
      <c r="N126" s="37" t="n">
        <f aca="false">IF(D126="город респ. значения","",G126)</f>
        <v>13668</v>
      </c>
    </row>
    <row r="127" customFormat="false" ht="15" hidden="false" customHeight="false" outlineLevel="0" collapsed="false">
      <c r="A127" s="20" t="s">
        <v>169</v>
      </c>
      <c r="B127" s="20" t="s">
        <v>15</v>
      </c>
      <c r="C127" s="20" t="s">
        <v>396</v>
      </c>
      <c r="D127" s="31" t="s">
        <v>280</v>
      </c>
      <c r="E127" s="32" t="n">
        <f aca="false">SUMIFS('Площадь МСХ'!$D:$D,'Площадь МСХ'!$E:$E,A127)</f>
        <v>3759.6242</v>
      </c>
      <c r="F127" s="32" t="n">
        <f aca="false">E127*10</f>
        <v>37596.242</v>
      </c>
      <c r="G127" s="21" t="n">
        <f aca="false">SUMIFS('РПН по МО'!$E:$E,'РПН по МО'!$F:$F,A127)</f>
        <v>7707</v>
      </c>
      <c r="H127" s="25" t="n">
        <f aca="false">IF(G127&gt;0,G127/F127,"")</f>
        <v>0.204993892740663</v>
      </c>
      <c r="I127" s="22" t="n">
        <f aca="false">IF(G127&gt;0,ROUND(1+$I$3*$I$4/H127,4),"")</f>
        <v>26.0204</v>
      </c>
      <c r="J127" s="33" t="n">
        <f aca="false">IF(D127="район",MIN(I127,2),IF(D127="город респ. значения",1,IF(D127="областной центр",1,1.5)))</f>
        <v>2</v>
      </c>
      <c r="K127" s="34" t="n">
        <v>2</v>
      </c>
      <c r="L127" s="35" t="n">
        <f aca="false">J127-K127</f>
        <v>0</v>
      </c>
      <c r="M127" s="36" t="n">
        <f aca="false">IF(D127="город респ. значения","",H127)</f>
        <v>0.204993892740663</v>
      </c>
      <c r="N127" s="37" t="n">
        <f aca="false">IF(D127="город респ. значения","",G127)</f>
        <v>7707</v>
      </c>
    </row>
    <row r="128" customFormat="false" ht="15" hidden="false" customHeight="false" outlineLevel="0" collapsed="false">
      <c r="A128" s="20" t="s">
        <v>170</v>
      </c>
      <c r="B128" s="20" t="s">
        <v>15</v>
      </c>
      <c r="C128" s="20" t="s">
        <v>397</v>
      </c>
      <c r="D128" s="31" t="s">
        <v>280</v>
      </c>
      <c r="E128" s="32" t="n">
        <f aca="false">SUMIFS('Площадь МСХ'!$D:$D,'Площадь МСХ'!$E:$E,A128)</f>
        <v>731.1993</v>
      </c>
      <c r="F128" s="32" t="n">
        <f aca="false">E128*10</f>
        <v>7311.993</v>
      </c>
      <c r="G128" s="21" t="n">
        <f aca="false">SUMIFS('РПН по МО'!$E:$E,'РПН по МО'!$F:$F,A128)</f>
        <v>35195</v>
      </c>
      <c r="H128" s="25" t="n">
        <f aca="false">IF(G128&gt;0,G128/F128,"")</f>
        <v>4.81332517687038</v>
      </c>
      <c r="I128" s="22" t="n">
        <f aca="false">IF(G128&gt;0,ROUND(1+$I$3*$I$4/H128,4),"")</f>
        <v>2.0656</v>
      </c>
      <c r="J128" s="33" t="n">
        <f aca="false">IF(D128="район",MIN(I128,2),IF(D128="город респ. значения",1,IF(D128="областной центр",1,1.5)))</f>
        <v>2</v>
      </c>
      <c r="K128" s="34" t="n">
        <v>1.3531</v>
      </c>
      <c r="L128" s="35" t="n">
        <f aca="false">J128-K128</f>
        <v>0.6469</v>
      </c>
      <c r="M128" s="36" t="n">
        <f aca="false">IF(D128="город респ. значения","",H128)</f>
        <v>4.81332517687038</v>
      </c>
      <c r="N128" s="37" t="n">
        <f aca="false">IF(D128="город респ. значения","",G128)</f>
        <v>35195</v>
      </c>
    </row>
    <row r="129" customFormat="false" ht="15" hidden="false" customHeight="false" outlineLevel="0" collapsed="false">
      <c r="A129" s="20" t="s">
        <v>171</v>
      </c>
      <c r="B129" s="20" t="s">
        <v>15</v>
      </c>
      <c r="C129" s="20" t="s">
        <v>398</v>
      </c>
      <c r="D129" s="31" t="s">
        <v>280</v>
      </c>
      <c r="E129" s="32" t="n">
        <f aca="false">SUMIFS('Площадь МСХ'!$D:$D,'Площадь МСХ'!$E:$E,A129)</f>
        <v>1205.42400016084</v>
      </c>
      <c r="F129" s="32" t="n">
        <f aca="false">E129*10</f>
        <v>12054.2400016084</v>
      </c>
      <c r="G129" s="21" t="n">
        <f aca="false">SUMIFS('РПН по МО'!$E:$E,'РПН по МО'!$F:$F,A129)</f>
        <v>7663</v>
      </c>
      <c r="H129" s="25" t="n">
        <f aca="false">IF(G129&gt;0,G129/F129,"")</f>
        <v>0.635709924389885</v>
      </c>
      <c r="I129" s="22" t="n">
        <f aca="false">IF(G129&gt;0,ROUND(1+$I$3*$I$4/H129,4),"")</f>
        <v>9.0682</v>
      </c>
      <c r="J129" s="33" t="n">
        <f aca="false">IF(D129="район",MIN(I129,2),IF(D129="город респ. значения",1,IF(D129="областной центр",1,1.5)))</f>
        <v>2</v>
      </c>
      <c r="K129" s="34" t="n">
        <v>2</v>
      </c>
      <c r="L129" s="35" t="n">
        <f aca="false">J129-K129</f>
        <v>0</v>
      </c>
      <c r="M129" s="36" t="n">
        <f aca="false">IF(D129="город респ. значения","",H129)</f>
        <v>0.635709924389885</v>
      </c>
      <c r="N129" s="37" t="n">
        <f aca="false">IF(D129="город респ. значения","",G129)</f>
        <v>7663</v>
      </c>
    </row>
    <row r="130" customFormat="false" ht="15" hidden="false" customHeight="false" outlineLevel="0" collapsed="false">
      <c r="A130" s="20" t="s">
        <v>172</v>
      </c>
      <c r="B130" s="20" t="s">
        <v>15</v>
      </c>
      <c r="C130" s="20" t="s">
        <v>399</v>
      </c>
      <c r="D130" s="31" t="s">
        <v>280</v>
      </c>
      <c r="E130" s="32" t="n">
        <f aca="false">SUMIFS('Площадь МСХ'!$D:$D,'Площадь МСХ'!$E:$E,A130)</f>
        <v>686.23</v>
      </c>
      <c r="F130" s="32" t="n">
        <f aca="false">E130*10</f>
        <v>6862.3</v>
      </c>
      <c r="G130" s="21" t="n">
        <f aca="false">SUMIFS('РПН по МО'!$E:$E,'РПН по МО'!$F:$F,A130)</f>
        <v>20414</v>
      </c>
      <c r="H130" s="25" t="n">
        <f aca="false">IF(G130&gt;0,G130/F130,"")</f>
        <v>2.97480436588316</v>
      </c>
      <c r="I130" s="22" t="n">
        <f aca="false">IF(G130&gt;0,ROUND(1+$I$3*$I$4/H130,4),"")</f>
        <v>2.7242</v>
      </c>
      <c r="J130" s="33" t="n">
        <f aca="false">IF(D130="район",MIN(I130,2),IF(D130="город респ. значения",1,IF(D130="областной центр",1,1.5)))</f>
        <v>2</v>
      </c>
      <c r="K130" s="34" t="n">
        <v>1.5805</v>
      </c>
      <c r="L130" s="35" t="n">
        <f aca="false">J130-K130</f>
        <v>0.4195</v>
      </c>
      <c r="M130" s="36" t="n">
        <f aca="false">IF(D130="город респ. значения","",H130)</f>
        <v>2.97480436588316</v>
      </c>
      <c r="N130" s="37" t="n">
        <f aca="false">IF(D130="город респ. значения","",G130)</f>
        <v>20414</v>
      </c>
    </row>
    <row r="131" customFormat="false" ht="15" hidden="false" customHeight="false" outlineLevel="0" collapsed="false">
      <c r="A131" s="20" t="s">
        <v>173</v>
      </c>
      <c r="B131" s="20" t="s">
        <v>15</v>
      </c>
      <c r="C131" s="20" t="s">
        <v>400</v>
      </c>
      <c r="D131" s="31" t="s">
        <v>280</v>
      </c>
      <c r="E131" s="32" t="n">
        <f aca="false">SUMIFS('Площадь МСХ'!$D:$D,'Площадь МСХ'!$E:$E,A131)</f>
        <v>1278.207</v>
      </c>
      <c r="F131" s="32" t="n">
        <f aca="false">E131*10</f>
        <v>12782.07</v>
      </c>
      <c r="G131" s="21" t="n">
        <f aca="false">SUMIFS('РПН по МО'!$E:$E,'РПН по МО'!$F:$F,A131)</f>
        <v>16226</v>
      </c>
      <c r="H131" s="25" t="n">
        <f aca="false">IF(G131&gt;0,G131/F131,"")</f>
        <v>1.26943444997563</v>
      </c>
      <c r="I131" s="22" t="n">
        <f aca="false">IF(G131&gt;0,ROUND(1+$I$3*$I$4/H131,4),"")</f>
        <v>5.0404</v>
      </c>
      <c r="J131" s="33" t="n">
        <f aca="false">IF(D131="район",MIN(I131,2),IF(D131="город респ. значения",1,IF(D131="областной центр",1,1.5)))</f>
        <v>2</v>
      </c>
      <c r="K131" s="34" t="n">
        <v>2</v>
      </c>
      <c r="L131" s="35" t="n">
        <f aca="false">J131-K131</f>
        <v>0</v>
      </c>
      <c r="M131" s="36" t="n">
        <f aca="false">IF(D131="город респ. значения","",H131)</f>
        <v>1.26943444997563</v>
      </c>
      <c r="N131" s="37" t="n">
        <f aca="false">IF(D131="город респ. значения","",G131)</f>
        <v>16226</v>
      </c>
    </row>
    <row r="132" customFormat="false" ht="15" hidden="false" customHeight="false" outlineLevel="0" collapsed="false">
      <c r="A132" s="20" t="s">
        <v>174</v>
      </c>
      <c r="B132" s="20" t="s">
        <v>15</v>
      </c>
      <c r="C132" s="20" t="s">
        <v>401</v>
      </c>
      <c r="D132" s="31" t="s">
        <v>280</v>
      </c>
      <c r="E132" s="32" t="n">
        <f aca="false">SUMIFS('Площадь МСХ'!$D:$D,'Площадь МСХ'!$E:$E,A132)</f>
        <v>738.82999997</v>
      </c>
      <c r="F132" s="32" t="n">
        <f aca="false">E132*10</f>
        <v>7388.2999997</v>
      </c>
      <c r="G132" s="21" t="n">
        <f aca="false">SUMIFS('РПН по МО'!$E:$E,'РПН по МО'!$F:$F,A132)</f>
        <v>58428</v>
      </c>
      <c r="H132" s="25" t="n">
        <f aca="false">IF(G132&gt;0,G132/F132,"")</f>
        <v>7.90817914843367</v>
      </c>
      <c r="I132" s="22" t="n">
        <f aca="false">IF(G132&gt;0,ROUND(1+$I$3*$I$4/H132,4),"")</f>
        <v>1.6486</v>
      </c>
      <c r="J132" s="33" t="n">
        <f aca="false">IF(D132="район",MIN(I132,2),IF(D132="город респ. значения",1,IF(D132="областной центр",1,1.5)))</f>
        <v>1.6486</v>
      </c>
      <c r="K132" s="34" t="n">
        <v>1.2078</v>
      </c>
      <c r="L132" s="35" t="n">
        <f aca="false">J132-K132</f>
        <v>0.4408</v>
      </c>
      <c r="M132" s="36" t="n">
        <f aca="false">IF(D132="город респ. значения","",H132)</f>
        <v>7.90817914843367</v>
      </c>
      <c r="N132" s="37" t="n">
        <f aca="false">IF(D132="город респ. значения","",G132)</f>
        <v>58428</v>
      </c>
    </row>
    <row r="133" customFormat="false" ht="15" hidden="false" customHeight="false" outlineLevel="0" collapsed="false">
      <c r="A133" s="20" t="s">
        <v>175</v>
      </c>
      <c r="B133" s="20" t="s">
        <v>15</v>
      </c>
      <c r="C133" s="20" t="s">
        <v>402</v>
      </c>
      <c r="D133" s="31" t="s">
        <v>280</v>
      </c>
      <c r="E133" s="32" t="n">
        <f aca="false">SUMIFS('Площадь МСХ'!$D:$D,'Площадь МСХ'!$E:$E,A133)</f>
        <v>661.773</v>
      </c>
      <c r="F133" s="32" t="n">
        <f aca="false">E133*10</f>
        <v>6617.73</v>
      </c>
      <c r="G133" s="21" t="n">
        <f aca="false">SUMIFS('РПН по МО'!$E:$E,'РПН по МО'!$F:$F,A133)</f>
        <v>16539</v>
      </c>
      <c r="H133" s="25" t="n">
        <f aca="false">IF(G133&gt;0,G133/F133,"")</f>
        <v>2.49919534341836</v>
      </c>
      <c r="I133" s="22" t="n">
        <f aca="false">IF(G133&gt;0,ROUND(1+$I$3*$I$4/H133,4),"")</f>
        <v>3.0523</v>
      </c>
      <c r="J133" s="33" t="n">
        <f aca="false">IF(D133="район",MIN(I133,2),IF(D133="город респ. значения",1,IF(D133="областной центр",1,1.5)))</f>
        <v>2</v>
      </c>
      <c r="K133" s="34" t="n">
        <v>1.6163</v>
      </c>
      <c r="L133" s="35" t="n">
        <f aca="false">J133-K133</f>
        <v>0.3837</v>
      </c>
      <c r="M133" s="36" t="n">
        <f aca="false">IF(D133="город респ. значения","",H133)</f>
        <v>2.49919534341836</v>
      </c>
      <c r="N133" s="37" t="n">
        <f aca="false">IF(D133="город респ. значения","",G133)</f>
        <v>16539</v>
      </c>
    </row>
    <row r="134" customFormat="false" ht="15" hidden="false" customHeight="false" outlineLevel="0" collapsed="false">
      <c r="A134" s="20" t="s">
        <v>176</v>
      </c>
      <c r="B134" s="20" t="s">
        <v>15</v>
      </c>
      <c r="C134" s="20" t="s">
        <v>403</v>
      </c>
      <c r="D134" s="31" t="s">
        <v>280</v>
      </c>
      <c r="E134" s="32" t="n">
        <f aca="false">SUMIFS('Площадь МСХ'!$D:$D,'Площадь МСХ'!$E:$E,A134)</f>
        <v>1519.755</v>
      </c>
      <c r="F134" s="32" t="n">
        <f aca="false">E134*10</f>
        <v>15197.55</v>
      </c>
      <c r="G134" s="21" t="n">
        <f aca="false">SUMIFS('РПН по МО'!$E:$E,'РПН по МО'!$F:$F,A134)</f>
        <v>5775</v>
      </c>
      <c r="H134" s="25" t="n">
        <f aca="false">IF(G134&gt;0,G134/F134,"")</f>
        <v>0.379995459794506</v>
      </c>
      <c r="I134" s="22" t="n">
        <f aca="false">IF(G134&gt;0,ROUND(1+$I$3*$I$4/H134,4),"")</f>
        <v>14.4976</v>
      </c>
      <c r="J134" s="33" t="n">
        <f aca="false">IF(D134="район",MIN(I134,2),IF(D134="город респ. значения",1,IF(D134="областной центр",1,1.5)))</f>
        <v>2</v>
      </c>
      <c r="K134" s="34" t="n">
        <v>2</v>
      </c>
      <c r="L134" s="35" t="n">
        <f aca="false">J134-K134</f>
        <v>0</v>
      </c>
      <c r="M134" s="36" t="n">
        <f aca="false">IF(D134="город респ. значения","",H134)</f>
        <v>0.379995459794506</v>
      </c>
      <c r="N134" s="37" t="n">
        <f aca="false">IF(D134="город респ. значения","",G134)</f>
        <v>5775</v>
      </c>
    </row>
    <row r="135" customFormat="false" ht="15" hidden="false" customHeight="false" outlineLevel="0" collapsed="false">
      <c r="A135" s="20" t="s">
        <v>177</v>
      </c>
      <c r="B135" s="20" t="s">
        <v>15</v>
      </c>
      <c r="C135" s="20" t="s">
        <v>404</v>
      </c>
      <c r="D135" s="31" t="s">
        <v>280</v>
      </c>
      <c r="E135" s="32" t="n">
        <f aca="false">SUMIFS('Площадь МСХ'!$D:$D,'Площадь МСХ'!$E:$E,A135)</f>
        <v>611.6130000002</v>
      </c>
      <c r="F135" s="32" t="n">
        <f aca="false">E135*10</f>
        <v>6116.130000002</v>
      </c>
      <c r="G135" s="21" t="n">
        <f aca="false">SUMIFS('РПН по МО'!$E:$E,'РПН по МО'!$F:$F,A135)</f>
        <v>14386</v>
      </c>
      <c r="H135" s="25" t="n">
        <f aca="false">IF(G135&gt;0,G135/F135,"")</f>
        <v>2.352140978036</v>
      </c>
      <c r="I135" s="22" t="n">
        <f aca="false">IF(G135&gt;0,ROUND(1+$I$3*$I$4/H135,4),"")</f>
        <v>3.1806</v>
      </c>
      <c r="J135" s="33" t="n">
        <f aca="false">IF(D135="район",MIN(I135,2),IF(D135="город респ. значения",1,IF(D135="областной центр",1,1.5)))</f>
        <v>2</v>
      </c>
      <c r="K135" s="34" t="n">
        <v>1.7216</v>
      </c>
      <c r="L135" s="35" t="n">
        <f aca="false">J135-K135</f>
        <v>0.2784</v>
      </c>
      <c r="M135" s="36" t="n">
        <f aca="false">IF(D135="город респ. значения","",H135)</f>
        <v>2.352140978036</v>
      </c>
      <c r="N135" s="37" t="n">
        <f aca="false">IF(D135="город респ. значения","",G135)</f>
        <v>14386</v>
      </c>
    </row>
    <row r="136" customFormat="false" ht="15" hidden="false" customHeight="false" outlineLevel="0" collapsed="false">
      <c r="A136" s="20" t="s">
        <v>178</v>
      </c>
      <c r="B136" s="20" t="s">
        <v>15</v>
      </c>
      <c r="C136" s="20" t="s">
        <v>405</v>
      </c>
      <c r="D136" s="31" t="s">
        <v>280</v>
      </c>
      <c r="E136" s="32" t="n">
        <f aca="false">SUMIFS('Площадь МСХ'!$D:$D,'Площадь МСХ'!$E:$E,A136)</f>
        <v>760.47</v>
      </c>
      <c r="F136" s="32" t="n">
        <f aca="false">E136*10</f>
        <v>7604.7</v>
      </c>
      <c r="G136" s="21" t="n">
        <f aca="false">SUMIFS('РПН по МО'!$E:$E,'РПН по МО'!$F:$F,A136)</f>
        <v>18040</v>
      </c>
      <c r="H136" s="25" t="n">
        <f aca="false">IF(G136&gt;0,G136/F136,"")</f>
        <v>2.37221718147987</v>
      </c>
      <c r="I136" s="22" t="n">
        <f aca="false">IF(G136&gt;0,ROUND(1+$I$3*$I$4/H136,4),"")</f>
        <v>3.1621</v>
      </c>
      <c r="J136" s="33" t="n">
        <f aca="false">IF(D136="район",MIN(I136,2),IF(D136="город респ. значения",1,IF(D136="областной центр",1,1.5)))</f>
        <v>2</v>
      </c>
      <c r="K136" s="34" t="n">
        <v>1.6864</v>
      </c>
      <c r="L136" s="35" t="n">
        <f aca="false">J136-K136</f>
        <v>0.3136</v>
      </c>
      <c r="M136" s="36" t="n">
        <f aca="false">IF(D136="город респ. значения","",H136)</f>
        <v>2.37221718147987</v>
      </c>
      <c r="N136" s="37" t="n">
        <f aca="false">IF(D136="город респ. значения","",G136)</f>
        <v>18040</v>
      </c>
    </row>
    <row r="137" customFormat="false" ht="15" hidden="false" customHeight="false" outlineLevel="0" collapsed="false">
      <c r="A137" s="20" t="s">
        <v>179</v>
      </c>
      <c r="B137" s="20" t="s">
        <v>15</v>
      </c>
      <c r="C137" s="20" t="s">
        <v>406</v>
      </c>
      <c r="D137" s="31" t="s">
        <v>280</v>
      </c>
      <c r="E137" s="32" t="n">
        <f aca="false">SUMIFS('Площадь МСХ'!$D:$D,'Площадь МСХ'!$E:$E,A137)</f>
        <v>715.581</v>
      </c>
      <c r="F137" s="32" t="n">
        <f aca="false">E137*10</f>
        <v>7155.81</v>
      </c>
      <c r="G137" s="21" t="n">
        <f aca="false">SUMIFS('РПН по МО'!$E:$E,'РПН по МО'!$F:$F,A137)</f>
        <v>12176</v>
      </c>
      <c r="H137" s="25" t="n">
        <f aca="false">IF(G137&gt;0,G137/F137,"")</f>
        <v>1.70155440124878</v>
      </c>
      <c r="I137" s="22" t="n">
        <f aca="false">IF(G137&gt;0,ROUND(1+$I$3*$I$4/H137,4),"")</f>
        <v>4.0143</v>
      </c>
      <c r="J137" s="33" t="n">
        <f aca="false">IF(D137="район",MIN(I137,2),IF(D137="город респ. значения",1,IF(D137="областной центр",1,1.5)))</f>
        <v>2</v>
      </c>
      <c r="K137" s="34" t="n">
        <v>1.9761</v>
      </c>
      <c r="L137" s="35" t="n">
        <f aca="false">J137-K137</f>
        <v>0.0239</v>
      </c>
      <c r="M137" s="36" t="n">
        <f aca="false">IF(D137="город респ. значения","",H137)</f>
        <v>1.70155440124878</v>
      </c>
      <c r="N137" s="37" t="n">
        <f aca="false">IF(D137="город респ. значения","",G137)</f>
        <v>12176</v>
      </c>
    </row>
    <row r="138" customFormat="false" ht="15" hidden="false" customHeight="false" outlineLevel="0" collapsed="false">
      <c r="A138" s="20" t="s">
        <v>180</v>
      </c>
      <c r="B138" s="20" t="s">
        <v>15</v>
      </c>
      <c r="C138" s="20" t="s">
        <v>407</v>
      </c>
      <c r="D138" s="31" t="s">
        <v>280</v>
      </c>
      <c r="E138" s="32" t="n">
        <f aca="false">SUMIFS('Площадь МСХ'!$D:$D,'Площадь МСХ'!$E:$E,A138)</f>
        <v>721.028</v>
      </c>
      <c r="F138" s="32" t="n">
        <f aca="false">E138*10</f>
        <v>7210.28</v>
      </c>
      <c r="G138" s="21" t="n">
        <f aca="false">SUMIFS('РПН по МО'!$E:$E,'РПН по МО'!$F:$F,A138)</f>
        <v>19021</v>
      </c>
      <c r="H138" s="25" t="n">
        <f aca="false">IF(G138&gt;0,G138/F138,"")</f>
        <v>2.63803902206294</v>
      </c>
      <c r="I138" s="22" t="n">
        <f aca="false">IF(G138&gt;0,ROUND(1+$I$3*$I$4/H138,4),"")</f>
        <v>2.9443</v>
      </c>
      <c r="J138" s="33" t="n">
        <f aca="false">IF(D138="район",MIN(I138,2),IF(D138="город респ. значения",1,IF(D138="областной центр",1,1.5)))</f>
        <v>2</v>
      </c>
      <c r="K138" s="34" t="n">
        <v>1.6189</v>
      </c>
      <c r="L138" s="35" t="n">
        <f aca="false">J138-K138</f>
        <v>0.3811</v>
      </c>
      <c r="M138" s="36" t="n">
        <f aca="false">IF(D138="город респ. значения","",H138)</f>
        <v>2.63803902206294</v>
      </c>
      <c r="N138" s="37" t="n">
        <f aca="false">IF(D138="город респ. значения","",G138)</f>
        <v>19021</v>
      </c>
    </row>
    <row r="139" customFormat="false" ht="15" hidden="false" customHeight="false" outlineLevel="0" collapsed="false">
      <c r="A139" s="20" t="s">
        <v>181</v>
      </c>
      <c r="B139" s="20" t="s">
        <v>16</v>
      </c>
      <c r="C139" s="20" t="s">
        <v>408</v>
      </c>
      <c r="D139" s="31" t="s">
        <v>276</v>
      </c>
      <c r="E139" s="32" t="n">
        <f aca="false">SUMIFS('Площадь МСХ'!$D:$D,'Площадь МСХ'!$E:$E,A139)</f>
        <v>235.988</v>
      </c>
      <c r="F139" s="32" t="n">
        <f aca="false">E139*10</f>
        <v>2359.88</v>
      </c>
      <c r="G139" s="21" t="n">
        <f aca="false">SUMIFS('РПН по МО'!$E:$E,'РПН по МО'!$F:$F,A139)</f>
        <v>378118</v>
      </c>
      <c r="H139" s="25" t="n">
        <f aca="false">IF(G139&gt;0,G139/F139,"")</f>
        <v>160.227638693493</v>
      </c>
      <c r="I139" s="22" t="n">
        <f aca="false">IF(G139&gt;0,ROUND(1+$I$3*$I$4/H139,4),"")</f>
        <v>1.032</v>
      </c>
      <c r="J139" s="33" t="n">
        <f aca="false">IF(D139="район",MIN(I139,2),IF(D139="город респ. значения",1,IF(D139="областной центр",1,1.5)))</f>
        <v>1</v>
      </c>
      <c r="K139" s="34" t="n">
        <v>1</v>
      </c>
      <c r="L139" s="35" t="n">
        <f aca="false">J139-K139</f>
        <v>0</v>
      </c>
      <c r="M139" s="36" t="n">
        <f aca="false">IF(D139="город респ. значения","",H139)</f>
        <v>160.227638693493</v>
      </c>
      <c r="N139" s="37" t="n">
        <f aca="false">IF(D139="город респ. значения","",G139)</f>
        <v>378118</v>
      </c>
    </row>
    <row r="140" customFormat="false" ht="15" hidden="false" customHeight="false" outlineLevel="0" collapsed="false">
      <c r="A140" s="20" t="s">
        <v>182</v>
      </c>
      <c r="B140" s="20" t="s">
        <v>16</v>
      </c>
      <c r="C140" s="20" t="s">
        <v>409</v>
      </c>
      <c r="D140" s="31" t="s">
        <v>278</v>
      </c>
      <c r="E140" s="39" t="n">
        <v>5.498</v>
      </c>
      <c r="F140" s="32" t="n">
        <f aca="false">E140*10</f>
        <v>54.98</v>
      </c>
      <c r="G140" s="21" t="n">
        <f aca="false">SUMIFS('РПН по МО'!$E:$E,'РПН по МО'!$F:$F,A140)</f>
        <v>39604</v>
      </c>
      <c r="H140" s="25" t="n">
        <f aca="false">IF(G140&gt;0,G140/F140,"")</f>
        <v>720.334667151692</v>
      </c>
      <c r="I140" s="22" t="n">
        <f aca="false">IF(G140&gt;0,ROUND(1+$I$3*$I$4/H140,4),"")</f>
        <v>1.0071</v>
      </c>
      <c r="J140" s="33" t="n">
        <f aca="false">IF(D140="район",MIN(I140,2),IF(D140="город респ. значения",1,IF(D140="областной центр",1,1.5)))</f>
        <v>1.5</v>
      </c>
      <c r="K140" s="34" t="n">
        <v>1.5</v>
      </c>
      <c r="L140" s="35" t="n">
        <f aca="false">J140-K140</f>
        <v>0</v>
      </c>
      <c r="M140" s="36" t="n">
        <f aca="false">IF(D140="город респ. значения","",H140)</f>
        <v>720.334667151692</v>
      </c>
      <c r="N140" s="37" t="n">
        <f aca="false">IF(D140="город респ. значения","",G140)</f>
        <v>39604</v>
      </c>
    </row>
    <row r="141" customFormat="false" ht="15" hidden="false" customHeight="false" outlineLevel="0" collapsed="false">
      <c r="A141" s="20" t="s">
        <v>183</v>
      </c>
      <c r="B141" s="20" t="s">
        <v>16</v>
      </c>
      <c r="C141" s="20" t="s">
        <v>410</v>
      </c>
      <c r="D141" s="31" t="s">
        <v>280</v>
      </c>
      <c r="E141" s="32" t="n">
        <f aca="false">SUMIFS('Площадь МСХ'!$D:$D,'Площадь МСХ'!$E:$E,A141)</f>
        <v>5521.274</v>
      </c>
      <c r="F141" s="32" t="n">
        <f aca="false">E141*10</f>
        <v>55212.74</v>
      </c>
      <c r="G141" s="21" t="n">
        <f aca="false">SUMIFS('РПН по МО'!$E:$E,'РПН по МО'!$F:$F,A141)</f>
        <v>71158</v>
      </c>
      <c r="H141" s="25" t="n">
        <f aca="false">IF(G141&gt;0,G141/F141,"")</f>
        <v>1.28879675234375</v>
      </c>
      <c r="I141" s="22" t="n">
        <f aca="false">IF(G141&gt;0,ROUND(1+$I$3*$I$4/H141,4),"")</f>
        <v>4.9797</v>
      </c>
      <c r="J141" s="33" t="n">
        <f aca="false">IF(D141="район",MIN(I141,2),IF(D141="город респ. значения",1,IF(D141="областной центр",1,1.5)))</f>
        <v>2</v>
      </c>
      <c r="K141" s="34" t="n">
        <v>2</v>
      </c>
      <c r="L141" s="35" t="n">
        <f aca="false">J141-K141</f>
        <v>0</v>
      </c>
      <c r="M141" s="36" t="n">
        <f aca="false">IF(D141="город респ. значения","",H141)</f>
        <v>1.28879675234375</v>
      </c>
      <c r="N141" s="37" t="n">
        <f aca="false">IF(D141="город респ. значения","",G141)</f>
        <v>71158</v>
      </c>
    </row>
    <row r="142" customFormat="false" ht="15" hidden="false" customHeight="false" outlineLevel="0" collapsed="false">
      <c r="A142" s="20" t="s">
        <v>184</v>
      </c>
      <c r="B142" s="20" t="s">
        <v>16</v>
      </c>
      <c r="C142" s="20" t="s">
        <v>411</v>
      </c>
      <c r="D142" s="31" t="s">
        <v>280</v>
      </c>
      <c r="E142" s="32" t="n">
        <f aca="false">SUMIFS('Площадь МСХ'!$D:$D,'Площадь МСХ'!$E:$E,A142)</f>
        <v>2293.226</v>
      </c>
      <c r="F142" s="32" t="n">
        <f aca="false">E142*10</f>
        <v>22932.26</v>
      </c>
      <c r="G142" s="21" t="n">
        <f aca="false">SUMIFS('РПН по МО'!$E:$E,'РПН по МО'!$F:$F,A142)</f>
        <v>31296</v>
      </c>
      <c r="H142" s="25" t="n">
        <f aca="false">IF(G142&gt;0,G142/F142,"")</f>
        <v>1.36471503462807</v>
      </c>
      <c r="I142" s="22" t="n">
        <f aca="false">IF(G142&gt;0,ROUND(1+$I$3*$I$4/H142,4),"")</f>
        <v>4.7583</v>
      </c>
      <c r="J142" s="33" t="n">
        <f aca="false">IF(D142="район",MIN(I142,2),IF(D142="город респ. значения",1,IF(D142="областной центр",1,1.5)))</f>
        <v>2</v>
      </c>
      <c r="K142" s="34" t="n">
        <v>2</v>
      </c>
      <c r="L142" s="35" t="n">
        <f aca="false">J142-K142</f>
        <v>0</v>
      </c>
      <c r="M142" s="36" t="n">
        <f aca="false">IF(D142="город респ. значения","",H142)</f>
        <v>1.36471503462807</v>
      </c>
      <c r="N142" s="37" t="n">
        <f aca="false">IF(D142="город респ. значения","",G142)</f>
        <v>31296</v>
      </c>
    </row>
    <row r="143" customFormat="false" ht="15" hidden="false" customHeight="false" outlineLevel="0" collapsed="false">
      <c r="A143" s="20" t="s">
        <v>185</v>
      </c>
      <c r="B143" s="20" t="s">
        <v>16</v>
      </c>
      <c r="C143" s="20" t="s">
        <v>412</v>
      </c>
      <c r="D143" s="31" t="s">
        <v>280</v>
      </c>
      <c r="E143" s="32" t="n">
        <f aca="false">SUMIFS('Площадь МСХ'!$D:$D,'Площадь МСХ'!$E:$E,A143)</f>
        <v>1543.396</v>
      </c>
      <c r="F143" s="32" t="n">
        <f aca="false">E143*10</f>
        <v>15433.96</v>
      </c>
      <c r="G143" s="21" t="n">
        <f aca="false">SUMIFS('РПН по МО'!$E:$E,'РПН по МО'!$F:$F,A143)</f>
        <v>72967</v>
      </c>
      <c r="H143" s="25" t="n">
        <f aca="false">IF(G143&gt;0,G143/F143,"")</f>
        <v>4.72769140259532</v>
      </c>
      <c r="I143" s="22" t="n">
        <f aca="false">IF(G143&gt;0,ROUND(1+$I$3*$I$4/H143,4),"")</f>
        <v>2.0849</v>
      </c>
      <c r="J143" s="33" t="n">
        <f aca="false">IF(D143="район",MIN(I143,2),IF(D143="город респ. значения",1,IF(D143="областной центр",1,1.5)))</f>
        <v>2</v>
      </c>
      <c r="K143" s="34" t="n">
        <v>1.392</v>
      </c>
      <c r="L143" s="35" t="n">
        <f aca="false">J143-K143</f>
        <v>0.608</v>
      </c>
      <c r="M143" s="36" t="n">
        <f aca="false">IF(D143="город респ. значения","",H143)</f>
        <v>4.72769140259532</v>
      </c>
      <c r="N143" s="37" t="n">
        <f aca="false">IF(D143="город респ. значения","",G143)</f>
        <v>72967</v>
      </c>
    </row>
    <row r="144" customFormat="false" ht="15" hidden="false" customHeight="false" outlineLevel="0" collapsed="false">
      <c r="A144" s="20" t="s">
        <v>186</v>
      </c>
      <c r="B144" s="20" t="s">
        <v>16</v>
      </c>
      <c r="C144" s="20" t="s">
        <v>413</v>
      </c>
      <c r="D144" s="31" t="s">
        <v>280</v>
      </c>
      <c r="E144" s="32" t="n">
        <f aca="false">SUMIFS('Площадь МСХ'!$D:$D,'Площадь МСХ'!$E:$E,A144)</f>
        <v>3759.70604</v>
      </c>
      <c r="F144" s="32" t="n">
        <f aca="false">E144*10</f>
        <v>37597.0604</v>
      </c>
      <c r="G144" s="21" t="n">
        <f aca="false">SUMIFS('РПН по МО'!$E:$E,'РПН по МО'!$F:$F,A144)</f>
        <v>76791</v>
      </c>
      <c r="H144" s="25" t="n">
        <f aca="false">IF(G144&gt;0,G144/F144,"")</f>
        <v>2.04247351210469</v>
      </c>
      <c r="I144" s="22" t="n">
        <f aca="false">IF(G144&gt;0,ROUND(1+$I$3*$I$4/H144,4),"")</f>
        <v>3.5112</v>
      </c>
      <c r="J144" s="33" t="n">
        <f aca="false">IF(D144="район",MIN(I144,2),IF(D144="город респ. значения",1,IF(D144="областной центр",1,1.5)))</f>
        <v>2</v>
      </c>
      <c r="K144" s="34" t="n">
        <v>1.9817</v>
      </c>
      <c r="L144" s="35" t="n">
        <f aca="false">J144-K144</f>
        <v>0.0183</v>
      </c>
      <c r="M144" s="36" t="n">
        <f aca="false">IF(D144="город респ. значения","",H144)</f>
        <v>2.04247351210469</v>
      </c>
      <c r="N144" s="37" t="n">
        <f aca="false">IF(D144="город респ. значения","",G144)</f>
        <v>76791</v>
      </c>
    </row>
    <row r="145" customFormat="false" ht="15" hidden="false" customHeight="false" outlineLevel="0" collapsed="false">
      <c r="A145" s="20" t="s">
        <v>187</v>
      </c>
      <c r="B145" s="20" t="s">
        <v>16</v>
      </c>
      <c r="C145" s="20" t="s">
        <v>414</v>
      </c>
      <c r="D145" s="31" t="s">
        <v>280</v>
      </c>
      <c r="E145" s="32" t="n">
        <f aca="false">SUMIFS('Площадь МСХ'!$D:$D,'Площадь МСХ'!$E:$E,A145)</f>
        <v>3104.07</v>
      </c>
      <c r="F145" s="32" t="n">
        <f aca="false">E145*10</f>
        <v>31040.7</v>
      </c>
      <c r="G145" s="21" t="n">
        <f aca="false">SUMIFS('РПН по МО'!$E:$E,'РПН по МО'!$F:$F,A145)</f>
        <v>30558</v>
      </c>
      <c r="H145" s="25" t="n">
        <f aca="false">IF(G145&gt;0,G145/F145,"")</f>
        <v>0.984449448627125</v>
      </c>
      <c r="I145" s="22" t="n">
        <f aca="false">IF(G145&gt;0,ROUND(1+$I$3*$I$4/H145,4),"")</f>
        <v>6.2101</v>
      </c>
      <c r="J145" s="33" t="n">
        <f aca="false">IF(D145="район",MIN(I145,2),IF(D145="город респ. значения",1,IF(D145="областной центр",1,1.5)))</f>
        <v>2</v>
      </c>
      <c r="K145" s="34" t="n">
        <v>2</v>
      </c>
      <c r="L145" s="35" t="n">
        <f aca="false">J145-K145</f>
        <v>0</v>
      </c>
      <c r="M145" s="36" t="n">
        <f aca="false">IF(D145="город респ. значения","",H145)</f>
        <v>0.984449448627125</v>
      </c>
      <c r="N145" s="37" t="n">
        <f aca="false">IF(D145="город респ. значения","",G145)</f>
        <v>30558</v>
      </c>
    </row>
    <row r="146" customFormat="false" ht="15" hidden="false" customHeight="false" outlineLevel="0" collapsed="false">
      <c r="A146" s="20" t="s">
        <v>188</v>
      </c>
      <c r="B146" s="20" t="s">
        <v>16</v>
      </c>
      <c r="C146" s="20" t="s">
        <v>415</v>
      </c>
      <c r="D146" s="31" t="s">
        <v>280</v>
      </c>
      <c r="E146" s="32" t="n">
        <f aca="false">SUMIFS('Площадь МСХ'!$D:$D,'Площадь МСХ'!$E:$E,A146)</f>
        <v>2904.533</v>
      </c>
      <c r="F146" s="32" t="n">
        <f aca="false">E146*10</f>
        <v>29045.33</v>
      </c>
      <c r="G146" s="21" t="n">
        <f aca="false">SUMIFS('РПН по МО'!$E:$E,'РПН по МО'!$F:$F,A146)</f>
        <v>33538</v>
      </c>
      <c r="H146" s="25" t="n">
        <f aca="false">IF(G146&gt;0,G146/F146,"")</f>
        <v>1.15467787764849</v>
      </c>
      <c r="I146" s="22" t="n">
        <f aca="false">IF(G146&gt;0,ROUND(1+$I$3*$I$4/H146,4),"")</f>
        <v>5.442</v>
      </c>
      <c r="J146" s="33" t="n">
        <f aca="false">IF(D146="район",MIN(I146,2),IF(D146="город респ. значения",1,IF(D146="областной центр",1,1.5)))</f>
        <v>2</v>
      </c>
      <c r="K146" s="34" t="n">
        <v>2</v>
      </c>
      <c r="L146" s="35" t="n">
        <f aca="false">J146-K146</f>
        <v>0</v>
      </c>
      <c r="M146" s="36" t="n">
        <f aca="false">IF(D146="город респ. значения","",H146)</f>
        <v>1.15467787764849</v>
      </c>
      <c r="N146" s="37" t="n">
        <f aca="false">IF(D146="город респ. значения","",G146)</f>
        <v>33538</v>
      </c>
    </row>
    <row r="147" customFormat="false" ht="15" hidden="false" customHeight="false" outlineLevel="0" collapsed="false">
      <c r="A147" s="20" t="s">
        <v>189</v>
      </c>
      <c r="B147" s="20" t="s">
        <v>16</v>
      </c>
      <c r="C147" s="20" t="s">
        <v>416</v>
      </c>
      <c r="D147" s="31" t="s">
        <v>280</v>
      </c>
      <c r="E147" s="32" t="n">
        <f aca="false">SUMIFS('Площадь МСХ'!$D:$D,'Площадь МСХ'!$E:$E,A147)</f>
        <v>3239.755</v>
      </c>
      <c r="F147" s="32" t="n">
        <f aca="false">E147*10</f>
        <v>32397.55</v>
      </c>
      <c r="G147" s="21" t="n">
        <f aca="false">SUMIFS('РПН по МО'!$E:$E,'РПН по МО'!$F:$F,A147)</f>
        <v>77807</v>
      </c>
      <c r="H147" s="25" t="n">
        <f aca="false">IF(G147&gt;0,G147/F147,"")</f>
        <v>2.40163222218964</v>
      </c>
      <c r="I147" s="22" t="n">
        <f aca="false">IF(G147&gt;0,ROUND(1+$I$3*$I$4/H147,4),"")</f>
        <v>3.1356</v>
      </c>
      <c r="J147" s="33" t="n">
        <f aca="false">IF(D147="район",MIN(I147,2),IF(D147="город респ. значения",1,IF(D147="областной центр",1,1.5)))</f>
        <v>2</v>
      </c>
      <c r="K147" s="34" t="n">
        <v>1.7795</v>
      </c>
      <c r="L147" s="35" t="n">
        <f aca="false">J147-K147</f>
        <v>0.2205</v>
      </c>
      <c r="M147" s="36" t="n">
        <f aca="false">IF(D147="город респ. значения","",H147)</f>
        <v>2.40163222218964</v>
      </c>
      <c r="N147" s="37" t="n">
        <f aca="false">IF(D147="город респ. значения","",G147)</f>
        <v>77807</v>
      </c>
    </row>
    <row r="148" customFormat="false" ht="15" hidden="false" customHeight="false" outlineLevel="0" collapsed="false">
      <c r="A148" s="20" t="s">
        <v>190</v>
      </c>
      <c r="B148" s="20" t="s">
        <v>17</v>
      </c>
      <c r="C148" s="20" t="s">
        <v>417</v>
      </c>
      <c r="D148" s="31" t="s">
        <v>276</v>
      </c>
      <c r="E148" s="32" t="n">
        <f aca="false">SUMIFS('Площадь МСХ'!$D:$D,'Площадь МСХ'!$E:$E,A148)</f>
        <v>29.849</v>
      </c>
      <c r="F148" s="32" t="n">
        <f aca="false">E148*10</f>
        <v>298.49</v>
      </c>
      <c r="G148" s="21" t="n">
        <f aca="false">SUMIFS('РПН по МО'!$E:$E,'РПН по МО'!$F:$F,A148)</f>
        <v>347110</v>
      </c>
      <c r="H148" s="25" t="n">
        <f aca="false">IF(G148&gt;0,G148/F148,"")</f>
        <v>1162.88652886194</v>
      </c>
      <c r="I148" s="22" t="n">
        <f aca="false">IF(G148&gt;0,ROUND(1+$I$3*$I$4/H148,4),"")</f>
        <v>1.0044</v>
      </c>
      <c r="J148" s="33" t="n">
        <f aca="false">IF(D148="район",MIN(I148,2),IF(D148="город респ. значения",1,IF(D148="областной центр",1,1.5)))</f>
        <v>1</v>
      </c>
      <c r="K148" s="34" t="n">
        <v>1</v>
      </c>
      <c r="L148" s="35" t="n">
        <f aca="false">J148-K148</f>
        <v>0</v>
      </c>
      <c r="M148" s="36" t="n">
        <f aca="false">IF(D148="город респ. значения","",H148)</f>
        <v>1162.88652886194</v>
      </c>
      <c r="N148" s="37" t="n">
        <f aca="false">IF(D148="город респ. значения","",G148)</f>
        <v>347110</v>
      </c>
    </row>
    <row r="149" customFormat="false" ht="15" hidden="false" customHeight="false" outlineLevel="0" collapsed="false">
      <c r="A149" s="20" t="s">
        <v>191</v>
      </c>
      <c r="B149" s="20" t="s">
        <v>17</v>
      </c>
      <c r="C149" s="20" t="s">
        <v>418</v>
      </c>
      <c r="D149" s="31" t="s">
        <v>278</v>
      </c>
      <c r="E149" s="32" t="n">
        <f aca="false">SUMIFS('Площадь МСХ'!$D:$D,'Площадь МСХ'!$E:$E,A149)</f>
        <v>51.549</v>
      </c>
      <c r="F149" s="32" t="n">
        <f aca="false">E149*10</f>
        <v>515.49</v>
      </c>
      <c r="G149" s="21" t="n">
        <f aca="false">SUMIFS('РПН по МО'!$E:$E,'РПН по МО'!$F:$F,A149)</f>
        <v>146473</v>
      </c>
      <c r="H149" s="25" t="n">
        <f aca="false">IF(G149&gt;0,G149/F149,"")</f>
        <v>284.143242351937</v>
      </c>
      <c r="I149" s="22" t="n">
        <f aca="false">IF(G149&gt;0,ROUND(1+$I$3*$I$4/H149,4),"")</f>
        <v>1.0181</v>
      </c>
      <c r="J149" s="33" t="n">
        <f aca="false">IF(D149="район",MIN(I149,2),IF(D149="город респ. значения",1,IF(D149="областной центр",1,1.5)))</f>
        <v>1.5</v>
      </c>
      <c r="K149" s="34" t="n">
        <v>1.5</v>
      </c>
      <c r="L149" s="35" t="n">
        <f aca="false">J149-K149</f>
        <v>0</v>
      </c>
      <c r="M149" s="36" t="n">
        <f aca="false">IF(D149="город респ. значения","",H149)</f>
        <v>284.143242351937</v>
      </c>
      <c r="N149" s="37" t="n">
        <f aca="false">IF(D149="город респ. значения","",G149)</f>
        <v>146473</v>
      </c>
    </row>
    <row r="150" customFormat="false" ht="15" hidden="false" customHeight="false" outlineLevel="0" collapsed="false">
      <c r="A150" s="20" t="s">
        <v>192</v>
      </c>
      <c r="B150" s="20" t="s">
        <v>17</v>
      </c>
      <c r="C150" s="20" t="s">
        <v>419</v>
      </c>
      <c r="D150" s="31" t="s">
        <v>280</v>
      </c>
      <c r="E150" s="32" t="n">
        <f aca="false">SUMIFS('Площадь МСХ'!$D:$D,'Площадь МСХ'!$E:$E,A150)</f>
        <v>4051.933</v>
      </c>
      <c r="F150" s="32" t="n">
        <f aca="false">E150*10</f>
        <v>40519.33</v>
      </c>
      <c r="G150" s="21" t="n">
        <f aca="false">SUMIFS('РПН по МО'!$E:$E,'РПН по МО'!$F:$F,A150)</f>
        <v>56835</v>
      </c>
      <c r="H150" s="25" t="n">
        <f aca="false">IF(G150&gt;0,G150/F150,"")</f>
        <v>1.40266386438275</v>
      </c>
      <c r="I150" s="22" t="n">
        <f aca="false">IF(G150&gt;0,ROUND(1+$I$3*$I$4/H150,4),"")</f>
        <v>4.6566</v>
      </c>
      <c r="J150" s="33" t="n">
        <f aca="false">IF(D150="район",MIN(I150,2),IF(D150="город респ. значения",1,IF(D150="областной центр",1,1.5)))</f>
        <v>2</v>
      </c>
      <c r="K150" s="34" t="n">
        <v>2</v>
      </c>
      <c r="L150" s="35" t="n">
        <f aca="false">J150-K150</f>
        <v>0</v>
      </c>
      <c r="M150" s="36" t="n">
        <f aca="false">IF(D150="город респ. значения","",H150)</f>
        <v>1.40266386438275</v>
      </c>
      <c r="N150" s="37" t="n">
        <f aca="false">IF(D150="город респ. значения","",G150)</f>
        <v>56835</v>
      </c>
    </row>
    <row r="151" customFormat="false" ht="15" hidden="false" customHeight="false" outlineLevel="0" collapsed="false">
      <c r="A151" s="20" t="s">
        <v>193</v>
      </c>
      <c r="B151" s="20" t="s">
        <v>17</v>
      </c>
      <c r="C151" s="20" t="s">
        <v>420</v>
      </c>
      <c r="D151" s="31" t="s">
        <v>280</v>
      </c>
      <c r="E151" s="32" t="n">
        <f aca="false">SUMIFS('Площадь МСХ'!$D:$D,'Площадь МСХ'!$E:$E,A151)</f>
        <v>6483.6369</v>
      </c>
      <c r="F151" s="32" t="n">
        <f aca="false">E151*10</f>
        <v>64836.369</v>
      </c>
      <c r="G151" s="21" t="n">
        <f aca="false">SUMIFS('РПН по МО'!$E:$E,'РПН по МО'!$F:$F,A151)</f>
        <v>38031</v>
      </c>
      <c r="H151" s="25" t="n">
        <f aca="false">IF(G151&gt;0,G151/F151,"")</f>
        <v>0.586568936332631</v>
      </c>
      <c r="I151" s="22" t="n">
        <f aca="false">IF(G151&gt;0,ROUND(1+$I$3*$I$4/H151,4),"")</f>
        <v>9.7441</v>
      </c>
      <c r="J151" s="33" t="n">
        <f aca="false">IF(D151="район",MIN(I151,2),IF(D151="город респ. значения",1,IF(D151="областной центр",1,1.5)))</f>
        <v>2</v>
      </c>
      <c r="K151" s="34" t="n">
        <v>2</v>
      </c>
      <c r="L151" s="35" t="n">
        <f aca="false">J151-K151</f>
        <v>0</v>
      </c>
      <c r="M151" s="36" t="n">
        <f aca="false">IF(D151="город респ. значения","",H151)</f>
        <v>0.586568936332631</v>
      </c>
      <c r="N151" s="37" t="n">
        <f aca="false">IF(D151="город респ. значения","",G151)</f>
        <v>38031</v>
      </c>
    </row>
    <row r="152" customFormat="false" ht="15" hidden="false" customHeight="false" outlineLevel="0" collapsed="false">
      <c r="A152" s="20" t="s">
        <v>194</v>
      </c>
      <c r="B152" s="20" t="s">
        <v>17</v>
      </c>
      <c r="C152" s="20" t="s">
        <v>421</v>
      </c>
      <c r="D152" s="31" t="s">
        <v>280</v>
      </c>
      <c r="E152" s="32" t="n">
        <f aca="false">SUMIFS('Площадь МСХ'!$D:$D,'Площадь МСХ'!$E:$E,A152)</f>
        <v>4602.2253</v>
      </c>
      <c r="F152" s="32" t="n">
        <f aca="false">E152*10</f>
        <v>46022.253</v>
      </c>
      <c r="G152" s="21" t="n">
        <f aca="false">SUMIFS('РПН по МО'!$E:$E,'РПН по МО'!$F:$F,A152)</f>
        <v>30621</v>
      </c>
      <c r="H152" s="25" t="n">
        <f aca="false">IF(G152&gt;0,G152/F152,"")</f>
        <v>0.665352041761189</v>
      </c>
      <c r="I152" s="22" t="n">
        <f aca="false">IF(G152&gt;0,ROUND(1+$I$3*$I$4/H152,4),"")</f>
        <v>8.7088</v>
      </c>
      <c r="J152" s="33" t="n">
        <f aca="false">IF(D152="район",MIN(I152,2),IF(D152="город респ. значения",1,IF(D152="областной центр",1,1.5)))</f>
        <v>2</v>
      </c>
      <c r="K152" s="34" t="n">
        <v>2</v>
      </c>
      <c r="L152" s="35" t="n">
        <f aca="false">J152-K152</f>
        <v>0</v>
      </c>
      <c r="M152" s="36" t="n">
        <f aca="false">IF(D152="город респ. значения","",H152)</f>
        <v>0.665352041761189</v>
      </c>
      <c r="N152" s="37" t="n">
        <f aca="false">IF(D152="город респ. значения","",G152)</f>
        <v>30621</v>
      </c>
    </row>
    <row r="153" customFormat="false" ht="15" hidden="false" customHeight="false" outlineLevel="0" collapsed="false">
      <c r="A153" s="20" t="s">
        <v>195</v>
      </c>
      <c r="B153" s="20" t="s">
        <v>17</v>
      </c>
      <c r="C153" s="20" t="s">
        <v>422</v>
      </c>
      <c r="D153" s="31" t="s">
        <v>280</v>
      </c>
      <c r="E153" s="32" t="n">
        <f aca="false">SUMIFS('Площадь МСХ'!$D:$D,'Площадь МСХ'!$E:$E,A153)</f>
        <v>492.189</v>
      </c>
      <c r="F153" s="32" t="n">
        <f aca="false">E153*10</f>
        <v>4921.89</v>
      </c>
      <c r="G153" s="21" t="n">
        <f aca="false">SUMIFS('РПН по МО'!$E:$E,'РПН по МО'!$F:$F,A153)</f>
        <v>170442</v>
      </c>
      <c r="H153" s="25" t="n">
        <f aca="false">IF(G153&gt;0,G153/F153,"")</f>
        <v>34.6293801771271</v>
      </c>
      <c r="I153" s="22" t="n">
        <f aca="false">IF(G153&gt;0,ROUND(1+$I$3*$I$4/H153,4),"")</f>
        <v>1.1481</v>
      </c>
      <c r="J153" s="33" t="n">
        <f aca="false">IF(D153="район",MIN(I153,2),IF(D153="город респ. значения",1,IF(D153="областной центр",1,1.5)))</f>
        <v>1.1481</v>
      </c>
      <c r="K153" s="34" t="n">
        <v>1.061</v>
      </c>
      <c r="L153" s="35" t="n">
        <f aca="false">J153-K153</f>
        <v>0.0871</v>
      </c>
      <c r="M153" s="36" t="n">
        <f aca="false">IF(D153="город респ. значения","",H153)</f>
        <v>34.6293801771271</v>
      </c>
      <c r="N153" s="37" t="n">
        <f aca="false">IF(D153="город респ. значения","",G153)</f>
        <v>170442</v>
      </c>
    </row>
    <row r="154" customFormat="false" ht="15" hidden="false" customHeight="false" outlineLevel="0" collapsed="false">
      <c r="A154" s="20" t="s">
        <v>196</v>
      </c>
      <c r="B154" s="20" t="s">
        <v>17</v>
      </c>
      <c r="C154" s="20" t="s">
        <v>423</v>
      </c>
      <c r="D154" s="31" t="s">
        <v>280</v>
      </c>
      <c r="E154" s="32" t="n">
        <f aca="false">SUMIFS('Площадь МСХ'!$D:$D,'Площадь МСХ'!$E:$E,A154)</f>
        <v>852.8052</v>
      </c>
      <c r="F154" s="32" t="n">
        <f aca="false">E154*10</f>
        <v>8528.052</v>
      </c>
      <c r="G154" s="21" t="n">
        <f aca="false">SUMIFS('РПН по МО'!$E:$E,'РПН по МО'!$F:$F,A154)</f>
        <v>32655</v>
      </c>
      <c r="H154" s="25" t="n">
        <f aca="false">IF(G154&gt;0,G154/F154,"")</f>
        <v>3.8291276835554</v>
      </c>
      <c r="I154" s="22" t="n">
        <f aca="false">IF(G154&gt;0,ROUND(1+$I$3*$I$4/H154,4),"")</f>
        <v>2.3395</v>
      </c>
      <c r="J154" s="33" t="n">
        <f aca="false">IF(D154="район",MIN(I154,2),IF(D154="город респ. значения",1,IF(D154="областной центр",1,1.5)))</f>
        <v>2</v>
      </c>
      <c r="K154" s="34" t="n">
        <v>1.4236</v>
      </c>
      <c r="L154" s="35" t="n">
        <f aca="false">J154-K154</f>
        <v>0.5764</v>
      </c>
      <c r="M154" s="36" t="n">
        <f aca="false">IF(D154="город респ. значения","",H154)</f>
        <v>3.8291276835554</v>
      </c>
      <c r="N154" s="37" t="n">
        <f aca="false">IF(D154="город респ. значения","",G154)</f>
        <v>32655</v>
      </c>
    </row>
    <row r="155" customFormat="false" ht="15" hidden="false" customHeight="false" outlineLevel="0" collapsed="false">
      <c r="A155" s="20" t="s">
        <v>197</v>
      </c>
      <c r="B155" s="20" t="s">
        <v>18</v>
      </c>
      <c r="C155" s="20" t="s">
        <v>424</v>
      </c>
      <c r="D155" s="31" t="s">
        <v>276</v>
      </c>
      <c r="E155" s="32" t="n">
        <f aca="false">SUMIFS('Площадь МСХ'!$D:$D,'Площадь МСХ'!$E:$E,A155)</f>
        <v>63.5115</v>
      </c>
      <c r="F155" s="32" t="n">
        <f aca="false">E155*10</f>
        <v>635.115</v>
      </c>
      <c r="G155" s="21" t="n">
        <f aca="false">SUMIFS('РПН по МО'!$E:$E,'РПН по МО'!$F:$F,A155)</f>
        <v>392777</v>
      </c>
      <c r="H155" s="25" t="n">
        <f aca="false">IF(G155&gt;0,G155/F155,"")</f>
        <v>618.434456751927</v>
      </c>
      <c r="I155" s="22" t="n">
        <f aca="false">IF(G155&gt;0,ROUND(1+$I$3*$I$4/H155,4),"")</f>
        <v>1.0083</v>
      </c>
      <c r="J155" s="33" t="n">
        <f aca="false">IF(D155="район",MIN(I155,2),IF(D155="город респ. значения",1,IF(D155="областной центр",1,1.5)))</f>
        <v>1</v>
      </c>
      <c r="K155" s="34" t="n">
        <v>1</v>
      </c>
      <c r="L155" s="35" t="n">
        <f aca="false">J155-K155</f>
        <v>0</v>
      </c>
      <c r="M155" s="36" t="n">
        <f aca="false">IF(D155="город респ. значения","",H155)</f>
        <v>618.434456751927</v>
      </c>
      <c r="N155" s="37" t="n">
        <f aca="false">IF(D155="город респ. значения","",G155)</f>
        <v>392777</v>
      </c>
    </row>
    <row r="156" customFormat="false" ht="15" hidden="false" customHeight="false" outlineLevel="0" collapsed="false">
      <c r="A156" s="20" t="s">
        <v>198</v>
      </c>
      <c r="B156" s="20" t="s">
        <v>18</v>
      </c>
      <c r="C156" s="20" t="s">
        <v>425</v>
      </c>
      <c r="D156" s="31" t="s">
        <v>278</v>
      </c>
      <c r="E156" s="32" t="n">
        <f aca="false">SUMIFS('Площадь МСХ'!$D:$D,'Площадь МСХ'!$E:$E,A156)</f>
        <v>801.3584</v>
      </c>
      <c r="F156" s="32" t="n">
        <f aca="false">E156*10</f>
        <v>8013.584</v>
      </c>
      <c r="G156" s="21" t="n">
        <f aca="false">SUMIFS('РПН по МО'!$E:$E,'РПН по МО'!$F:$F,A156)</f>
        <v>68961</v>
      </c>
      <c r="H156" s="25" t="n">
        <f aca="false">IF(G156&gt;0,G156/F156,"")</f>
        <v>8.60551283919904</v>
      </c>
      <c r="I156" s="22" t="n">
        <f aca="false">IF(G156&gt;0,ROUND(1+$I$3*$I$4/H156,4),"")</f>
        <v>1.596</v>
      </c>
      <c r="J156" s="33" t="n">
        <f aca="false">IF(D156="район",MIN(I156,2),IF(D156="город респ. значения",1,IF(D156="областной центр",1,1.5)))</f>
        <v>1.5</v>
      </c>
      <c r="K156" s="34" t="n">
        <v>1.5</v>
      </c>
      <c r="L156" s="35" t="n">
        <f aca="false">J156-K156</f>
        <v>0</v>
      </c>
      <c r="M156" s="36" t="n">
        <f aca="false">IF(D156="город респ. значения","",H156)</f>
        <v>8.60551283919904</v>
      </c>
      <c r="N156" s="37" t="n">
        <f aca="false">IF(D156="город респ. значения","",G156)</f>
        <v>68961</v>
      </c>
    </row>
    <row r="157" customFormat="false" ht="15" hidden="false" customHeight="false" outlineLevel="0" collapsed="false">
      <c r="A157" s="20" t="s">
        <v>199</v>
      </c>
      <c r="B157" s="20" t="s">
        <v>18</v>
      </c>
      <c r="C157" s="20" t="s">
        <v>426</v>
      </c>
      <c r="D157" s="31" t="s">
        <v>278</v>
      </c>
      <c r="E157" s="32" t="n">
        <f aca="false">SUMIFS('Площадь МСХ'!$D:$D,'Площадь МСХ'!$E:$E,A157)</f>
        <v>1887.6021</v>
      </c>
      <c r="F157" s="32" t="n">
        <f aca="false">E157*10</f>
        <v>18876.021</v>
      </c>
      <c r="G157" s="21" t="n">
        <f aca="false">SUMIFS('РПН по МО'!$E:$E,'РПН по МО'!$F:$F,A157)</f>
        <v>43269</v>
      </c>
      <c r="H157" s="25" t="n">
        <f aca="false">IF(G157&gt;0,G157/F157,"")</f>
        <v>2.29227335570351</v>
      </c>
      <c r="I157" s="22" t="n">
        <f aca="false">IF(G157&gt;0,ROUND(1+$I$3*$I$4/H157,4),"")</f>
        <v>3.2375</v>
      </c>
      <c r="J157" s="33" t="n">
        <f aca="false">IF(D157="район",MIN(I157,2),IF(D157="город респ. значения",1,IF(D157="областной центр",1,1.5)))</f>
        <v>1.5</v>
      </c>
      <c r="K157" s="34" t="n">
        <v>1.5</v>
      </c>
      <c r="L157" s="35" t="n">
        <f aca="false">J157-K157</f>
        <v>0</v>
      </c>
      <c r="M157" s="36" t="n">
        <f aca="false">IF(D157="город респ. значения","",H157)</f>
        <v>2.29227335570351</v>
      </c>
      <c r="N157" s="37" t="n">
        <f aca="false">IF(D157="город респ. значения","",G157)</f>
        <v>43269</v>
      </c>
    </row>
    <row r="158" customFormat="false" ht="15" hidden="false" customHeight="false" outlineLevel="0" collapsed="false">
      <c r="A158" s="20" t="s">
        <v>200</v>
      </c>
      <c r="B158" s="20" t="s">
        <v>18</v>
      </c>
      <c r="C158" s="20" t="s">
        <v>382</v>
      </c>
      <c r="D158" s="31" t="s">
        <v>280</v>
      </c>
      <c r="E158" s="32" t="n">
        <f aca="false">SUMIFS('Площадь МСХ'!$D:$D,'Площадь МСХ'!$E:$E,A158)</f>
        <v>977.8009</v>
      </c>
      <c r="F158" s="32" t="n">
        <f aca="false">E158*10</f>
        <v>9778.009</v>
      </c>
      <c r="G158" s="21" t="n">
        <f aca="false">SUMIFS('РПН по МО'!$E:$E,'РПН по МО'!$F:$F,A158)</f>
        <v>9687</v>
      </c>
      <c r="H158" s="25" t="n">
        <f aca="false">IF(G158&gt;0,G158/F158,"")</f>
        <v>0.990692481465296</v>
      </c>
      <c r="I158" s="22" t="n">
        <f aca="false">IF(G158&gt;0,ROUND(1+$I$3*$I$4/H158,4),"")</f>
        <v>6.1772</v>
      </c>
      <c r="J158" s="33" t="n">
        <f aca="false">IF(D158="район",MIN(I158,2),IF(D158="город респ. значения",1,IF(D158="областной центр",1,1.5)))</f>
        <v>2</v>
      </c>
      <c r="K158" s="34" t="n">
        <v>2</v>
      </c>
      <c r="L158" s="35" t="n">
        <f aca="false">J158-K158</f>
        <v>0</v>
      </c>
      <c r="M158" s="36" t="n">
        <f aca="false">IF(D158="город респ. значения","",H158)</f>
        <v>0.990692481465296</v>
      </c>
      <c r="N158" s="37" t="n">
        <f aca="false">IF(D158="город респ. значения","",G158)</f>
        <v>9687</v>
      </c>
    </row>
    <row r="159" customFormat="false" ht="15" hidden="false" customHeight="false" outlineLevel="0" collapsed="false">
      <c r="A159" s="20" t="s">
        <v>201</v>
      </c>
      <c r="B159" s="20" t="s">
        <v>18</v>
      </c>
      <c r="C159" s="20" t="s">
        <v>427</v>
      </c>
      <c r="D159" s="31" t="s">
        <v>280</v>
      </c>
      <c r="E159" s="32" t="n">
        <f aca="false">SUMIFS('Площадь МСХ'!$D:$D,'Площадь МСХ'!$E:$E,A159)</f>
        <v>1850.775</v>
      </c>
      <c r="F159" s="32" t="n">
        <f aca="false">E159*10</f>
        <v>18507.75</v>
      </c>
      <c r="G159" s="21" t="n">
        <f aca="false">SUMIFS('РПН по МО'!$E:$E,'РПН по МО'!$F:$F,A159)</f>
        <v>19932</v>
      </c>
      <c r="H159" s="25" t="n">
        <f aca="false">IF(G159&gt;0,G159/F159,"")</f>
        <v>1.07695424889573</v>
      </c>
      <c r="I159" s="22" t="n">
        <f aca="false">IF(G159&gt;0,ROUND(1+$I$3*$I$4/H159,4),"")</f>
        <v>5.7625</v>
      </c>
      <c r="J159" s="33" t="n">
        <f aca="false">IF(D159="район",MIN(I159,2),IF(D159="город респ. значения",1,IF(D159="областной центр",1,1.5)))</f>
        <v>2</v>
      </c>
      <c r="K159" s="34" t="n">
        <v>2</v>
      </c>
      <c r="L159" s="35" t="n">
        <f aca="false">J159-K159</f>
        <v>0</v>
      </c>
      <c r="M159" s="36" t="n">
        <f aca="false">IF(D159="город респ. значения","",H159)</f>
        <v>1.07695424889573</v>
      </c>
      <c r="N159" s="37" t="n">
        <f aca="false">IF(D159="город респ. значения","",G159)</f>
        <v>19932</v>
      </c>
    </row>
    <row r="160" customFormat="false" ht="15" hidden="false" customHeight="false" outlineLevel="0" collapsed="false">
      <c r="A160" s="20" t="s">
        <v>202</v>
      </c>
      <c r="B160" s="20" t="s">
        <v>18</v>
      </c>
      <c r="C160" s="20" t="s">
        <v>428</v>
      </c>
      <c r="D160" s="31" t="s">
        <v>280</v>
      </c>
      <c r="E160" s="32" t="n">
        <f aca="false">SUMIFS('Площадь МСХ'!$D:$D,'Площадь МСХ'!$E:$E,A160)</f>
        <v>766.772</v>
      </c>
      <c r="F160" s="32" t="n">
        <f aca="false">E160*10</f>
        <v>7667.72</v>
      </c>
      <c r="G160" s="21" t="n">
        <f aca="false">SUMIFS('РПН по МО'!$E:$E,'РПН по МО'!$F:$F,A160)</f>
        <v>12345</v>
      </c>
      <c r="H160" s="25" t="n">
        <f aca="false">IF(G160&gt;0,G160/F160,"")</f>
        <v>1.60999619182756</v>
      </c>
      <c r="I160" s="22" t="n">
        <f aca="false">IF(G160&gt;0,ROUND(1+$I$3*$I$4/H160,4),"")</f>
        <v>4.1857</v>
      </c>
      <c r="J160" s="33" t="n">
        <f aca="false">IF(D160="район",MIN(I160,2),IF(D160="город респ. значения",1,IF(D160="областной центр",1,1.5)))</f>
        <v>2</v>
      </c>
      <c r="K160" s="34" t="n">
        <v>2</v>
      </c>
      <c r="L160" s="35" t="n">
        <f aca="false">J160-K160</f>
        <v>0</v>
      </c>
      <c r="M160" s="36" t="n">
        <f aca="false">IF(D160="город респ. значения","",H160)</f>
        <v>1.60999619182756</v>
      </c>
      <c r="N160" s="37" t="n">
        <f aca="false">IF(D160="город респ. значения","",G160)</f>
        <v>12345</v>
      </c>
    </row>
    <row r="161" customFormat="false" ht="15" hidden="false" customHeight="false" outlineLevel="0" collapsed="false">
      <c r="A161" s="20" t="s">
        <v>203</v>
      </c>
      <c r="B161" s="20" t="s">
        <v>18</v>
      </c>
      <c r="C161" s="20" t="s">
        <v>429</v>
      </c>
      <c r="D161" s="31" t="s">
        <v>280</v>
      </c>
      <c r="E161" s="32" t="n">
        <f aca="false">SUMIFS('Площадь МСХ'!$D:$D,'Площадь МСХ'!$E:$E,A161)</f>
        <v>1019.0199</v>
      </c>
      <c r="F161" s="32" t="n">
        <f aca="false">E161*10</f>
        <v>10190.199</v>
      </c>
      <c r="G161" s="21" t="n">
        <f aca="false">SUMIFS('РПН по МО'!$E:$E,'РПН по МО'!$F:$F,A161)</f>
        <v>13793</v>
      </c>
      <c r="H161" s="25" t="n">
        <f aca="false">IF(G161&gt;0,G161/F161,"")</f>
        <v>1.35355550956365</v>
      </c>
      <c r="I161" s="22" t="n">
        <f aca="false">IF(G161&gt;0,ROUND(1+$I$3*$I$4/H161,4),"")</f>
        <v>4.7893</v>
      </c>
      <c r="J161" s="33" t="n">
        <f aca="false">IF(D161="район",MIN(I161,2),IF(D161="город респ. значения",1,IF(D161="областной центр",1,1.5)))</f>
        <v>2</v>
      </c>
      <c r="K161" s="34" t="n">
        <v>2</v>
      </c>
      <c r="L161" s="35" t="n">
        <f aca="false">J161-K161</f>
        <v>0</v>
      </c>
      <c r="M161" s="36" t="n">
        <f aca="false">IF(D161="город респ. значения","",H161)</f>
        <v>1.35355550956365</v>
      </c>
      <c r="N161" s="37" t="n">
        <f aca="false">IF(D161="город респ. значения","",G161)</f>
        <v>13793</v>
      </c>
    </row>
    <row r="162" customFormat="false" ht="15" hidden="false" customHeight="false" outlineLevel="0" collapsed="false">
      <c r="A162" s="20" t="s">
        <v>204</v>
      </c>
      <c r="B162" s="20" t="s">
        <v>18</v>
      </c>
      <c r="C162" s="20" t="s">
        <v>430</v>
      </c>
      <c r="D162" s="31" t="s">
        <v>280</v>
      </c>
      <c r="E162" s="32" t="n">
        <f aca="false">SUMIFS('Площадь МСХ'!$D:$D,'Площадь МСХ'!$E:$E,A162)</f>
        <v>675.2177</v>
      </c>
      <c r="F162" s="32" t="n">
        <f aca="false">E162*10</f>
        <v>6752.177</v>
      </c>
      <c r="G162" s="21" t="n">
        <f aca="false">SUMIFS('РПН по МО'!$E:$E,'РПН по МО'!$F:$F,A162)</f>
        <v>16916</v>
      </c>
      <c r="H162" s="25" t="n">
        <f aca="false">IF(G162&gt;0,G162/F162,"")</f>
        <v>2.50526607936966</v>
      </c>
      <c r="I162" s="22" t="n">
        <f aca="false">IF(G162&gt;0,ROUND(1+$I$3*$I$4/H162,4),"")</f>
        <v>3.0473</v>
      </c>
      <c r="J162" s="33" t="n">
        <f aca="false">IF(D162="район",MIN(I162,2),IF(D162="город респ. значения",1,IF(D162="областной центр",1,1.5)))</f>
        <v>2</v>
      </c>
      <c r="K162" s="34" t="n">
        <v>1.703</v>
      </c>
      <c r="L162" s="35" t="n">
        <f aca="false">J162-K162</f>
        <v>0.297</v>
      </c>
      <c r="M162" s="36" t="n">
        <f aca="false">IF(D162="город респ. значения","",H162)</f>
        <v>2.50526607936966</v>
      </c>
      <c r="N162" s="37" t="n">
        <f aca="false">IF(D162="город респ. значения","",G162)</f>
        <v>16916</v>
      </c>
    </row>
    <row r="163" customFormat="false" ht="15" hidden="false" customHeight="false" outlineLevel="0" collapsed="false">
      <c r="A163" s="20" t="s">
        <v>205</v>
      </c>
      <c r="B163" s="20" t="s">
        <v>18</v>
      </c>
      <c r="C163" s="20" t="s">
        <v>431</v>
      </c>
      <c r="D163" s="31" t="s">
        <v>280</v>
      </c>
      <c r="E163" s="32" t="n">
        <f aca="false">SUMIFS('Площадь МСХ'!$D:$D,'Площадь МСХ'!$E:$E,A163)</f>
        <v>806.512</v>
      </c>
      <c r="F163" s="32" t="n">
        <f aca="false">E163*10</f>
        <v>8065.12</v>
      </c>
      <c r="G163" s="21" t="n">
        <f aca="false">SUMIFS('РПН по МО'!$E:$E,'РПН по МО'!$F:$F,A163)</f>
        <v>9437</v>
      </c>
      <c r="H163" s="25" t="n">
        <f aca="false">IF(G163&gt;0,G163/F163,"")</f>
        <v>1.17010038288333</v>
      </c>
      <c r="I163" s="22" t="n">
        <f aca="false">IF(G163&gt;0,ROUND(1+$I$3*$I$4/H163,4),"")</f>
        <v>5.3834</v>
      </c>
      <c r="J163" s="33" t="n">
        <f aca="false">IF(D163="район",MIN(I163,2),IF(D163="город респ. значения",1,IF(D163="областной центр",1,1.5)))</f>
        <v>2</v>
      </c>
      <c r="K163" s="34" t="n">
        <v>2</v>
      </c>
      <c r="L163" s="35" t="n">
        <f aca="false">J163-K163</f>
        <v>0</v>
      </c>
      <c r="M163" s="36" t="n">
        <f aca="false">IF(D163="город респ. значения","",H163)</f>
        <v>1.17010038288333</v>
      </c>
      <c r="N163" s="37" t="n">
        <f aca="false">IF(D163="город респ. значения","",G163)</f>
        <v>9437</v>
      </c>
    </row>
    <row r="164" customFormat="false" ht="15" hidden="false" customHeight="false" outlineLevel="0" collapsed="false">
      <c r="A164" s="20" t="s">
        <v>206</v>
      </c>
      <c r="B164" s="20" t="s">
        <v>18</v>
      </c>
      <c r="C164" s="20" t="s">
        <v>432</v>
      </c>
      <c r="D164" s="31" t="s">
        <v>280</v>
      </c>
      <c r="E164" s="32" t="n">
        <f aca="false">SUMIFS('Площадь МСХ'!$D:$D,'Площадь МСХ'!$E:$E,A164)</f>
        <v>1799.654</v>
      </c>
      <c r="F164" s="32" t="n">
        <f aca="false">E164*10</f>
        <v>17996.54</v>
      </c>
      <c r="G164" s="21" t="n">
        <f aca="false">SUMIFS('РПН по МО'!$E:$E,'РПН по МО'!$F:$F,A164)</f>
        <v>8245</v>
      </c>
      <c r="H164" s="25" t="n">
        <f aca="false">IF(G164&gt;0,G164/F164,"")</f>
        <v>0.45814362094047</v>
      </c>
      <c r="I164" s="22" t="n">
        <f aca="false">IF(G164&gt;0,ROUND(1+$I$3*$I$4/H164,4),"")</f>
        <v>12.1953</v>
      </c>
      <c r="J164" s="33" t="n">
        <f aca="false">IF(D164="район",MIN(I164,2),IF(D164="город респ. значения",1,IF(D164="областной центр",1,1.5)))</f>
        <v>2</v>
      </c>
      <c r="K164" s="34" t="n">
        <v>2</v>
      </c>
      <c r="L164" s="35" t="n">
        <f aca="false">J164-K164</f>
        <v>0</v>
      </c>
      <c r="M164" s="36" t="n">
        <f aca="false">IF(D164="город респ. значения","",H164)</f>
        <v>0.45814362094047</v>
      </c>
      <c r="N164" s="37" t="n">
        <f aca="false">IF(D164="город респ. значения","",G164)</f>
        <v>8245</v>
      </c>
    </row>
    <row r="165" customFormat="false" ht="15" hidden="false" customHeight="false" outlineLevel="0" collapsed="false">
      <c r="A165" s="20" t="s">
        <v>207</v>
      </c>
      <c r="B165" s="20" t="s">
        <v>18</v>
      </c>
      <c r="C165" s="20" t="s">
        <v>433</v>
      </c>
      <c r="D165" s="31" t="s">
        <v>280</v>
      </c>
      <c r="E165" s="32" t="n">
        <f aca="false">SUMIFS('Площадь МСХ'!$D:$D,'Площадь МСХ'!$E:$E,A165)</f>
        <v>582.0879</v>
      </c>
      <c r="F165" s="32" t="n">
        <f aca="false">E165*10</f>
        <v>5820.879</v>
      </c>
      <c r="G165" s="21" t="n">
        <f aca="false">SUMIFS('РПН по МО'!$E:$E,'РПН по МО'!$F:$F,A165)</f>
        <v>23193</v>
      </c>
      <c r="H165" s="25" t="n">
        <f aca="false">IF(G165&gt;0,G165/F165,"")</f>
        <v>3.98444977124589</v>
      </c>
      <c r="I165" s="22" t="n">
        <f aca="false">IF(G165&gt;0,ROUND(1+$I$3*$I$4/H165,4),"")</f>
        <v>2.2873</v>
      </c>
      <c r="J165" s="33" t="n">
        <f aca="false">IF(D165="район",MIN(I165,2),IF(D165="город респ. значения",1,IF(D165="областной центр",1,1.5)))</f>
        <v>2</v>
      </c>
      <c r="K165" s="34" t="n">
        <v>1.4472</v>
      </c>
      <c r="L165" s="35" t="n">
        <f aca="false">J165-K165</f>
        <v>0.5528</v>
      </c>
      <c r="M165" s="36" t="n">
        <f aca="false">IF(D165="город респ. значения","",H165)</f>
        <v>3.98444977124589</v>
      </c>
      <c r="N165" s="37" t="n">
        <f aca="false">IF(D165="город респ. значения","",G165)</f>
        <v>23193</v>
      </c>
    </row>
    <row r="166" customFormat="false" ht="15" hidden="false" customHeight="false" outlineLevel="0" collapsed="false">
      <c r="A166" s="20" t="s">
        <v>208</v>
      </c>
      <c r="B166" s="20" t="s">
        <v>18</v>
      </c>
      <c r="C166" s="20" t="s">
        <v>434</v>
      </c>
      <c r="D166" s="31" t="s">
        <v>280</v>
      </c>
      <c r="E166" s="32" t="n">
        <f aca="false">SUMIFS('Площадь МСХ'!$D:$D,'Площадь МСХ'!$E:$E,A166)</f>
        <v>549.4164</v>
      </c>
      <c r="F166" s="32" t="n">
        <f aca="false">E166*10</f>
        <v>5494.164</v>
      </c>
      <c r="G166" s="21" t="n">
        <f aca="false">SUMIFS('РПН по МО'!$E:$E,'РПН по МО'!$F:$F,A166)</f>
        <v>10635</v>
      </c>
      <c r="H166" s="25" t="n">
        <f aca="false">IF(G166&gt;0,G166/F166,"")</f>
        <v>1.93569030702396</v>
      </c>
      <c r="I166" s="22" t="n">
        <f aca="false">IF(G166&gt;0,ROUND(1+$I$3*$I$4/H166,4),"")</f>
        <v>3.6497</v>
      </c>
      <c r="J166" s="33" t="n">
        <f aca="false">IF(D166="район",MIN(I166,2),IF(D166="город респ. значения",1,IF(D166="областной центр",1,1.5)))</f>
        <v>2</v>
      </c>
      <c r="K166" s="34" t="n">
        <v>1.9044</v>
      </c>
      <c r="L166" s="35" t="n">
        <f aca="false">J166-K166</f>
        <v>0.0955999999999999</v>
      </c>
      <c r="M166" s="36" t="n">
        <f aca="false">IF(D166="город респ. значения","",H166)</f>
        <v>1.93569030702396</v>
      </c>
      <c r="N166" s="37" t="n">
        <f aca="false">IF(D166="город респ. значения","",G166)</f>
        <v>10635</v>
      </c>
    </row>
    <row r="167" customFormat="false" ht="15" hidden="false" customHeight="false" outlineLevel="0" collapsed="false">
      <c r="A167" s="20" t="s">
        <v>209</v>
      </c>
      <c r="B167" s="20" t="s">
        <v>18</v>
      </c>
      <c r="C167" s="20" t="s">
        <v>435</v>
      </c>
      <c r="D167" s="31" t="s">
        <v>280</v>
      </c>
      <c r="E167" s="32" t="n">
        <f aca="false">SUMIFS('Площадь МСХ'!$D:$D,'Площадь МСХ'!$E:$E,A167)</f>
        <v>684.866</v>
      </c>
      <c r="F167" s="32" t="n">
        <f aca="false">E167*10</f>
        <v>6848.66</v>
      </c>
      <c r="G167" s="21" t="n">
        <f aca="false">SUMIFS('РПН по МО'!$E:$E,'РПН по МО'!$F:$F,A167)</f>
        <v>16227</v>
      </c>
      <c r="H167" s="25" t="n">
        <f aca="false">IF(G167&gt;0,G167/F167,"")</f>
        <v>2.36936860641352</v>
      </c>
      <c r="I167" s="22" t="n">
        <f aca="false">IF(G167&gt;0,ROUND(1+$I$3*$I$4/H167,4),"")</f>
        <v>3.1647</v>
      </c>
      <c r="J167" s="33" t="n">
        <f aca="false">IF(D167="район",MIN(I167,2),IF(D167="город респ. значения",1,IF(D167="областной центр",1,1.5)))</f>
        <v>2</v>
      </c>
      <c r="K167" s="34" t="n">
        <v>1.7395</v>
      </c>
      <c r="L167" s="35" t="n">
        <f aca="false">J167-K167</f>
        <v>0.2605</v>
      </c>
      <c r="M167" s="36" t="n">
        <f aca="false">IF(D167="город респ. значения","",H167)</f>
        <v>2.36936860641352</v>
      </c>
      <c r="N167" s="37" t="n">
        <f aca="false">IF(D167="город респ. значения","",G167)</f>
        <v>16227</v>
      </c>
    </row>
    <row r="168" customFormat="false" ht="15" hidden="false" customHeight="false" outlineLevel="0" collapsed="false">
      <c r="A168" s="20" t="s">
        <v>210</v>
      </c>
      <c r="B168" s="20" t="s">
        <v>19</v>
      </c>
      <c r="C168" s="20" t="s">
        <v>436</v>
      </c>
      <c r="D168" s="31" t="s">
        <v>276</v>
      </c>
      <c r="E168" s="32" t="n">
        <f aca="false">SUMIFS('Площадь МСХ'!$D:$D,'Площадь МСХ'!$E:$E,A168)</f>
        <v>22.491</v>
      </c>
      <c r="F168" s="32" t="n">
        <f aca="false">E168*10</f>
        <v>224.91</v>
      </c>
      <c r="G168" s="21" t="n">
        <f aca="false">SUMIFS('РПН по МО'!$E:$E,'РПН по МО'!$F:$F,A168)</f>
        <v>243181</v>
      </c>
      <c r="H168" s="25" t="n">
        <f aca="false">IF(G168&gt;0,G168/F168,"")</f>
        <v>1081.23693922013</v>
      </c>
      <c r="I168" s="22" t="n">
        <f aca="false">IF(G168&gt;0,ROUND(1+$I$3*$I$4/H168,4),"")</f>
        <v>1.0047</v>
      </c>
      <c r="J168" s="33" t="n">
        <f aca="false">IF(D168="район",MIN(I168,2),IF(D168="город респ. значения",1,IF(D168="областной центр",1,1.5)))</f>
        <v>1</v>
      </c>
      <c r="K168" s="34" t="n">
        <v>1</v>
      </c>
      <c r="L168" s="35" t="n">
        <f aca="false">J168-K168</f>
        <v>0</v>
      </c>
      <c r="M168" s="36" t="n">
        <f aca="false">IF(D168="город респ. значения","",H168)</f>
        <v>1081.23693922013</v>
      </c>
      <c r="N168" s="37" t="n">
        <f aca="false">IF(D168="город респ. значения","",G168)</f>
        <v>243181</v>
      </c>
    </row>
    <row r="169" customFormat="false" ht="15" hidden="false" customHeight="false" outlineLevel="0" collapsed="false">
      <c r="A169" s="20" t="s">
        <v>211</v>
      </c>
      <c r="B169" s="20" t="s">
        <v>19</v>
      </c>
      <c r="C169" s="20" t="s">
        <v>437</v>
      </c>
      <c r="D169" s="31" t="s">
        <v>280</v>
      </c>
      <c r="E169" s="32" t="n">
        <f aca="false">SUMIFS('Площадь МСХ'!$D:$D,'Площадь МСХ'!$E:$E,A169)</f>
        <v>960.382</v>
      </c>
      <c r="F169" s="32" t="n">
        <f aca="false">E169*10</f>
        <v>9603.82</v>
      </c>
      <c r="G169" s="21" t="n">
        <f aca="false">SUMIFS('РПН по МО'!$E:$E,'РПН по МО'!$F:$F,A169)</f>
        <v>29949</v>
      </c>
      <c r="H169" s="25" t="n">
        <f aca="false">IF(G169&gt;0,G169/F169,"")</f>
        <v>3.11844661811654</v>
      </c>
      <c r="I169" s="22" t="n">
        <f aca="false">IF(G169&gt;0,ROUND(1+$I$3*$I$4/H169,4),"")</f>
        <v>2.6447</v>
      </c>
      <c r="J169" s="33" t="n">
        <f aca="false">IF(D169="район",MIN(I169,2),IF(D169="город респ. значения",1,IF(D169="областной центр",1,1.5)))</f>
        <v>2</v>
      </c>
      <c r="K169" s="34" t="n">
        <v>1.608</v>
      </c>
      <c r="L169" s="35" t="n">
        <f aca="false">J169-K169</f>
        <v>0.392</v>
      </c>
      <c r="M169" s="36" t="n">
        <f aca="false">IF(D169="город респ. значения","",H169)</f>
        <v>3.11844661811654</v>
      </c>
      <c r="N169" s="37" t="n">
        <f aca="false">IF(D169="город респ. значения","",G169)</f>
        <v>29949</v>
      </c>
    </row>
    <row r="170" customFormat="false" ht="15" hidden="false" customHeight="false" outlineLevel="0" collapsed="false">
      <c r="A170" s="20" t="s">
        <v>212</v>
      </c>
      <c r="B170" s="20" t="s">
        <v>19</v>
      </c>
      <c r="C170" s="20" t="s">
        <v>438</v>
      </c>
      <c r="D170" s="31" t="s">
        <v>280</v>
      </c>
      <c r="E170" s="32" t="n">
        <f aca="false">SUMIFS('Площадь МСХ'!$D:$D,'Площадь МСХ'!$E:$E,A170)</f>
        <v>804.317</v>
      </c>
      <c r="F170" s="32" t="n">
        <f aca="false">E170*10</f>
        <v>8043.17</v>
      </c>
      <c r="G170" s="21" t="n">
        <f aca="false">SUMIFS('РПН по МО'!$E:$E,'РПН по МО'!$F:$F,A170)</f>
        <v>11276</v>
      </c>
      <c r="H170" s="25" t="n">
        <f aca="false">IF(G170&gt;0,G170/F170,"")</f>
        <v>1.40193480928539</v>
      </c>
      <c r="I170" s="22" t="n">
        <f aca="false">IF(G170&gt;0,ROUND(1+$I$3*$I$4/H170,4),"")</f>
        <v>4.6585</v>
      </c>
      <c r="J170" s="33" t="n">
        <f aca="false">IF(D170="район",MIN(I170,2),IF(D170="город респ. значения",1,IF(D170="областной центр",1,1.5)))</f>
        <v>2</v>
      </c>
      <c r="K170" s="34" t="n">
        <v>2</v>
      </c>
      <c r="L170" s="35" t="n">
        <f aca="false">J170-K170</f>
        <v>0</v>
      </c>
      <c r="M170" s="36" t="n">
        <f aca="false">IF(D170="город респ. значения","",H170)</f>
        <v>1.40193480928539</v>
      </c>
      <c r="N170" s="37" t="n">
        <f aca="false">IF(D170="город респ. значения","",G170)</f>
        <v>11276</v>
      </c>
    </row>
    <row r="171" customFormat="false" ht="15" hidden="false" customHeight="false" outlineLevel="0" collapsed="false">
      <c r="A171" s="20" t="s">
        <v>213</v>
      </c>
      <c r="B171" s="20" t="s">
        <v>19</v>
      </c>
      <c r="C171" s="20" t="s">
        <v>439</v>
      </c>
      <c r="D171" s="31" t="s">
        <v>280</v>
      </c>
      <c r="E171" s="32" t="n">
        <f aca="false">SUMIFS('Площадь МСХ'!$D:$D,'Площадь МСХ'!$E:$E,A171)</f>
        <v>780.698</v>
      </c>
      <c r="F171" s="32" t="n">
        <f aca="false">E171*10</f>
        <v>7806.98</v>
      </c>
      <c r="G171" s="21" t="n">
        <f aca="false">SUMIFS('РПН по МО'!$E:$E,'РПН по МО'!$F:$F,A171)</f>
        <v>24484</v>
      </c>
      <c r="H171" s="25" t="n">
        <f aca="false">IF(G171&gt;0,G171/F171,"")</f>
        <v>3.13616789078491</v>
      </c>
      <c r="I171" s="22" t="n">
        <f aca="false">IF(G171&gt;0,ROUND(1+$I$3*$I$4/H171,4),"")</f>
        <v>2.6354</v>
      </c>
      <c r="J171" s="33" t="n">
        <f aca="false">IF(D171="район",MIN(I171,2),IF(D171="город респ. значения",1,IF(D171="областной центр",1,1.5)))</f>
        <v>2</v>
      </c>
      <c r="K171" s="34" t="n">
        <v>1.5895</v>
      </c>
      <c r="L171" s="35" t="n">
        <f aca="false">J171-K171</f>
        <v>0.4105</v>
      </c>
      <c r="M171" s="36" t="n">
        <f aca="false">IF(D171="город респ. значения","",H171)</f>
        <v>3.13616789078491</v>
      </c>
      <c r="N171" s="37" t="n">
        <f aca="false">IF(D171="город респ. значения","",G171)</f>
        <v>24484</v>
      </c>
    </row>
    <row r="172" customFormat="false" ht="15" hidden="false" customHeight="false" outlineLevel="0" collapsed="false">
      <c r="A172" s="20" t="s">
        <v>214</v>
      </c>
      <c r="B172" s="20" t="s">
        <v>19</v>
      </c>
      <c r="C172" s="20" t="s">
        <v>301</v>
      </c>
      <c r="D172" s="31" t="s">
        <v>280</v>
      </c>
      <c r="E172" s="32" t="n">
        <f aca="false">SUMIFS('Площадь МСХ'!$D:$D,'Площадь МСХ'!$E:$E,A172)</f>
        <v>514.144</v>
      </c>
      <c r="F172" s="32" t="n">
        <f aca="false">E172*10</f>
        <v>5141.44</v>
      </c>
      <c r="G172" s="21" t="n">
        <f aca="false">SUMIFS('РПН по МО'!$E:$E,'РПН по МО'!$F:$F,A172)</f>
        <v>19659</v>
      </c>
      <c r="H172" s="25" t="n">
        <f aca="false">IF(G172&gt;0,G172/F172,"")</f>
        <v>3.82363695773947</v>
      </c>
      <c r="I172" s="22" t="n">
        <f aca="false">IF(G172&gt;0,ROUND(1+$I$3*$I$4/H172,4),"")</f>
        <v>2.3414</v>
      </c>
      <c r="J172" s="33" t="n">
        <f aca="false">IF(D172="район",MIN(I172,2),IF(D172="город респ. значения",1,IF(D172="областной центр",1,1.5)))</f>
        <v>2</v>
      </c>
      <c r="K172" s="34" t="n">
        <v>1.4991</v>
      </c>
      <c r="L172" s="35" t="n">
        <f aca="false">J172-K172</f>
        <v>0.5009</v>
      </c>
      <c r="M172" s="36" t="n">
        <f aca="false">IF(D172="город респ. значения","",H172)</f>
        <v>3.82363695773947</v>
      </c>
      <c r="N172" s="37" t="n">
        <f aca="false">IF(D172="город респ. значения","",G172)</f>
        <v>19659</v>
      </c>
    </row>
    <row r="173" customFormat="false" ht="15" hidden="false" customHeight="false" outlineLevel="0" collapsed="false">
      <c r="A173" s="20" t="s">
        <v>215</v>
      </c>
      <c r="B173" s="20" t="s">
        <v>19</v>
      </c>
      <c r="C173" s="20" t="s">
        <v>328</v>
      </c>
      <c r="D173" s="31" t="s">
        <v>280</v>
      </c>
      <c r="E173" s="32" t="n">
        <f aca="false">SUMIFS('Площадь МСХ'!$D:$D,'Площадь МСХ'!$E:$E,A173)</f>
        <v>746.52</v>
      </c>
      <c r="F173" s="32" t="n">
        <f aca="false">E173*10</f>
        <v>7465.2</v>
      </c>
      <c r="G173" s="21" t="n">
        <f aca="false">SUMIFS('РПН по МО'!$E:$E,'РПН по МО'!$F:$F,A173)</f>
        <v>16177</v>
      </c>
      <c r="H173" s="25" t="n">
        <f aca="false">IF(G173&gt;0,G173/F173,"")</f>
        <v>2.16698815838826</v>
      </c>
      <c r="I173" s="22" t="n">
        <f aca="false">IF(G173&gt;0,ROUND(1+$I$3*$I$4/H173,4),"")</f>
        <v>3.3669</v>
      </c>
      <c r="J173" s="33" t="n">
        <f aca="false">IF(D173="район",MIN(I173,2),IF(D173="город респ. значения",1,IF(D173="областной центр",1,1.5)))</f>
        <v>2</v>
      </c>
      <c r="K173" s="34" t="n">
        <v>1.8525</v>
      </c>
      <c r="L173" s="35" t="n">
        <f aca="false">J173-K173</f>
        <v>0.1475</v>
      </c>
      <c r="M173" s="36" t="n">
        <f aca="false">IF(D173="город респ. значения","",H173)</f>
        <v>2.16698815838826</v>
      </c>
      <c r="N173" s="37" t="n">
        <f aca="false">IF(D173="город респ. значения","",G173)</f>
        <v>16177</v>
      </c>
    </row>
    <row r="174" customFormat="false" ht="15" hidden="false" customHeight="false" outlineLevel="0" collapsed="false">
      <c r="A174" s="20" t="s">
        <v>216</v>
      </c>
      <c r="B174" s="20" t="s">
        <v>19</v>
      </c>
      <c r="C174" s="20" t="s">
        <v>440</v>
      </c>
      <c r="D174" s="31" t="s">
        <v>280</v>
      </c>
      <c r="E174" s="32" t="n">
        <f aca="false">SUMIFS('Площадь МСХ'!$D:$D,'Площадь МСХ'!$E:$E,A174)</f>
        <v>614.99</v>
      </c>
      <c r="F174" s="32" t="n">
        <f aca="false">E174*10</f>
        <v>6149.9</v>
      </c>
      <c r="G174" s="21" t="n">
        <f aca="false">SUMIFS('РПН по МО'!$E:$E,'РПН по МО'!$F:$F,A174)</f>
        <v>40610</v>
      </c>
      <c r="H174" s="25" t="n">
        <f aca="false">IF(G174&gt;0,G174/F174,"")</f>
        <v>6.60335940421796</v>
      </c>
      <c r="I174" s="22" t="n">
        <f aca="false">IF(G174&gt;0,ROUND(1+$I$3*$I$4/H174,4),"")</f>
        <v>1.7767</v>
      </c>
      <c r="J174" s="33" t="n">
        <f aca="false">IF(D174="район",MIN(I174,2),IF(D174="город респ. значения",1,IF(D174="областной центр",1,1.5)))</f>
        <v>1.7767</v>
      </c>
      <c r="K174" s="34" t="n">
        <v>1.272</v>
      </c>
      <c r="L174" s="35" t="n">
        <f aca="false">J174-K174</f>
        <v>0.5047</v>
      </c>
      <c r="M174" s="36" t="n">
        <f aca="false">IF(D174="город респ. значения","",H174)</f>
        <v>6.60335940421796</v>
      </c>
      <c r="N174" s="37" t="n">
        <f aca="false">IF(D174="город респ. значения","",G174)</f>
        <v>40610</v>
      </c>
    </row>
    <row r="175" customFormat="false" ht="15" hidden="false" customHeight="false" outlineLevel="0" collapsed="false">
      <c r="A175" s="20" t="s">
        <v>217</v>
      </c>
      <c r="B175" s="20" t="s">
        <v>19</v>
      </c>
      <c r="C175" s="20" t="s">
        <v>441</v>
      </c>
      <c r="D175" s="31" t="s">
        <v>280</v>
      </c>
      <c r="E175" s="32" t="n">
        <f aca="false">SUMIFS('Площадь МСХ'!$D:$D,'Площадь МСХ'!$E:$E,A175)</f>
        <v>410.001</v>
      </c>
      <c r="F175" s="32" t="n">
        <f aca="false">E175*10</f>
        <v>4100.01</v>
      </c>
      <c r="G175" s="21" t="n">
        <f aca="false">SUMIFS('РПН по МО'!$E:$E,'РПН по МО'!$F:$F,A175)</f>
        <v>16075</v>
      </c>
      <c r="H175" s="25" t="n">
        <f aca="false">IF(G175&gt;0,G175/F175,"")</f>
        <v>3.92072214458014</v>
      </c>
      <c r="I175" s="22" t="n">
        <f aca="false">IF(G175&gt;0,ROUND(1+$I$3*$I$4/H175,4),"")</f>
        <v>2.3082</v>
      </c>
      <c r="J175" s="33" t="n">
        <f aca="false">IF(D175="район",MIN(I175,2),IF(D175="город респ. значения",1,IF(D175="областной центр",1,1.5)))</f>
        <v>2</v>
      </c>
      <c r="K175" s="34" t="n">
        <v>1.4825</v>
      </c>
      <c r="L175" s="35" t="n">
        <f aca="false">J175-K175</f>
        <v>0.5175</v>
      </c>
      <c r="M175" s="36" t="n">
        <f aca="false">IF(D175="город респ. значения","",H175)</f>
        <v>3.92072214458014</v>
      </c>
      <c r="N175" s="37" t="n">
        <f aca="false">IF(D175="город респ. значения","",G175)</f>
        <v>16075</v>
      </c>
    </row>
    <row r="176" customFormat="false" ht="15" hidden="false" customHeight="false" outlineLevel="0" collapsed="false">
      <c r="A176" s="20" t="s">
        <v>218</v>
      </c>
      <c r="B176" s="20" t="s">
        <v>19</v>
      </c>
      <c r="C176" s="20" t="s">
        <v>442</v>
      </c>
      <c r="D176" s="31" t="s">
        <v>280</v>
      </c>
      <c r="E176" s="32" t="n">
        <f aca="false">SUMIFS('Площадь МСХ'!$D:$D,'Площадь МСХ'!$E:$E,A176)</f>
        <v>484.107</v>
      </c>
      <c r="F176" s="32" t="n">
        <f aca="false">E176*10</f>
        <v>4841.07</v>
      </c>
      <c r="G176" s="21" t="n">
        <f aca="false">SUMIFS('РПН по МО'!$E:$E,'РПН по МО'!$F:$F,A176)</f>
        <v>16284</v>
      </c>
      <c r="H176" s="25" t="n">
        <f aca="false">IF(G176&gt;0,G176/F176,"")</f>
        <v>3.36371917778508</v>
      </c>
      <c r="I176" s="22" t="n">
        <f aca="false">IF(G176&gt;0,ROUND(1+$I$3*$I$4/H176,4),"")</f>
        <v>2.5248</v>
      </c>
      <c r="J176" s="33" t="n">
        <f aca="false">IF(D176="район",MIN(I176,2),IF(D176="город респ. значения",1,IF(D176="областной центр",1,1.5)))</f>
        <v>2</v>
      </c>
      <c r="K176" s="34" t="n">
        <v>1.5577</v>
      </c>
      <c r="L176" s="35" t="n">
        <f aca="false">J176-K176</f>
        <v>0.4423</v>
      </c>
      <c r="M176" s="36" t="n">
        <f aca="false">IF(D176="город респ. значения","",H176)</f>
        <v>3.36371917778508</v>
      </c>
      <c r="N176" s="37" t="n">
        <f aca="false">IF(D176="город респ. значения","",G176)</f>
        <v>16284</v>
      </c>
    </row>
    <row r="177" customFormat="false" ht="15" hidden="false" customHeight="false" outlineLevel="0" collapsed="false">
      <c r="A177" s="20" t="s">
        <v>219</v>
      </c>
      <c r="B177" s="20" t="s">
        <v>19</v>
      </c>
      <c r="C177" s="20" t="s">
        <v>443</v>
      </c>
      <c r="D177" s="31" t="s">
        <v>280</v>
      </c>
      <c r="E177" s="32" t="n">
        <f aca="false">SUMIFS('Площадь МСХ'!$D:$D,'Площадь МСХ'!$E:$E,A177)</f>
        <v>470.708</v>
      </c>
      <c r="F177" s="32" t="n">
        <f aca="false">E177*10</f>
        <v>4707.08</v>
      </c>
      <c r="G177" s="21" t="n">
        <f aca="false">SUMIFS('РПН по МО'!$E:$E,'РПН по МО'!$F:$F,A177)</f>
        <v>16837</v>
      </c>
      <c r="H177" s="25" t="n">
        <f aca="false">IF(G177&gt;0,G177/F177,"")</f>
        <v>3.57695216567384</v>
      </c>
      <c r="I177" s="22" t="n">
        <f aca="false">IF(G177&gt;0,ROUND(1+$I$3*$I$4/H177,4),"")</f>
        <v>2.4339</v>
      </c>
      <c r="J177" s="33" t="n">
        <f aca="false">IF(D177="район",MIN(I177,2),IF(D177="город респ. значения",1,IF(D177="областной центр",1,1.5)))</f>
        <v>2</v>
      </c>
      <c r="K177" s="34" t="n">
        <v>1.5355</v>
      </c>
      <c r="L177" s="35" t="n">
        <f aca="false">J177-K177</f>
        <v>0.4645</v>
      </c>
      <c r="M177" s="36" t="n">
        <f aca="false">IF(D177="город респ. значения","",H177)</f>
        <v>3.57695216567384</v>
      </c>
      <c r="N177" s="37" t="n">
        <f aca="false">IF(D177="город респ. значения","",G177)</f>
        <v>16837</v>
      </c>
    </row>
    <row r="178" customFormat="false" ht="15" hidden="false" customHeight="false" outlineLevel="0" collapsed="false">
      <c r="A178" s="20" t="s">
        <v>220</v>
      </c>
      <c r="B178" s="20" t="s">
        <v>19</v>
      </c>
      <c r="C178" s="20" t="s">
        <v>444</v>
      </c>
      <c r="D178" s="31" t="s">
        <v>280</v>
      </c>
      <c r="E178" s="32" t="n">
        <f aca="false">SUMIFS('Площадь МСХ'!$D:$D,'Площадь МСХ'!$E:$E,A178)</f>
        <v>1143.404</v>
      </c>
      <c r="F178" s="32" t="n">
        <f aca="false">E178*10</f>
        <v>11434.04</v>
      </c>
      <c r="G178" s="21" t="n">
        <f aca="false">SUMIFS('РПН по МО'!$E:$E,'РПН по МО'!$F:$F,A178)</f>
        <v>37235</v>
      </c>
      <c r="H178" s="25" t="n">
        <f aca="false">IF(G178&gt;0,G178/F178,"")</f>
        <v>3.25650426271029</v>
      </c>
      <c r="I178" s="22" t="n">
        <f aca="false">IF(G178&gt;0,ROUND(1+$I$3*$I$4/H178,4),"")</f>
        <v>2.575</v>
      </c>
      <c r="J178" s="33" t="n">
        <f aca="false">IF(D178="район",MIN(I178,2),IF(D178="город респ. значения",1,IF(D178="областной центр",1,1.5)))</f>
        <v>2</v>
      </c>
      <c r="K178" s="34" t="n">
        <v>1.5861</v>
      </c>
      <c r="L178" s="35" t="n">
        <f aca="false">J178-K178</f>
        <v>0.4139</v>
      </c>
      <c r="M178" s="36" t="n">
        <f aca="false">IF(D178="город респ. значения","",H178)</f>
        <v>3.25650426271029</v>
      </c>
      <c r="N178" s="37" t="n">
        <f aca="false">IF(D178="город респ. значения","",G178)</f>
        <v>37235</v>
      </c>
    </row>
    <row r="179" customFormat="false" ht="15" hidden="false" customHeight="false" outlineLevel="0" collapsed="false">
      <c r="A179" s="20" t="s">
        <v>221</v>
      </c>
      <c r="B179" s="20" t="s">
        <v>19</v>
      </c>
      <c r="C179" s="20" t="s">
        <v>445</v>
      </c>
      <c r="D179" s="31" t="s">
        <v>280</v>
      </c>
      <c r="E179" s="32" t="n">
        <f aca="false">SUMIFS('Площадь МСХ'!$D:$D,'Площадь МСХ'!$E:$E,A179)</f>
        <v>451.167</v>
      </c>
      <c r="F179" s="32" t="n">
        <f aca="false">E179*10</f>
        <v>4511.67</v>
      </c>
      <c r="G179" s="21" t="n">
        <f aca="false">SUMIFS('РПН по МО'!$E:$E,'РПН по МО'!$F:$F,A179)</f>
        <v>8743</v>
      </c>
      <c r="H179" s="25" t="n">
        <f aca="false">IF(G179&gt;0,G179/F179,"")</f>
        <v>1.93786336323357</v>
      </c>
      <c r="I179" s="22" t="n">
        <f aca="false">IF(G179&gt;0,ROUND(1+$I$3*$I$4/H179,4),"")</f>
        <v>3.6467</v>
      </c>
      <c r="J179" s="33" t="n">
        <f aca="false">IF(D179="район",MIN(I179,2),IF(D179="город респ. значения",1,IF(D179="областной центр",1,1.5)))</f>
        <v>2</v>
      </c>
      <c r="K179" s="34" t="n">
        <v>1.9426</v>
      </c>
      <c r="L179" s="35" t="n">
        <f aca="false">J179-K179</f>
        <v>0.0573999999999999</v>
      </c>
      <c r="M179" s="36" t="n">
        <f aca="false">IF(D179="город респ. значения","",H179)</f>
        <v>1.93786336323357</v>
      </c>
      <c r="N179" s="37" t="n">
        <f aca="false">IF(D179="город респ. значения","",G179)</f>
        <v>8743</v>
      </c>
    </row>
    <row r="180" customFormat="false" ht="15" hidden="false" customHeight="false" outlineLevel="0" collapsed="false">
      <c r="A180" s="20" t="s">
        <v>222</v>
      </c>
      <c r="B180" s="20" t="s">
        <v>19</v>
      </c>
      <c r="C180" s="20" t="s">
        <v>446</v>
      </c>
      <c r="D180" s="31" t="s">
        <v>280</v>
      </c>
      <c r="E180" s="32" t="n">
        <f aca="false">SUMIFS('Площадь МСХ'!$D:$D,'Площадь МСХ'!$E:$E,A180)</f>
        <v>1287.662</v>
      </c>
      <c r="F180" s="32" t="n">
        <f aca="false">E180*10</f>
        <v>12876.62</v>
      </c>
      <c r="G180" s="21" t="n">
        <f aca="false">SUMIFS('РПН по МО'!$E:$E,'РПН по МО'!$F:$F,A180)</f>
        <v>10965</v>
      </c>
      <c r="H180" s="25" t="n">
        <f aca="false">IF(G180&gt;0,G180/F180,"")</f>
        <v>0.851543339789479</v>
      </c>
      <c r="I180" s="22" t="n">
        <f aca="false">IF(G180&gt;0,ROUND(1+$I$3*$I$4/H180,4),"")</f>
        <v>7.0232</v>
      </c>
      <c r="J180" s="33" t="n">
        <f aca="false">IF(D180="район",MIN(I180,2),IF(D180="город респ. значения",1,IF(D180="областной центр",1,1.5)))</f>
        <v>2</v>
      </c>
      <c r="K180" s="34" t="n">
        <v>2</v>
      </c>
      <c r="L180" s="35" t="n">
        <f aca="false">J180-K180</f>
        <v>0</v>
      </c>
      <c r="M180" s="36" t="n">
        <f aca="false">IF(D180="город респ. значения","",H180)</f>
        <v>0.851543339789479</v>
      </c>
      <c r="N180" s="37" t="n">
        <f aca="false">IF(D180="город респ. значения","",G180)</f>
        <v>10965</v>
      </c>
    </row>
    <row r="181" customFormat="false" ht="15" hidden="false" customHeight="false" outlineLevel="0" collapsed="false">
      <c r="A181" s="20" t="s">
        <v>223</v>
      </c>
      <c r="B181" s="20" t="s">
        <v>19</v>
      </c>
      <c r="C181" s="20" t="s">
        <v>447</v>
      </c>
      <c r="D181" s="31" t="s">
        <v>280</v>
      </c>
      <c r="E181" s="32" t="n">
        <f aca="false">SUMIFS('Площадь МСХ'!$D:$D,'Площадь МСХ'!$E:$E,A181)</f>
        <v>1108.678</v>
      </c>
      <c r="F181" s="32" t="n">
        <f aca="false">E181*10</f>
        <v>11086.78</v>
      </c>
      <c r="G181" s="21" t="n">
        <f aca="false">SUMIFS('РПН по МО'!$E:$E,'РПН по МО'!$F:$F,A181)</f>
        <v>33678</v>
      </c>
      <c r="H181" s="25" t="n">
        <f aca="false">IF(G181&gt;0,G181/F181,"")</f>
        <v>3.03767189391329</v>
      </c>
      <c r="I181" s="22" t="n">
        <f aca="false">IF(G181&gt;0,ROUND(1+$I$3*$I$4/H181,4),"")</f>
        <v>2.6885</v>
      </c>
      <c r="J181" s="33" t="n">
        <f aca="false">IF(D181="район",MIN(I181,2),IF(D181="город респ. значения",1,IF(D181="областной центр",1,1.5)))</f>
        <v>2</v>
      </c>
      <c r="K181" s="34" t="n">
        <v>1.6405</v>
      </c>
      <c r="L181" s="35" t="n">
        <f aca="false">J181-K181</f>
        <v>0.3595</v>
      </c>
      <c r="M181" s="36" t="n">
        <f aca="false">IF(D181="город респ. значения","",H181)</f>
        <v>3.03767189391329</v>
      </c>
      <c r="N181" s="37" t="n">
        <f aca="false">IF(D181="город респ. значения","",G181)</f>
        <v>33678</v>
      </c>
    </row>
    <row r="182" customFormat="false" ht="15" hidden="false" customHeight="false" outlineLevel="0" collapsed="false">
      <c r="A182" s="20" t="s">
        <v>224</v>
      </c>
      <c r="B182" s="20" t="s">
        <v>20</v>
      </c>
      <c r="C182" s="20" t="s">
        <v>448</v>
      </c>
      <c r="D182" s="31" t="s">
        <v>276</v>
      </c>
      <c r="E182" s="32" t="n">
        <f aca="false">SUMIFS('Площадь МСХ'!$D:$D,'Площадь МСХ'!$E:$E,A182)</f>
        <v>22.37057</v>
      </c>
      <c r="F182" s="32" t="n">
        <f aca="false">E182*10</f>
        <v>223.7057</v>
      </c>
      <c r="G182" s="21" t="n">
        <f aca="false">SUMIFS('РПН по МО'!$E:$E,'РПН по МО'!$F:$F,A182)</f>
        <v>282223</v>
      </c>
      <c r="H182" s="25" t="n">
        <f aca="false">IF(G182&gt;0,G182/F182,"")</f>
        <v>1261.58162264082</v>
      </c>
      <c r="I182" s="22" t="n">
        <f aca="false">IF(G182&gt;0,ROUND(1+$I$3*$I$4/H182,4),"")</f>
        <v>1.0041</v>
      </c>
      <c r="J182" s="33" t="n">
        <f aca="false">IF(D182="район",MIN(I182,2),IF(D182="город респ. значения",1,IF(D182="областной центр",1,1.5)))</f>
        <v>1</v>
      </c>
      <c r="K182" s="34" t="n">
        <v>1</v>
      </c>
      <c r="L182" s="35" t="n">
        <f aca="false">J182-K182</f>
        <v>0</v>
      </c>
      <c r="M182" s="36" t="n">
        <f aca="false">IF(D182="город респ. значения","",H182)</f>
        <v>1261.58162264082</v>
      </c>
      <c r="N182" s="37" t="n">
        <f aca="false">IF(D182="город респ. значения","",G182)</f>
        <v>282223</v>
      </c>
    </row>
    <row r="183" customFormat="false" ht="15" hidden="false" customHeight="false" outlineLevel="0" collapsed="false">
      <c r="A183" s="20" t="s">
        <v>225</v>
      </c>
      <c r="B183" s="20" t="s">
        <v>20</v>
      </c>
      <c r="C183" s="20" t="s">
        <v>449</v>
      </c>
      <c r="D183" s="31" t="s">
        <v>278</v>
      </c>
      <c r="E183" s="32" t="n">
        <f aca="false">SUMIFS('Площадь МСХ'!$D:$D,'Площадь МСХ'!$E:$E,A183)</f>
        <v>758.74</v>
      </c>
      <c r="F183" s="32" t="n">
        <f aca="false">E183*10</f>
        <v>7587.4</v>
      </c>
      <c r="G183" s="21" t="n">
        <f aca="false">SUMIFS('РПН по МО'!$E:$E,'РПН по МО'!$F:$F,A183)</f>
        <v>69391</v>
      </c>
      <c r="H183" s="25" t="n">
        <f aca="false">IF(G183&gt;0,G183/F183,"")</f>
        <v>9.14555710783668</v>
      </c>
      <c r="I183" s="22" t="n">
        <f aca="false">IF(G183&gt;0,ROUND(1+$I$3*$I$4/H183,4),"")</f>
        <v>1.5608</v>
      </c>
      <c r="J183" s="33" t="n">
        <f aca="false">IF(D183="район",MIN(I183,2),IF(D183="город респ. значения",1,IF(D183="областной центр",1,1.5)))</f>
        <v>1.5</v>
      </c>
      <c r="K183" s="34" t="n">
        <v>1.5</v>
      </c>
      <c r="L183" s="35" t="n">
        <f aca="false">J183-K183</f>
        <v>0</v>
      </c>
      <c r="M183" s="36" t="n">
        <f aca="false">IF(D183="город респ. значения","",H183)</f>
        <v>9.14555710783668</v>
      </c>
      <c r="N183" s="37" t="n">
        <f aca="false">IF(D183="город респ. значения","",G183)</f>
        <v>69391</v>
      </c>
    </row>
    <row r="184" customFormat="false" ht="15" hidden="false" customHeight="false" outlineLevel="0" collapsed="false">
      <c r="A184" s="20" t="s">
        <v>226</v>
      </c>
      <c r="B184" s="20" t="s">
        <v>20</v>
      </c>
      <c r="C184" s="20" t="s">
        <v>450</v>
      </c>
      <c r="D184" s="31" t="s">
        <v>278</v>
      </c>
      <c r="E184" s="32" t="n">
        <f aca="false">SUMIFS('Площадь МСХ'!$D:$D,'Площадь МСХ'!$E:$E,A184)</f>
        <v>128.319</v>
      </c>
      <c r="F184" s="32" t="n">
        <f aca="false">E184*10</f>
        <v>1283.19</v>
      </c>
      <c r="G184" s="21" t="n">
        <f aca="false">SUMIFS('РПН по МО'!$E:$E,'РПН по МО'!$F:$F,A184)</f>
        <v>104092</v>
      </c>
      <c r="H184" s="25" t="n">
        <f aca="false">IF(G184&gt;0,G184/F184,"")</f>
        <v>81.1197094740452</v>
      </c>
      <c r="I184" s="22" t="n">
        <f aca="false">IF(G184&gt;0,ROUND(1+$I$3*$I$4/H184,4),"")</f>
        <v>1.0632</v>
      </c>
      <c r="J184" s="33" t="n">
        <f aca="false">IF(D184="район",MIN(I184,2),IF(D184="город респ. значения",1,IF(D184="областной центр",1,1.5)))</f>
        <v>1.5</v>
      </c>
      <c r="K184" s="34" t="n">
        <v>1.5</v>
      </c>
      <c r="L184" s="35" t="n">
        <f aca="false">J184-K184</f>
        <v>0</v>
      </c>
      <c r="M184" s="36" t="n">
        <f aca="false">IF(D184="город респ. значения","",H184)</f>
        <v>81.1197094740452</v>
      </c>
      <c r="N184" s="37" t="n">
        <f aca="false">IF(D184="город респ. значения","",G184)</f>
        <v>104092</v>
      </c>
    </row>
    <row r="185" customFormat="false" ht="15" hidden="false" customHeight="false" outlineLevel="0" collapsed="false">
      <c r="A185" s="20" t="s">
        <v>227</v>
      </c>
      <c r="B185" s="20" t="s">
        <v>20</v>
      </c>
      <c r="C185" s="20" t="s">
        <v>451</v>
      </c>
      <c r="D185" s="31" t="s">
        <v>280</v>
      </c>
      <c r="E185" s="32" t="n">
        <f aca="false">SUMIFS('Площадь МСХ'!$D:$D,'Площадь МСХ'!$E:$E,A185)</f>
        <v>721.628</v>
      </c>
      <c r="F185" s="32" t="n">
        <f aca="false">E185*10</f>
        <v>7216.28</v>
      </c>
      <c r="G185" s="21" t="n">
        <f aca="false">SUMIFS('РПН по МО'!$E:$E,'РПН по МО'!$F:$F,A185)</f>
        <v>43524</v>
      </c>
      <c r="H185" s="25" t="n">
        <f aca="false">IF(G185&gt;0,G185/F185,"")</f>
        <v>6.03136241941832</v>
      </c>
      <c r="I185" s="22" t="n">
        <f aca="false">IF(G185&gt;0,ROUND(1+$I$3*$I$4/H185,4),"")</f>
        <v>1.8504</v>
      </c>
      <c r="J185" s="33" t="n">
        <f aca="false">IF(D185="район",MIN(I185,2),IF(D185="город респ. значения",1,IF(D185="областной центр",1,1.5)))</f>
        <v>1.8504</v>
      </c>
      <c r="K185" s="34" t="n">
        <v>1.3026</v>
      </c>
      <c r="L185" s="35" t="n">
        <f aca="false">J185-K185</f>
        <v>0.5478</v>
      </c>
      <c r="M185" s="36" t="n">
        <f aca="false">IF(D185="город респ. значения","",H185)</f>
        <v>6.03136241941832</v>
      </c>
      <c r="N185" s="37" t="n">
        <f aca="false">IF(D185="город респ. значения","",G185)</f>
        <v>43524</v>
      </c>
    </row>
    <row r="186" customFormat="false" ht="15" hidden="false" customHeight="false" outlineLevel="0" collapsed="false">
      <c r="A186" s="20" t="s">
        <v>228</v>
      </c>
      <c r="B186" s="20" t="s">
        <v>20</v>
      </c>
      <c r="C186" s="20" t="s">
        <v>452</v>
      </c>
      <c r="D186" s="31" t="s">
        <v>280</v>
      </c>
      <c r="E186" s="32" t="n">
        <f aca="false">SUMIFS('Площадь МСХ'!$D:$D,'Площадь МСХ'!$E:$E,A186)</f>
        <v>104.5411</v>
      </c>
      <c r="F186" s="32" t="n">
        <f aca="false">E186*10</f>
        <v>1045.411</v>
      </c>
      <c r="G186" s="21" t="n">
        <f aca="false">SUMIFS('РПН по МО'!$E:$E,'РПН по МО'!$F:$F,A186)</f>
        <v>171414</v>
      </c>
      <c r="H186" s="25" t="n">
        <f aca="false">IF(G186&gt;0,G186/F186,"")</f>
        <v>163.968047016915</v>
      </c>
      <c r="I186" s="22" t="n">
        <f aca="false">IF(G186&gt;0,ROUND(1+$I$3*$I$4/H186,4),"")</f>
        <v>1.0313</v>
      </c>
      <c r="J186" s="33" t="n">
        <f aca="false">IF(D186="район",MIN(I186,2),IF(D186="город респ. значения",1,IF(D186="областной центр",1,1.5)))</f>
        <v>1.0313</v>
      </c>
      <c r="K186" s="34" t="n">
        <v>1.011</v>
      </c>
      <c r="L186" s="35" t="n">
        <f aca="false">J186-K186</f>
        <v>0.0203000000000002</v>
      </c>
      <c r="M186" s="36" t="n">
        <f aca="false">IF(D186="город респ. значения","",H186)</f>
        <v>163.968047016915</v>
      </c>
      <c r="N186" s="37" t="n">
        <f aca="false">IF(D186="город респ. значения","",G186)</f>
        <v>171414</v>
      </c>
    </row>
    <row r="187" customFormat="false" ht="15" hidden="false" customHeight="false" outlineLevel="0" collapsed="false">
      <c r="A187" s="20" t="s">
        <v>229</v>
      </c>
      <c r="B187" s="20" t="s">
        <v>20</v>
      </c>
      <c r="C187" s="20" t="s">
        <v>453</v>
      </c>
      <c r="D187" s="31" t="s">
        <v>280</v>
      </c>
      <c r="E187" s="32" t="n">
        <f aca="false">SUMIFS('Площадь МСХ'!$D:$D,'Площадь МСХ'!$E:$E,A187)</f>
        <v>345.129</v>
      </c>
      <c r="F187" s="32" t="n">
        <f aca="false">E187*10</f>
        <v>3451.29</v>
      </c>
      <c r="G187" s="21" t="n">
        <f aca="false">SUMIFS('РПН по МО'!$E:$E,'РПН по МО'!$F:$F,A187)</f>
        <v>104434</v>
      </c>
      <c r="H187" s="25" t="n">
        <f aca="false">IF(G187&gt;0,G187/F187,"")</f>
        <v>30.2594102495009</v>
      </c>
      <c r="I187" s="22" t="n">
        <f aca="false">IF(G187&gt;0,ROUND(1+$I$3*$I$4/H187,4),"")</f>
        <v>1.1695</v>
      </c>
      <c r="J187" s="33" t="n">
        <f aca="false">IF(D187="район",MIN(I187,2),IF(D187="город респ. значения",1,IF(D187="областной центр",1,1.5)))</f>
        <v>1.1695</v>
      </c>
      <c r="K187" s="34" t="n">
        <v>1.0537</v>
      </c>
      <c r="L187" s="35" t="n">
        <f aca="false">J187-K187</f>
        <v>0.1158</v>
      </c>
      <c r="M187" s="36" t="n">
        <f aca="false">IF(D187="город респ. значения","",H187)</f>
        <v>30.2594102495009</v>
      </c>
      <c r="N187" s="37" t="n">
        <f aca="false">IF(D187="город респ. значения","",G187)</f>
        <v>104434</v>
      </c>
    </row>
    <row r="188" customFormat="false" ht="15" hidden="false" customHeight="false" outlineLevel="0" collapsed="false">
      <c r="A188" s="20" t="s">
        <v>230</v>
      </c>
      <c r="B188" s="20" t="s">
        <v>20</v>
      </c>
      <c r="C188" s="20" t="s">
        <v>454</v>
      </c>
      <c r="D188" s="31" t="s">
        <v>280</v>
      </c>
      <c r="E188" s="32" t="n">
        <f aca="false">SUMIFS('Площадь МСХ'!$D:$D,'Площадь МСХ'!$E:$E,A188)</f>
        <v>409.057</v>
      </c>
      <c r="F188" s="32" t="n">
        <f aca="false">E188*10</f>
        <v>4090.57</v>
      </c>
      <c r="G188" s="21" t="n">
        <f aca="false">SUMIFS('РПН по МО'!$E:$E,'РПН по МО'!$F:$F,A188)</f>
        <v>97670</v>
      </c>
      <c r="H188" s="25" t="n">
        <f aca="false">IF(G188&gt;0,G188/F188,"")</f>
        <v>23.8768680159489</v>
      </c>
      <c r="I188" s="22" t="n">
        <f aca="false">IF(G188&gt;0,ROUND(1+$I$3*$I$4/H188,4),"")</f>
        <v>1.2148</v>
      </c>
      <c r="J188" s="33" t="n">
        <f aca="false">IF(D188="район",MIN(I188,2),IF(D188="город респ. значения",1,IF(D188="областной центр",1,1.5)))</f>
        <v>1.2148</v>
      </c>
      <c r="K188" s="34" t="n">
        <v>1.0723</v>
      </c>
      <c r="L188" s="35" t="n">
        <f aca="false">J188-K188</f>
        <v>0.1425</v>
      </c>
      <c r="M188" s="36" t="n">
        <f aca="false">IF(D188="город респ. значения","",H188)</f>
        <v>23.8768680159489</v>
      </c>
      <c r="N188" s="37" t="n">
        <f aca="false">IF(D188="город респ. значения","",G188)</f>
        <v>97670</v>
      </c>
    </row>
    <row r="189" customFormat="false" ht="15" hidden="false" customHeight="false" outlineLevel="0" collapsed="false">
      <c r="A189" s="20" t="s">
        <v>231</v>
      </c>
      <c r="B189" s="20" t="s">
        <v>20</v>
      </c>
      <c r="C189" s="20" t="s">
        <v>455</v>
      </c>
      <c r="D189" s="31" t="s">
        <v>280</v>
      </c>
      <c r="E189" s="32" t="n">
        <f aca="false">SUMIFS('Площадь МСХ'!$D:$D,'Площадь МСХ'!$E:$E,A189)</f>
        <v>80.8559</v>
      </c>
      <c r="F189" s="32" t="n">
        <f aca="false">E189*10</f>
        <v>808.559</v>
      </c>
      <c r="G189" s="21" t="n">
        <f aca="false">SUMIFS('РПН по МО'!$E:$E,'РПН по МО'!$F:$F,A189)</f>
        <v>113017</v>
      </c>
      <c r="H189" s="25" t="n">
        <f aca="false">IF(G189&gt;0,G189/F189,"")</f>
        <v>139.7758234093</v>
      </c>
      <c r="I189" s="22" t="n">
        <f aca="false">IF(G189&gt;0,ROUND(1+$I$3*$I$4/H189,4),"")</f>
        <v>1.0367</v>
      </c>
      <c r="J189" s="33" t="n">
        <f aca="false">IF(D189="район",MIN(I189,2),IF(D189="город респ. значения",1,IF(D189="областной центр",1,1.5)))</f>
        <v>1.0367</v>
      </c>
      <c r="K189" s="34" t="n">
        <v>1.0127</v>
      </c>
      <c r="L189" s="35" t="n">
        <f aca="false">J189-K189</f>
        <v>0.024</v>
      </c>
      <c r="M189" s="36" t="n">
        <f aca="false">IF(D189="город респ. значения","",H189)</f>
        <v>139.7758234093</v>
      </c>
      <c r="N189" s="37" t="n">
        <f aca="false">IF(D189="город респ. значения","",G189)</f>
        <v>113017</v>
      </c>
    </row>
    <row r="190" customFormat="false" ht="15" hidden="false" customHeight="false" outlineLevel="0" collapsed="false">
      <c r="A190" s="20" t="s">
        <v>232</v>
      </c>
      <c r="B190" s="20" t="s">
        <v>20</v>
      </c>
      <c r="C190" s="20" t="s">
        <v>456</v>
      </c>
      <c r="D190" s="31" t="s">
        <v>280</v>
      </c>
      <c r="E190" s="32" t="n">
        <f aca="false">SUMIFS('Площадь МСХ'!$D:$D,'Площадь МСХ'!$E:$E,A190)</f>
        <v>265.561</v>
      </c>
      <c r="F190" s="32" t="n">
        <f aca="false">E190*10</f>
        <v>2655.61</v>
      </c>
      <c r="G190" s="21" t="n">
        <f aca="false">SUMIFS('РПН по МО'!$E:$E,'РПН по МО'!$F:$F,A190)</f>
        <v>142454</v>
      </c>
      <c r="H190" s="25" t="n">
        <f aca="false">IF(G190&gt;0,G190/F190,"")</f>
        <v>53.6426659035024</v>
      </c>
      <c r="I190" s="22" t="n">
        <f aca="false">IF(G190&gt;0,ROUND(1+$I$3*$I$4/H190,4),"")</f>
        <v>1.0956</v>
      </c>
      <c r="J190" s="33" t="n">
        <f aca="false">IF(D190="район",MIN(I190,2),IF(D190="город респ. значения",1,IF(D190="областной центр",1,1.5)))</f>
        <v>1.0956</v>
      </c>
      <c r="K190" s="34" t="n">
        <v>1.0433</v>
      </c>
      <c r="L190" s="35" t="n">
        <f aca="false">J190-K190</f>
        <v>0.0523</v>
      </c>
      <c r="M190" s="36" t="n">
        <f aca="false">IF(D190="город респ. значения","",H190)</f>
        <v>53.6426659035024</v>
      </c>
      <c r="N190" s="37" t="n">
        <f aca="false">IF(D190="город респ. значения","",G190)</f>
        <v>142454</v>
      </c>
    </row>
    <row r="191" customFormat="false" ht="15" hidden="false" customHeight="false" outlineLevel="0" collapsed="false">
      <c r="A191" s="20" t="s">
        <v>233</v>
      </c>
      <c r="B191" s="20" t="s">
        <v>20</v>
      </c>
      <c r="C191" s="20" t="s">
        <v>457</v>
      </c>
      <c r="D191" s="31" t="s">
        <v>280</v>
      </c>
      <c r="E191" s="32" t="n">
        <f aca="false">SUMIFS('Площадь МСХ'!$D:$D,'Площадь МСХ'!$E:$E,A191)</f>
        <v>1675.743</v>
      </c>
      <c r="F191" s="32" t="n">
        <f aca="false">E191*10</f>
        <v>16757.43</v>
      </c>
      <c r="G191" s="21" t="n">
        <f aca="false">SUMIFS('РПН по МО'!$E:$E,'РПН по МО'!$F:$F,A191)</f>
        <v>43264</v>
      </c>
      <c r="H191" s="25" t="n">
        <f aca="false">IF(G191&gt;0,G191/F191,"")</f>
        <v>2.58178014170431</v>
      </c>
      <c r="I191" s="22" t="n">
        <f aca="false">IF(G191&gt;0,ROUND(1+$I$3*$I$4/H191,4),"")</f>
        <v>2.9866</v>
      </c>
      <c r="J191" s="33" t="n">
        <f aca="false">IF(D191="район",MIN(I191,2),IF(D191="город респ. значения",1,IF(D191="областной центр",1,1.5)))</f>
        <v>2</v>
      </c>
      <c r="K191" s="34" t="n">
        <v>1.6677</v>
      </c>
      <c r="L191" s="35" t="n">
        <f aca="false">J191-K191</f>
        <v>0.3323</v>
      </c>
      <c r="M191" s="36" t="n">
        <f aca="false">IF(D191="город респ. значения","",H191)</f>
        <v>2.58178014170431</v>
      </c>
      <c r="N191" s="37" t="n">
        <f aca="false">IF(D191="город респ. значения","",G191)</f>
        <v>43264</v>
      </c>
    </row>
    <row r="192" customFormat="false" ht="15" hidden="false" customHeight="false" outlineLevel="0" collapsed="false">
      <c r="A192" s="20" t="s">
        <v>234</v>
      </c>
      <c r="B192" s="20" t="s">
        <v>20</v>
      </c>
      <c r="C192" s="20" t="s">
        <v>458</v>
      </c>
      <c r="D192" s="31" t="s">
        <v>280</v>
      </c>
      <c r="E192" s="32" t="n">
        <f aca="false">SUMIFS('Площадь МСХ'!$D:$D,'Площадь МСХ'!$E:$E,A192)</f>
        <v>105.97</v>
      </c>
      <c r="F192" s="32" t="n">
        <f aca="false">E192*10</f>
        <v>1059.7</v>
      </c>
      <c r="G192" s="21" t="n">
        <f aca="false">SUMIFS('РПН по МО'!$E:$E,'РПН по МО'!$F:$F,A192)</f>
        <v>257849</v>
      </c>
      <c r="H192" s="25" t="n">
        <f aca="false">IF(G192&gt;0,G192/F192,"")</f>
        <v>243.322638482589</v>
      </c>
      <c r="I192" s="22" t="n">
        <f aca="false">IF(G192&gt;0,ROUND(1+$I$3*$I$4/H192,4),"")</f>
        <v>1.0211</v>
      </c>
      <c r="J192" s="33" t="n">
        <f aca="false">IF(D192="район",MIN(I192,2),IF(D192="город респ. значения",1,IF(D192="областной центр",1,1.5)))</f>
        <v>1.0211</v>
      </c>
      <c r="K192" s="34" t="n">
        <v>1.0097</v>
      </c>
      <c r="L192" s="35" t="n">
        <f aca="false">J192-K192</f>
        <v>0.0113999999999999</v>
      </c>
      <c r="M192" s="36" t="n">
        <f aca="false">IF(D192="город респ. значения","",H192)</f>
        <v>243.322638482589</v>
      </c>
      <c r="N192" s="37" t="n">
        <f aca="false">IF(D192="город респ. значения","",G192)</f>
        <v>257849</v>
      </c>
    </row>
    <row r="193" customFormat="false" ht="15" hidden="false" customHeight="false" outlineLevel="0" collapsed="false">
      <c r="A193" s="20" t="s">
        <v>235</v>
      </c>
      <c r="B193" s="20" t="s">
        <v>20</v>
      </c>
      <c r="C193" s="20" t="s">
        <v>459</v>
      </c>
      <c r="D193" s="31" t="s">
        <v>280</v>
      </c>
      <c r="E193" s="32" t="n">
        <f aca="false">SUMIFS('Площадь МСХ'!$D:$D,'Площадь МСХ'!$E:$E,A193)</f>
        <v>417.243</v>
      </c>
      <c r="F193" s="32" t="n">
        <f aca="false">E193*10</f>
        <v>4172.43</v>
      </c>
      <c r="G193" s="21" t="n">
        <f aca="false">SUMIFS('РПН по МО'!$E:$E,'РПН по МО'!$F:$F,A193)</f>
        <v>245309</v>
      </c>
      <c r="H193" s="25" t="n">
        <f aca="false">IF(G193&gt;0,G193/F193,"")</f>
        <v>58.7928377468286</v>
      </c>
      <c r="I193" s="22" t="n">
        <f aca="false">IF(G193&gt;0,ROUND(1+$I$3*$I$4/H193,4),"")</f>
        <v>1.0872</v>
      </c>
      <c r="J193" s="33" t="n">
        <f aca="false">IF(D193="район",MIN(I193,2),IF(D193="город респ. значения",1,IF(D193="областной центр",1,1.5)))</f>
        <v>1.0872</v>
      </c>
      <c r="K193" s="34" t="n">
        <v>1.0393</v>
      </c>
      <c r="L193" s="35" t="n">
        <f aca="false">J193-K193</f>
        <v>0.0479000000000001</v>
      </c>
      <c r="M193" s="36" t="n">
        <f aca="false">IF(D193="город респ. значения","",H193)</f>
        <v>58.7928377468286</v>
      </c>
      <c r="N193" s="37" t="n">
        <f aca="false">IF(D193="город респ. значения","",G193)</f>
        <v>245309</v>
      </c>
    </row>
    <row r="194" customFormat="false" ht="15" hidden="false" customHeight="false" outlineLevel="0" collapsed="false">
      <c r="A194" s="20" t="s">
        <v>236</v>
      </c>
      <c r="B194" s="20" t="s">
        <v>20</v>
      </c>
      <c r="C194" s="20" t="s">
        <v>460</v>
      </c>
      <c r="D194" s="31" t="s">
        <v>280</v>
      </c>
      <c r="E194" s="32" t="n">
        <f aca="false">SUMIFS('Площадь МСХ'!$D:$D,'Площадь МСХ'!$E:$E,A194)</f>
        <v>646.07754</v>
      </c>
      <c r="F194" s="32" t="n">
        <f aca="false">E194*10</f>
        <v>6460.7754</v>
      </c>
      <c r="G194" s="21" t="n">
        <f aca="false">SUMIFS('РПН по МО'!$E:$E,'РПН по МО'!$F:$F,A194)</f>
        <v>62656</v>
      </c>
      <c r="H194" s="25" t="n">
        <f aca="false">IF(G194&gt;0,G194/F194,"")</f>
        <v>9.69790715832654</v>
      </c>
      <c r="I194" s="22" t="n">
        <f aca="false">IF(G194&gt;0,ROUND(1+$I$3*$I$4/H194,4),"")</f>
        <v>1.5289</v>
      </c>
      <c r="J194" s="33" t="n">
        <f aca="false">IF(D194="район",MIN(I194,2),IF(D194="город респ. значения",1,IF(D194="областной центр",1,1.5)))</f>
        <v>1.5289</v>
      </c>
      <c r="K194" s="34" t="n">
        <v>1.1468</v>
      </c>
      <c r="L194" s="35" t="n">
        <f aca="false">J194-K194</f>
        <v>0.3821</v>
      </c>
      <c r="M194" s="36" t="n">
        <f aca="false">IF(D194="город респ. значения","",H194)</f>
        <v>9.69790715832654</v>
      </c>
      <c r="N194" s="37" t="n">
        <f aca="false">IF(D194="город респ. значения","",G194)</f>
        <v>62656</v>
      </c>
    </row>
    <row r="195" customFormat="false" ht="15" hidden="false" customHeight="false" outlineLevel="0" collapsed="false">
      <c r="A195" s="20" t="s">
        <v>237</v>
      </c>
      <c r="B195" s="20" t="s">
        <v>20</v>
      </c>
      <c r="C195" s="20" t="s">
        <v>461</v>
      </c>
      <c r="D195" s="31" t="s">
        <v>280</v>
      </c>
      <c r="E195" s="32" t="n">
        <f aca="false">SUMIFS('Площадь МСХ'!$D:$D,'Площадь МСХ'!$E:$E,A195)</f>
        <v>4104.94</v>
      </c>
      <c r="F195" s="32" t="n">
        <f aca="false">E195*10</f>
        <v>41049.4</v>
      </c>
      <c r="G195" s="21" t="n">
        <f aca="false">SUMIFS('РПН по МО'!$E:$E,'РПН по МО'!$F:$F,A195)</f>
        <v>55087</v>
      </c>
      <c r="H195" s="25" t="n">
        <f aca="false">IF(G195&gt;0,G195/F195,"")</f>
        <v>1.34196845751704</v>
      </c>
      <c r="I195" s="22" t="n">
        <f aca="false">IF(G195&gt;0,ROUND(1+$I$3*$I$4/H195,4),"")</f>
        <v>4.822</v>
      </c>
      <c r="J195" s="33" t="n">
        <f aca="false">IF(D195="район",MIN(I195,2),IF(D195="город респ. значения",1,IF(D195="областной центр",1,1.5)))</f>
        <v>2</v>
      </c>
      <c r="K195" s="34" t="n">
        <v>2</v>
      </c>
      <c r="L195" s="35" t="n">
        <f aca="false">J195-K195</f>
        <v>0</v>
      </c>
      <c r="M195" s="36" t="n">
        <f aca="false">IF(D195="город респ. значения","",H195)</f>
        <v>1.34196845751704</v>
      </c>
      <c r="N195" s="37" t="n">
        <f aca="false">IF(D195="город респ. значения","",G195)</f>
        <v>55087</v>
      </c>
    </row>
    <row r="196" customFormat="false" ht="15" hidden="false" customHeight="false" outlineLevel="0" collapsed="false">
      <c r="A196" s="20" t="s">
        <v>238</v>
      </c>
      <c r="B196" s="20" t="s">
        <v>20</v>
      </c>
      <c r="C196" s="20" t="s">
        <v>462</v>
      </c>
      <c r="D196" s="31" t="s">
        <v>280</v>
      </c>
      <c r="E196" s="32" t="n">
        <f aca="false">SUMIFS('Площадь МСХ'!$D:$D,'Площадь МСХ'!$E:$E,A196)</f>
        <v>301.397</v>
      </c>
      <c r="F196" s="32" t="n">
        <f aca="false">E196*10</f>
        <v>3013.97</v>
      </c>
      <c r="G196" s="21" t="n">
        <f aca="false">SUMIFS('РПН по МО'!$E:$E,'РПН по МО'!$F:$F,A196)</f>
        <v>114318</v>
      </c>
      <c r="H196" s="25" t="n">
        <f aca="false">IF(G196&gt;0,G196/F196,"")</f>
        <v>37.9293755412297</v>
      </c>
      <c r="I196" s="22" t="n">
        <f aca="false">IF(G196&gt;0,ROUND(1+$I$3*$I$4/H196,4),"")</f>
        <v>1.1352</v>
      </c>
      <c r="J196" s="33" t="n">
        <f aca="false">IF(D196="район",MIN(I196,2),IF(D196="город респ. значения",1,IF(D196="областной центр",1,1.5)))</f>
        <v>1.1352</v>
      </c>
      <c r="K196" s="34" t="n">
        <v>1.0509</v>
      </c>
      <c r="L196" s="35" t="n">
        <f aca="false">J196-K196</f>
        <v>0.0843</v>
      </c>
      <c r="M196" s="36" t="n">
        <f aca="false">IF(D196="город респ. значения","",H196)</f>
        <v>37.9293755412297</v>
      </c>
      <c r="N196" s="37" t="n">
        <f aca="false">IF(D196="город респ. значения","",G196)</f>
        <v>114318</v>
      </c>
    </row>
    <row r="197" customFormat="false" ht="15" hidden="false" customHeight="false" outlineLevel="0" collapsed="false">
      <c r="A197" s="20" t="s">
        <v>239</v>
      </c>
      <c r="B197" s="20" t="s">
        <v>20</v>
      </c>
      <c r="C197" s="20" t="s">
        <v>463</v>
      </c>
      <c r="D197" s="31" t="s">
        <v>280</v>
      </c>
      <c r="E197" s="32" t="n">
        <f aca="false">SUMIFS('Площадь МСХ'!$D:$D,'Площадь МСХ'!$E:$E,A197)</f>
        <v>234.641</v>
      </c>
      <c r="F197" s="32" t="n">
        <f aca="false">E197*10</f>
        <v>2346.41</v>
      </c>
      <c r="G197" s="21" t="n">
        <f aca="false">SUMIFS('РПН по МО'!$E:$E,'РПН по МО'!$F:$F,A197)</f>
        <v>96846</v>
      </c>
      <c r="H197" s="25" t="n">
        <f aca="false">IF(G197&gt;0,G197/F197,"")</f>
        <v>41.2741166292336</v>
      </c>
      <c r="I197" s="22" t="n">
        <f aca="false">IF(G197&gt;0,ROUND(1+$I$3*$I$4/H197,4),"")</f>
        <v>1.1243</v>
      </c>
      <c r="J197" s="33" t="n">
        <f aca="false">IF(D197="район",MIN(I197,2),IF(D197="город респ. значения",1,IF(D197="областной центр",1,1.5)))</f>
        <v>1.1243</v>
      </c>
      <c r="K197" s="34" t="n">
        <v>1.0444</v>
      </c>
      <c r="L197" s="35" t="n">
        <f aca="false">J197-K197</f>
        <v>0.0799000000000001</v>
      </c>
      <c r="M197" s="36" t="n">
        <f aca="false">IF(D197="город респ. значения","",H197)</f>
        <v>41.2741166292336</v>
      </c>
      <c r="N197" s="37" t="n">
        <f aca="false">IF(D197="город респ. значения","",G197)</f>
        <v>96846</v>
      </c>
    </row>
    <row r="198" customFormat="false" ht="15" hidden="false" customHeight="false" outlineLevel="0" collapsed="false">
      <c r="A198" s="20" t="s">
        <v>240</v>
      </c>
      <c r="B198" s="20" t="s">
        <v>20</v>
      </c>
      <c r="C198" s="20" t="s">
        <v>464</v>
      </c>
      <c r="D198" s="31" t="s">
        <v>280</v>
      </c>
      <c r="E198" s="32" t="n">
        <f aca="false">SUMIFS('Площадь МСХ'!$D:$D,'Площадь МСХ'!$E:$E,A198)</f>
        <v>1287.224533</v>
      </c>
      <c r="F198" s="32" t="n">
        <f aca="false">E198*10</f>
        <v>12872.24533</v>
      </c>
      <c r="G198" s="21" t="n">
        <f aca="false">SUMIFS('РПН по МО'!$E:$E,'РПН по МО'!$F:$F,A198)</f>
        <v>69274</v>
      </c>
      <c r="H198" s="25" t="n">
        <f aca="false">IF(G198&gt;0,G198/F198,"")</f>
        <v>5.38165628637844</v>
      </c>
      <c r="I198" s="22" t="n">
        <f aca="false">IF(G198&gt;0,ROUND(1+$I$3*$I$4/H198,4),"")</f>
        <v>1.9531</v>
      </c>
      <c r="J198" s="33" t="n">
        <f aca="false">IF(D198="район",MIN(I198,2),IF(D198="город респ. значения",1,IF(D198="областной центр",1,1.5)))</f>
        <v>1.9531</v>
      </c>
      <c r="K198" s="34" t="n">
        <v>1.3141</v>
      </c>
      <c r="L198" s="35" t="n">
        <f aca="false">J198-K198</f>
        <v>0.639</v>
      </c>
      <c r="M198" s="36" t="n">
        <f aca="false">IF(D198="город респ. значения","",H198)</f>
        <v>5.38165628637844</v>
      </c>
      <c r="N198" s="37" t="n">
        <f aca="false">IF(D198="город респ. значения","",G198)</f>
        <v>69274</v>
      </c>
    </row>
    <row r="199" customFormat="false" ht="15" hidden="false" customHeight="false" outlineLevel="0" collapsed="false">
      <c r="A199" s="20" t="s">
        <v>241</v>
      </c>
      <c r="B199" s="20" t="s">
        <v>23</v>
      </c>
      <c r="C199" s="20" t="s">
        <v>465</v>
      </c>
      <c r="D199" s="31" t="s">
        <v>276</v>
      </c>
      <c r="E199" s="32" t="n">
        <f aca="false">SUMIFS('Площадь МСХ'!$D:$D,'Площадь МСХ'!$E:$E,A199)</f>
        <v>176</v>
      </c>
      <c r="F199" s="32" t="n">
        <f aca="false">E199*10</f>
        <v>1760</v>
      </c>
      <c r="G199" s="21" t="n">
        <f aca="false">SUMIFS('РПН по МО'!$E:$E,'РПН по МО'!$F:$F,A199)</f>
        <v>113006</v>
      </c>
      <c r="H199" s="25" t="n">
        <f aca="false">IF(G199&gt;0,G199/F199,"")</f>
        <v>64.2079545454545</v>
      </c>
      <c r="I199" s="22" t="n">
        <f aca="false">IF(G199&gt;0,ROUND(1+$I$3*$I$4/H199,4),"")</f>
        <v>1.0799</v>
      </c>
      <c r="J199" s="33" t="n">
        <f aca="false">IF(D199="район",MIN(I199,2),IF(D199="город респ. значения",1,IF(D199="областной центр",1,1.5)))</f>
        <v>1</v>
      </c>
      <c r="K199" s="34" t="n">
        <v>1</v>
      </c>
      <c r="L199" s="35" t="n">
        <f aca="false">J199-K199</f>
        <v>0</v>
      </c>
      <c r="M199" s="36" t="n">
        <f aca="false">IF(D199="город респ. значения","",H199)</f>
        <v>64.2079545454545</v>
      </c>
      <c r="N199" s="37" t="n">
        <f aca="false">IF(D199="город респ. значения","",G199)</f>
        <v>113006</v>
      </c>
    </row>
    <row r="200" customFormat="false" ht="15" hidden="false" customHeight="false" outlineLevel="0" collapsed="false">
      <c r="A200" s="20" t="s">
        <v>242</v>
      </c>
      <c r="B200" s="20" t="s">
        <v>23</v>
      </c>
      <c r="C200" s="20" t="s">
        <v>466</v>
      </c>
      <c r="D200" s="31" t="s">
        <v>278</v>
      </c>
      <c r="E200" s="32" t="n">
        <f aca="false">SUMIFS('Площадь МСХ'!$D:$D,'Площадь МСХ'!$E:$E,A200)</f>
        <v>79.2429443</v>
      </c>
      <c r="F200" s="32" t="n">
        <f aca="false">E200*10</f>
        <v>792.429443</v>
      </c>
      <c r="G200" s="21" t="n">
        <f aca="false">SUMIFS('РПН по МО'!$E:$E,'РПН по МО'!$F:$F,A200)</f>
        <v>16329</v>
      </c>
      <c r="H200" s="25" t="n">
        <f aca="false">IF(G200&gt;0,G200/F200,"")</f>
        <v>20.6062509971629</v>
      </c>
      <c r="I200" s="22" t="n">
        <f aca="false">IF(G200&gt;0,ROUND(1+$I$3*$I$4/H200,4),"")</f>
        <v>1.2489</v>
      </c>
      <c r="J200" s="33" t="n">
        <f aca="false">IF(D200="район",MIN(I200,2),IF(D200="город респ. значения",1,IF(D200="областной центр",1,1.5)))</f>
        <v>1.5</v>
      </c>
      <c r="K200" s="34" t="n">
        <v>1.5</v>
      </c>
      <c r="L200" s="35" t="n">
        <f aca="false">J200-K200</f>
        <v>0</v>
      </c>
      <c r="M200" s="36" t="n">
        <f aca="false">IF(D200="город респ. значения","",H200)</f>
        <v>20.6062509971629</v>
      </c>
      <c r="N200" s="37" t="n">
        <f aca="false">IF(D200="город респ. значения","",G200)</f>
        <v>16329</v>
      </c>
    </row>
    <row r="201" customFormat="false" ht="15" hidden="false" customHeight="false" outlineLevel="0" collapsed="false">
      <c r="A201" s="20" t="s">
        <v>243</v>
      </c>
      <c r="B201" s="20" t="s">
        <v>23</v>
      </c>
      <c r="C201" s="20" t="s">
        <v>467</v>
      </c>
      <c r="D201" s="31" t="s">
        <v>278</v>
      </c>
      <c r="E201" s="32" t="n">
        <f aca="false">SUMIFS('Площадь МСХ'!$D:$D,'Площадь МСХ'!$E:$E,A201)</f>
        <v>110.435</v>
      </c>
      <c r="F201" s="32" t="n">
        <f aca="false">E201*10</f>
        <v>1104.35</v>
      </c>
      <c r="G201" s="21" t="n">
        <f aca="false">SUMIFS('РПН по МО'!$E:$E,'РПН по МО'!$F:$F,A201)</f>
        <v>48065</v>
      </c>
      <c r="H201" s="25" t="n">
        <f aca="false">IF(G201&gt;0,G201/F201,"")</f>
        <v>43.5233395209852</v>
      </c>
      <c r="I201" s="22" t="n">
        <f aca="false">IF(G201&gt;0,ROUND(1+$I$3*$I$4/H201,4),"")</f>
        <v>1.1178</v>
      </c>
      <c r="J201" s="33" t="n">
        <f aca="false">IF(D201="район",MIN(I201,2),IF(D201="город респ. значения",1,IF(D201="областной центр",1,1.5)))</f>
        <v>1.5</v>
      </c>
      <c r="K201" s="34" t="n">
        <v>1.5</v>
      </c>
      <c r="L201" s="35" t="n">
        <f aca="false">J201-K201</f>
        <v>0</v>
      </c>
      <c r="M201" s="36" t="n">
        <f aca="false">IF(D201="город респ. значения","",H201)</f>
        <v>43.5233395209852</v>
      </c>
      <c r="N201" s="37" t="n">
        <f aca="false">IF(D201="город респ. значения","",G201)</f>
        <v>48065</v>
      </c>
    </row>
    <row r="202" customFormat="false" ht="15" hidden="false" customHeight="false" outlineLevel="0" collapsed="false">
      <c r="A202" s="20" t="s">
        <v>244</v>
      </c>
      <c r="B202" s="20" t="s">
        <v>23</v>
      </c>
      <c r="C202" s="20" t="s">
        <v>468</v>
      </c>
      <c r="D202" s="31" t="s">
        <v>280</v>
      </c>
      <c r="E202" s="32" t="n">
        <f aca="false">SUMIFS('Площадь МСХ'!$D:$D,'Площадь МСХ'!$E:$E,A202)</f>
        <v>6234.781</v>
      </c>
      <c r="F202" s="32" t="n">
        <f aca="false">E202*10</f>
        <v>62347.81</v>
      </c>
      <c r="G202" s="21" t="n">
        <f aca="false">SUMIFS('РПН по МО'!$E:$E,'РПН по МО'!$F:$F,A202)</f>
        <v>27450</v>
      </c>
      <c r="H202" s="25" t="n">
        <f aca="false">IF(G202&gt;0,G202/F202,"")</f>
        <v>0.44027208012599</v>
      </c>
      <c r="I202" s="22" t="n">
        <f aca="false">IF(G202&gt;0,ROUND(1+$I$3*$I$4/H202,4),"")</f>
        <v>12.6497</v>
      </c>
      <c r="J202" s="33" t="n">
        <f aca="false">IF(D202="район",MIN(I202,2),IF(D202="город респ. значения",1,IF(D202="областной центр",1,1.5)))</f>
        <v>2</v>
      </c>
      <c r="K202" s="34" t="n">
        <v>2</v>
      </c>
      <c r="L202" s="35" t="n">
        <f aca="false">J202-K202</f>
        <v>0</v>
      </c>
      <c r="M202" s="36" t="n">
        <f aca="false">IF(D202="город респ. значения","",H202)</f>
        <v>0.44027208012599</v>
      </c>
      <c r="N202" s="37" t="n">
        <f aca="false">IF(D202="город респ. значения","",G202)</f>
        <v>27450</v>
      </c>
    </row>
    <row r="203" customFormat="false" ht="15" hidden="false" customHeight="false" outlineLevel="0" collapsed="false">
      <c r="A203" s="20" t="s">
        <v>245</v>
      </c>
      <c r="B203" s="20" t="s">
        <v>23</v>
      </c>
      <c r="C203" s="20" t="s">
        <v>469</v>
      </c>
      <c r="D203" s="31" t="s">
        <v>280</v>
      </c>
      <c r="E203" s="32" t="n">
        <f aca="false">SUMIFS('Площадь МСХ'!$D:$D,'Площадь МСХ'!$E:$E,A203)</f>
        <v>12293.105</v>
      </c>
      <c r="F203" s="32" t="n">
        <f aca="false">E203*10</f>
        <v>122931.05</v>
      </c>
      <c r="G203" s="21" t="n">
        <f aca="false">SUMIFS('РПН по МО'!$E:$E,'РПН по МО'!$F:$F,A203)</f>
        <v>8244</v>
      </c>
      <c r="H203" s="25" t="n">
        <f aca="false">IF(G203&gt;0,G203/F203,"")</f>
        <v>0.0670619831198058</v>
      </c>
      <c r="I203" s="22" t="n">
        <f aca="false">IF(G203&gt;0,ROUND(1+$I$3*$I$4/H203,4),"")</f>
        <v>77.482</v>
      </c>
      <c r="J203" s="33" t="n">
        <f aca="false">IF(D203="район",MIN(I203,2),IF(D203="город респ. значения",1,IF(D203="областной центр",1,1.5)))</f>
        <v>2</v>
      </c>
      <c r="K203" s="34" t="n">
        <v>2</v>
      </c>
      <c r="L203" s="35" t="n">
        <f aca="false">J203-K203</f>
        <v>0</v>
      </c>
      <c r="M203" s="36" t="n">
        <f aca="false">IF(D203="город респ. значения","",H203)</f>
        <v>0.0670619831198058</v>
      </c>
      <c r="N203" s="37" t="n">
        <f aca="false">IF(D203="город респ. значения","",G203)</f>
        <v>8244</v>
      </c>
    </row>
    <row r="204" customFormat="false" ht="15" hidden="false" customHeight="false" outlineLevel="0" collapsed="false">
      <c r="A204" s="20" t="s">
        <v>246</v>
      </c>
      <c r="B204" s="20" t="s">
        <v>11</v>
      </c>
      <c r="C204" s="20" t="s">
        <v>470</v>
      </c>
      <c r="D204" s="31" t="s">
        <v>276</v>
      </c>
      <c r="E204" s="32" t="n">
        <f aca="false">SUMIFS('Площадь МСХ'!$D:$D,'Площадь МСХ'!$E:$E,A204)</f>
        <v>54.649</v>
      </c>
      <c r="F204" s="32" t="n">
        <f aca="false">E204*10</f>
        <v>546.49</v>
      </c>
      <c r="G204" s="21" t="n">
        <f aca="false">SUMIFS('РПН по МО'!$E:$E,'РПН по МО'!$F:$F,A204)</f>
        <v>394766</v>
      </c>
      <c r="H204" s="25" t="n">
        <f aca="false">IF(G204&gt;0,G204/F204,"")</f>
        <v>722.366374499076</v>
      </c>
      <c r="I204" s="22" t="n">
        <f aca="false">IF(G204&gt;0,ROUND(1+$I$3*$I$4/H204,4),"")</f>
        <v>1.0071</v>
      </c>
      <c r="J204" s="33" t="n">
        <f aca="false">IF(D204="район",MIN(I204,2),IF(D204="город респ. значения",1,IF(D204="областной центр",1,1.5)))</f>
        <v>1</v>
      </c>
      <c r="K204" s="34" t="n">
        <v>1</v>
      </c>
      <c r="L204" s="35" t="n">
        <f aca="false">J204-K204</f>
        <v>0</v>
      </c>
      <c r="M204" s="36" t="n">
        <f aca="false">IF(D204="город респ. значения","",H204)</f>
        <v>722.366374499076</v>
      </c>
      <c r="N204" s="37" t="n">
        <f aca="false">IF(D204="город респ. значения","",G204)</f>
        <v>394766</v>
      </c>
    </row>
    <row r="205" customFormat="false" ht="15" hidden="false" customHeight="false" outlineLevel="0" collapsed="false">
      <c r="A205" s="20" t="s">
        <v>247</v>
      </c>
      <c r="B205" s="20" t="s">
        <v>11</v>
      </c>
      <c r="C205" s="20" t="s">
        <v>471</v>
      </c>
      <c r="D205" s="31" t="s">
        <v>278</v>
      </c>
      <c r="E205" s="32" t="n">
        <f aca="false">SUMIFS('Площадь МСХ'!$D:$D,'Площадь МСХ'!$E:$E,A205)</f>
        <v>338.722</v>
      </c>
      <c r="F205" s="32" t="n">
        <f aca="false">E205*10</f>
        <v>3387.22</v>
      </c>
      <c r="G205" s="21" t="n">
        <f aca="false">SUMIFS('РПН по МО'!$E:$E,'РПН по МО'!$F:$F,A205)</f>
        <v>51913</v>
      </c>
      <c r="H205" s="25" t="n">
        <f aca="false">IF(G205&gt;0,G205/F205,"")</f>
        <v>15.3261376586109</v>
      </c>
      <c r="I205" s="22" t="n">
        <f aca="false">IF(G205&gt;0,ROUND(1+$I$3*$I$4/H205,4),"")</f>
        <v>1.3347</v>
      </c>
      <c r="J205" s="33" t="n">
        <f aca="false">IF(D205="район",MIN(I205,2),IF(D205="город респ. значения",1,IF(D205="областной центр",1,1.5)))</f>
        <v>1.5</v>
      </c>
      <c r="K205" s="34" t="n">
        <v>1.5</v>
      </c>
      <c r="L205" s="35" t="n">
        <f aca="false">J205-K205</f>
        <v>0</v>
      </c>
      <c r="M205" s="36" t="n">
        <f aca="false">IF(D205="город респ. значения","",H205)</f>
        <v>15.3261376586109</v>
      </c>
      <c r="N205" s="37" t="n">
        <f aca="false">IF(D205="город респ. значения","",G205)</f>
        <v>51913</v>
      </c>
    </row>
    <row r="206" customFormat="false" ht="15" hidden="false" customHeight="false" outlineLevel="0" collapsed="false">
      <c r="A206" s="20" t="s">
        <v>248</v>
      </c>
      <c r="B206" s="20" t="s">
        <v>11</v>
      </c>
      <c r="C206" s="20" t="s">
        <v>472</v>
      </c>
      <c r="D206" s="31" t="s">
        <v>280</v>
      </c>
      <c r="E206" s="32" t="n">
        <f aca="false">SUMIFS('Площадь МСХ'!$D:$D,'Площадь МСХ'!$E:$E,A206)</f>
        <v>729.929</v>
      </c>
      <c r="F206" s="32" t="n">
        <f aca="false">E206*10</f>
        <v>7299.29</v>
      </c>
      <c r="G206" s="21" t="n">
        <f aca="false">SUMIFS('РПН по МО'!$E:$E,'РПН по МО'!$F:$F,A206)</f>
        <v>48107</v>
      </c>
      <c r="H206" s="25" t="n">
        <f aca="false">IF(G206&gt;0,G206/F206,"")</f>
        <v>6.59064100755005</v>
      </c>
      <c r="I206" s="22" t="n">
        <f aca="false">IF(G206&gt;0,ROUND(1+$I$3*$I$4/H206,4),"")</f>
        <v>1.7782</v>
      </c>
      <c r="J206" s="33" t="n">
        <f aca="false">IF(D206="район",MIN(I206,2),IF(D206="город респ. значения",1,IF(D206="областной центр",1,1.5)))</f>
        <v>1.7782</v>
      </c>
      <c r="K206" s="34" t="n">
        <v>1.2641</v>
      </c>
      <c r="L206" s="35" t="n">
        <f aca="false">J206-K206</f>
        <v>0.5141</v>
      </c>
      <c r="M206" s="36" t="n">
        <f aca="false">IF(D206="город респ. значения","",H206)</f>
        <v>6.59064100755005</v>
      </c>
      <c r="N206" s="37" t="n">
        <f aca="false">IF(D206="город респ. значения","",G206)</f>
        <v>48107</v>
      </c>
    </row>
    <row r="207" customFormat="false" ht="15" hidden="false" customHeight="false" outlineLevel="0" collapsed="false">
      <c r="A207" s="20" t="s">
        <v>249</v>
      </c>
      <c r="B207" s="20" t="s">
        <v>11</v>
      </c>
      <c r="C207" s="20" t="s">
        <v>473</v>
      </c>
      <c r="D207" s="31" t="s">
        <v>280</v>
      </c>
      <c r="E207" s="32" t="n">
        <f aca="false">SUMIFS('Площадь МСХ'!$D:$D,'Площадь МСХ'!$E:$E,A207)</f>
        <v>1044.424</v>
      </c>
      <c r="F207" s="32" t="n">
        <f aca="false">E207*10</f>
        <v>10444.24</v>
      </c>
      <c r="G207" s="21" t="n">
        <f aca="false">SUMIFS('РПН по МО'!$E:$E,'РПН по МО'!$F:$F,A207)</f>
        <v>32639</v>
      </c>
      <c r="H207" s="25" t="n">
        <f aca="false">IF(G207&gt;0,G207/F207,"")</f>
        <v>3.12507180991628</v>
      </c>
      <c r="I207" s="22" t="n">
        <f aca="false">IF(G207&gt;0,ROUND(1+$I$3*$I$4/H207,4),"")</f>
        <v>2.6413</v>
      </c>
      <c r="J207" s="33" t="n">
        <f aca="false">IF(D207="район",MIN(I207,2),IF(D207="город респ. значения",1,IF(D207="областной центр",1,1.5)))</f>
        <v>2</v>
      </c>
      <c r="K207" s="34" t="n">
        <v>1.5962</v>
      </c>
      <c r="L207" s="35" t="n">
        <f aca="false">J207-K207</f>
        <v>0.4038</v>
      </c>
      <c r="M207" s="36" t="n">
        <f aca="false">IF(D207="город респ. значения","",H207)</f>
        <v>3.12507180991628</v>
      </c>
      <c r="N207" s="37" t="n">
        <f aca="false">IF(D207="город респ. значения","",G207)</f>
        <v>32639</v>
      </c>
    </row>
    <row r="208" customFormat="false" ht="15" hidden="false" customHeight="false" outlineLevel="0" collapsed="false">
      <c r="A208" s="20" t="s">
        <v>250</v>
      </c>
      <c r="B208" s="20" t="s">
        <v>11</v>
      </c>
      <c r="C208" s="20" t="s">
        <v>474</v>
      </c>
      <c r="D208" s="31" t="s">
        <v>280</v>
      </c>
      <c r="E208" s="32" t="n">
        <f aca="false">SUMIFS('Площадь МСХ'!$D:$D,'Площадь МСХ'!$E:$E,A208)</f>
        <v>1056.096</v>
      </c>
      <c r="F208" s="32" t="n">
        <f aca="false">E208*10</f>
        <v>10560.96</v>
      </c>
      <c r="G208" s="21" t="n">
        <f aca="false">SUMIFS('РПН по МО'!$E:$E,'РПН по МО'!$F:$F,A208)</f>
        <v>57519</v>
      </c>
      <c r="H208" s="25" t="n">
        <f aca="false">IF(G208&gt;0,G208/F208,"")</f>
        <v>5.44637987455686</v>
      </c>
      <c r="I208" s="22" t="n">
        <f aca="false">IF(G208&gt;0,ROUND(1+$I$3*$I$4/H208,4),"")</f>
        <v>1.9417</v>
      </c>
      <c r="J208" s="33" t="n">
        <f aca="false">IF(D208="район",MIN(I208,2),IF(D208="город респ. значения",1,IF(D208="областной центр",1,1.5)))</f>
        <v>1.9417</v>
      </c>
      <c r="K208" s="34" t="n">
        <v>1.3549</v>
      </c>
      <c r="L208" s="35" t="n">
        <f aca="false">J208-K208</f>
        <v>0.5868</v>
      </c>
      <c r="M208" s="36" t="n">
        <f aca="false">IF(D208="город респ. значения","",H208)</f>
        <v>5.44637987455686</v>
      </c>
      <c r="N208" s="37" t="n">
        <f aca="false">IF(D208="город респ. значения","",G208)</f>
        <v>57519</v>
      </c>
    </row>
    <row r="209" customFormat="false" ht="15" hidden="false" customHeight="false" outlineLevel="0" collapsed="false">
      <c r="A209" s="20" t="s">
        <v>251</v>
      </c>
      <c r="B209" s="20" t="s">
        <v>11</v>
      </c>
      <c r="C209" s="20" t="s">
        <v>475</v>
      </c>
      <c r="D209" s="31" t="s">
        <v>280</v>
      </c>
      <c r="E209" s="32" t="n">
        <f aca="false">SUMIFS('Площадь МСХ'!$D:$D,'Площадь МСХ'!$E:$E,A209)</f>
        <v>1216.969</v>
      </c>
      <c r="F209" s="32" t="n">
        <f aca="false">E209*10</f>
        <v>12169.69</v>
      </c>
      <c r="G209" s="26" t="n">
        <f aca="false">SUMIFS('РПН по МО'!$E:$E,'РПН по МО'!$F:$F,A209)-G211</f>
        <v>13370</v>
      </c>
      <c r="H209" s="25" t="n">
        <f aca="false">IF(G209&gt;0,G209/F209,"")</f>
        <v>1.09863110728375</v>
      </c>
      <c r="I209" s="22" t="n">
        <f aca="false">IF(G209&gt;0,ROUND(1+$I$3*$I$4/H209,4),"")</f>
        <v>5.6686</v>
      </c>
      <c r="J209" s="33" t="n">
        <f aca="false">IF(D209="район",MIN(I209,2),IF(D209="город респ. значения",1,IF(D209="областной центр",1,1.5)))</f>
        <v>2</v>
      </c>
      <c r="K209" s="34" t="n">
        <v>2</v>
      </c>
      <c r="L209" s="35" t="n">
        <f aca="false">J209-K209</f>
        <v>0</v>
      </c>
      <c r="M209" s="36" t="n">
        <f aca="false">IF(D209="город респ. значения","",H209)</f>
        <v>1.09863110728375</v>
      </c>
      <c r="N209" s="37" t="n">
        <f aca="false">IF(D209="город респ. значения","",G209)</f>
        <v>13370</v>
      </c>
    </row>
    <row r="210" customFormat="false" ht="15" hidden="false" customHeight="false" outlineLevel="0" collapsed="false">
      <c r="A210" s="20" t="s">
        <v>252</v>
      </c>
      <c r="B210" s="20" t="s">
        <v>11</v>
      </c>
      <c r="C210" s="20" t="s">
        <v>476</v>
      </c>
      <c r="D210" s="31" t="s">
        <v>280</v>
      </c>
      <c r="E210" s="32" t="n">
        <f aca="false">SUMIFS('Площадь МСХ'!$D:$D,'Площадь МСХ'!$E:$E,A210)</f>
        <v>940.777</v>
      </c>
      <c r="F210" s="32" t="n">
        <f aca="false">E210*10</f>
        <v>9407.77</v>
      </c>
      <c r="G210" s="21" t="n">
        <f aca="false">SUMIFS('РПН по МО'!$E:$E,'РПН по МО'!$F:$F,A210)</f>
        <v>8639</v>
      </c>
      <c r="H210" s="25" t="n">
        <f aca="false">IF(G210&gt;0,G210/F210,"")</f>
        <v>0.91828350395471</v>
      </c>
      <c r="I210" s="22" t="n">
        <f aca="false">IF(G210&gt;0,ROUND(1+$I$3*$I$4/H210,4),"")</f>
        <v>6.5855</v>
      </c>
      <c r="J210" s="33" t="n">
        <f aca="false">IF(D210="район",MIN(I210,2),IF(D210="город респ. значения",1,IF(D210="областной центр",1,1.5)))</f>
        <v>2</v>
      </c>
      <c r="K210" s="34" t="n">
        <v>2</v>
      </c>
      <c r="L210" s="35" t="n">
        <f aca="false">J210-K210</f>
        <v>0</v>
      </c>
      <c r="M210" s="36" t="n">
        <f aca="false">IF(D210="город респ. значения","",H210)</f>
        <v>0.91828350395471</v>
      </c>
      <c r="N210" s="37" t="n">
        <f aca="false">IF(D210="город респ. значения","",G210)</f>
        <v>8639</v>
      </c>
    </row>
    <row r="211" customFormat="false" ht="15" hidden="false" customHeight="false" outlineLevel="0" collapsed="false">
      <c r="A211" s="20" t="s">
        <v>253</v>
      </c>
      <c r="B211" s="20" t="s">
        <v>11</v>
      </c>
      <c r="C211" s="20" t="s">
        <v>477</v>
      </c>
      <c r="D211" s="31" t="s">
        <v>280</v>
      </c>
      <c r="E211" s="32" t="n">
        <f aca="false">SUMIFS('Площадь МСХ'!$D:$D,'Площадь МСХ'!$E:$E,A211)</f>
        <v>1102.917</v>
      </c>
      <c r="F211" s="32" t="n">
        <f aca="false">E211*10</f>
        <v>11029.17</v>
      </c>
      <c r="G211" s="26" t="n">
        <f aca="false">'Курчум – Марқакөл'!C22</f>
        <v>6285</v>
      </c>
      <c r="H211" s="25" t="n">
        <f aca="false">IF(G211&gt;0,G211/F211,"")</f>
        <v>0.569852491166606</v>
      </c>
      <c r="I211" s="22" t="n">
        <f aca="false">IF(G211&gt;0,ROUND(1+$I$3*$I$4/H211,4),"")</f>
        <v>10.0006</v>
      </c>
      <c r="J211" s="33" t="n">
        <f aca="false">IF(D211="район",MIN(I211,2),IF(D211="город респ. значения",1,IF(D211="областной центр",1,1.5)))</f>
        <v>2</v>
      </c>
      <c r="K211" s="38" t="n">
        <v>2</v>
      </c>
      <c r="L211" s="35" t="n">
        <f aca="false">J211-K211</f>
        <v>0</v>
      </c>
      <c r="M211" s="36" t="n">
        <f aca="false">IF(D211="город респ. значения","",H211)</f>
        <v>0.569852491166606</v>
      </c>
      <c r="N211" s="37" t="n">
        <f aca="false">IF(D211="город респ. значения","",G211)</f>
        <v>6285</v>
      </c>
    </row>
    <row r="212" customFormat="false" ht="15" hidden="false" customHeight="false" outlineLevel="0" collapsed="false">
      <c r="A212" s="20" t="s">
        <v>254</v>
      </c>
      <c r="B212" s="20" t="s">
        <v>11</v>
      </c>
      <c r="C212" s="20" t="s">
        <v>478</v>
      </c>
      <c r="D212" s="31" t="s">
        <v>280</v>
      </c>
      <c r="E212" s="32" t="n">
        <f aca="false">SUMIFS('Площадь МСХ'!$D:$D,'Площадь МСХ'!$E:$E,A212)</f>
        <v>547.6</v>
      </c>
      <c r="F212" s="32" t="n">
        <f aca="false">E212*10</f>
        <v>5476</v>
      </c>
      <c r="G212" s="21" t="n">
        <f aca="false">SUMIFS('РПН по МО'!$E:$E,'РПН по МО'!$F:$F,A212)</f>
        <v>10645</v>
      </c>
      <c r="H212" s="25" t="n">
        <f aca="false">IF(G212&gt;0,G212/F212,"")</f>
        <v>1.94393718042367</v>
      </c>
      <c r="I212" s="22" t="n">
        <f aca="false">IF(G212&gt;0,ROUND(1+$I$3*$I$4/H212,4),"")</f>
        <v>3.6385</v>
      </c>
      <c r="J212" s="33" t="n">
        <f aca="false">IF(D212="район",MIN(I212,2),IF(D212="город респ. значения",1,IF(D212="областной центр",1,1.5)))</f>
        <v>2</v>
      </c>
      <c r="K212" s="34" t="n">
        <v>1.9345</v>
      </c>
      <c r="L212" s="35" t="n">
        <f aca="false">J212-K212</f>
        <v>0.0654999999999999</v>
      </c>
      <c r="M212" s="36" t="n">
        <f aca="false">IF(D212="город респ. значения","",H212)</f>
        <v>1.94393718042367</v>
      </c>
      <c r="N212" s="37" t="n">
        <f aca="false">IF(D212="город респ. значения","",G212)</f>
        <v>10645</v>
      </c>
    </row>
    <row r="213" customFormat="false" ht="15" hidden="false" customHeight="false" outlineLevel="0" collapsed="false">
      <c r="A213" s="20" t="s">
        <v>255</v>
      </c>
      <c r="B213" s="20" t="s">
        <v>11</v>
      </c>
      <c r="C213" s="20" t="s">
        <v>479</v>
      </c>
      <c r="D213" s="31" t="s">
        <v>280</v>
      </c>
      <c r="E213" s="32" t="n">
        <f aca="false">SUMIFS('Площадь МСХ'!$D:$D,'Площадь МСХ'!$E:$E,A213)</f>
        <v>1017</v>
      </c>
      <c r="F213" s="32" t="n">
        <f aca="false">E213*10</f>
        <v>10170</v>
      </c>
      <c r="G213" s="21" t="n">
        <f aca="false">SUMIFS('РПН по МО'!$E:$E,'РПН по МО'!$F:$F,A213)</f>
        <v>16946</v>
      </c>
      <c r="H213" s="25" t="n">
        <f aca="false">IF(G213&gt;0,G213/F213,"")</f>
        <v>1.66627335299902</v>
      </c>
      <c r="I213" s="22" t="n">
        <f aca="false">IF(G213&gt;0,ROUND(1+$I$3*$I$4/H213,4),"")</f>
        <v>4.0781</v>
      </c>
      <c r="J213" s="33" t="n">
        <f aca="false">IF(D213="район",MIN(I213,2),IF(D213="город респ. значения",1,IF(D213="областной центр",1,1.5)))</f>
        <v>2</v>
      </c>
      <c r="K213" s="34" t="n">
        <v>2</v>
      </c>
      <c r="L213" s="35" t="n">
        <f aca="false">J213-K213</f>
        <v>0</v>
      </c>
      <c r="M213" s="36" t="n">
        <f aca="false">IF(D213="город респ. значения","",H213)</f>
        <v>1.66627335299902</v>
      </c>
      <c r="N213" s="37" t="n">
        <f aca="false">IF(D213="город респ. значения","",G213)</f>
        <v>16946</v>
      </c>
    </row>
    <row r="214" customFormat="false" ht="15" hidden="false" customHeight="false" outlineLevel="0" collapsed="false">
      <c r="A214" s="20" t="s">
        <v>256</v>
      </c>
      <c r="B214" s="20" t="s">
        <v>11</v>
      </c>
      <c r="C214" s="20" t="s">
        <v>480</v>
      </c>
      <c r="D214" s="31" t="s">
        <v>280</v>
      </c>
      <c r="E214" s="32" t="n">
        <f aca="false">SUMIFS('Площадь МСХ'!$D:$D,'Площадь МСХ'!$E:$E,A214)</f>
        <v>962.481</v>
      </c>
      <c r="F214" s="32" t="n">
        <f aca="false">E214*10</f>
        <v>9624.81</v>
      </c>
      <c r="G214" s="21" t="n">
        <f aca="false">SUMIFS('РПН по МО'!$E:$E,'РПН по МО'!$F:$F,A214)</f>
        <v>28227</v>
      </c>
      <c r="H214" s="25" t="n">
        <f aca="false">IF(G214&gt;0,G214/F214,"")</f>
        <v>2.93273321759079</v>
      </c>
      <c r="I214" s="22" t="n">
        <f aca="false">IF(G214&gt;0,ROUND(1+$I$3*$I$4/H214,4),"")</f>
        <v>2.7489</v>
      </c>
      <c r="J214" s="33" t="n">
        <f aca="false">IF(D214="район",MIN(I214,2),IF(D214="город респ. значения",1,IF(D214="областной центр",1,1.5)))</f>
        <v>2</v>
      </c>
      <c r="K214" s="34" t="n">
        <v>1.5835</v>
      </c>
      <c r="L214" s="35" t="n">
        <f aca="false">J214-K214</f>
        <v>0.4165</v>
      </c>
      <c r="M214" s="36" t="n">
        <f aca="false">IF(D214="город респ. значения","",H214)</f>
        <v>2.93273321759079</v>
      </c>
      <c r="N214" s="37" t="n">
        <f aca="false">IF(D214="город респ. значения","",G214)</f>
        <v>28227</v>
      </c>
    </row>
    <row r="215" customFormat="false" ht="15" hidden="false" customHeight="false" outlineLevel="0" collapsed="false">
      <c r="A215" s="20" t="s">
        <v>257</v>
      </c>
      <c r="B215" s="20" t="s">
        <v>11</v>
      </c>
      <c r="C215" s="20" t="s">
        <v>481</v>
      </c>
      <c r="D215" s="31" t="s">
        <v>280</v>
      </c>
      <c r="E215" s="32" t="n">
        <f aca="false">SUMIFS('Площадь МСХ'!$D:$D,'Площадь МСХ'!$E:$E,A215)</f>
        <v>378.298</v>
      </c>
      <c r="F215" s="32" t="n">
        <f aca="false">E215*10</f>
        <v>3782.98</v>
      </c>
      <c r="G215" s="21" t="n">
        <f aca="false">SUMIFS('РПН по МО'!$E:$E,'РПН по МО'!$F:$F,A215)</f>
        <v>9530</v>
      </c>
      <c r="H215" s="25" t="n">
        <f aca="false">IF(G215&gt;0,G215/F215,"")</f>
        <v>2.51917800252711</v>
      </c>
      <c r="I215" s="22" t="n">
        <f aca="false">IF(G215&gt;0,ROUND(1+$I$3*$I$4/H215,4),"")</f>
        <v>3.036</v>
      </c>
      <c r="J215" s="33" t="n">
        <f aca="false">IF(D215="район",MIN(I215,2),IF(D215="город респ. значения",1,IF(D215="областной центр",1,1.5)))</f>
        <v>2</v>
      </c>
      <c r="K215" s="38" t="n">
        <v>2</v>
      </c>
      <c r="L215" s="35" t="n">
        <f aca="false">J215-K215</f>
        <v>0</v>
      </c>
      <c r="M215" s="36" t="n">
        <f aca="false">IF(D215="город респ. значения","",H215)</f>
        <v>2.51917800252711</v>
      </c>
      <c r="N215" s="37" t="n">
        <f aca="false">IF(D215="город респ. значения","",G215)</f>
        <v>9530</v>
      </c>
    </row>
    <row r="216" customFormat="false" ht="15" hidden="false" customHeight="false" outlineLevel="0" collapsed="false">
      <c r="A216" s="20" t="s">
        <v>258</v>
      </c>
      <c r="B216" s="20" t="s">
        <v>11</v>
      </c>
      <c r="C216" s="20" t="s">
        <v>482</v>
      </c>
      <c r="D216" s="31" t="s">
        <v>280</v>
      </c>
      <c r="E216" s="32" t="n">
        <f aca="false">SUMIFS('Площадь МСХ'!$D:$D,'Площадь МСХ'!$E:$E,A216)</f>
        <v>395.988000023</v>
      </c>
      <c r="F216" s="32" t="n">
        <f aca="false">E216*10</f>
        <v>3959.88000023</v>
      </c>
      <c r="G216" s="21" t="n">
        <f aca="false">SUMIFS('РПН по МО'!$E:$E,'РПН по МО'!$F:$F,A216)</f>
        <v>40494</v>
      </c>
      <c r="H216" s="25" t="n">
        <f aca="false">IF(G216&gt;0,G216/F216,"")</f>
        <v>10.2260674559956</v>
      </c>
      <c r="I216" s="22" t="n">
        <f aca="false">IF(G216&gt;0,ROUND(1+$I$3*$I$4/H216,4),"")</f>
        <v>1.5016</v>
      </c>
      <c r="J216" s="33" t="n">
        <f aca="false">IF(D216="район",MIN(I216,2),IF(D216="город респ. значения",1,IF(D216="областной центр",1,1.5)))</f>
        <v>1.5016</v>
      </c>
      <c r="K216" s="34" t="n">
        <v>1.1942</v>
      </c>
      <c r="L216" s="35" t="n">
        <f aca="false">J216-K216</f>
        <v>0.3074</v>
      </c>
      <c r="M216" s="36" t="n">
        <f aca="false">IF(D216="город респ. значения","",H216)</f>
        <v>10.2260674559956</v>
      </c>
      <c r="N216" s="37" t="n">
        <f aca="false">IF(D216="город респ. значения","",G216)</f>
        <v>40494</v>
      </c>
    </row>
    <row r="217" customFormat="false" ht="15" hidden="false" customHeight="false" outlineLevel="0" collapsed="false">
      <c r="A217" s="20" t="s">
        <v>259</v>
      </c>
      <c r="B217" s="20" t="s">
        <v>25</v>
      </c>
      <c r="C217" s="20" t="s">
        <v>25</v>
      </c>
      <c r="D217" s="31" t="s">
        <v>483</v>
      </c>
      <c r="E217" s="32" t="n">
        <f aca="false">SUMIFS('Площадь МСХ'!$D:$D,'Площадь МСХ'!$E:$E,A217)</f>
        <v>79.7</v>
      </c>
      <c r="F217" s="32" t="n">
        <f aca="false">E217*10</f>
        <v>797</v>
      </c>
      <c r="G217" s="21" t="n">
        <f aca="false">SUMIFS('РПН по МО'!$E:$E,'РПН по МО'!$F:$F,A217)</f>
        <v>1682319</v>
      </c>
      <c r="H217" s="25" t="n">
        <f aca="false">IF(G217&gt;0,G217/F217,"")</f>
        <v>2110.81430363865</v>
      </c>
      <c r="I217" s="22" t="n">
        <f aca="false">IF(G217&gt;0,ROUND(1+$I$3*$I$4/H217,4),"")</f>
        <v>1.0024</v>
      </c>
      <c r="J217" s="33" t="n">
        <f aca="false">IF(D217="район",MIN(I217,2),IF(D217="город респ. значения",1,IF(D217="областной центр",1,1.5)))</f>
        <v>1</v>
      </c>
      <c r="K217" s="34" t="n">
        <v>1</v>
      </c>
      <c r="L217" s="35" t="n">
        <f aca="false">J217-K217</f>
        <v>0</v>
      </c>
      <c r="M217" s="36" t="str">
        <f aca="false">IF(D217="город респ. значения","",H217)</f>
        <v/>
      </c>
      <c r="N217" s="37" t="str">
        <f aca="false">IF(D217="город респ. значения","",G217)</f>
        <v/>
      </c>
    </row>
    <row r="218" customFormat="false" ht="15" hidden="false" customHeight="false" outlineLevel="0" collapsed="false">
      <c r="A218" s="20" t="s">
        <v>260</v>
      </c>
      <c r="B218" s="20" t="s">
        <v>24</v>
      </c>
      <c r="C218" s="20" t="s">
        <v>24</v>
      </c>
      <c r="D218" s="31" t="s">
        <v>483</v>
      </c>
      <c r="E218" s="32" t="n">
        <f aca="false">SUMIFS('Площадь МСХ'!$D:$D,'Площадь МСХ'!$E:$E,A218)</f>
        <v>68.3</v>
      </c>
      <c r="F218" s="32" t="n">
        <f aca="false">E218*10</f>
        <v>683</v>
      </c>
      <c r="G218" s="21" t="n">
        <f aca="false">SUMIFS('РПН по МО'!$E:$E,'РПН по МО'!$F:$F,A218)</f>
        <v>2374520</v>
      </c>
      <c r="H218" s="25" t="n">
        <f aca="false">IF(G218&gt;0,G218/F218,"")</f>
        <v>3476.60322108346</v>
      </c>
      <c r="I218" s="22" t="n">
        <f aca="false">IF(G218&gt;0,ROUND(1+$I$3*$I$4/H218,4),"")</f>
        <v>1.0015</v>
      </c>
      <c r="J218" s="33" t="n">
        <f aca="false">IF(D218="район",MIN(I218,2),IF(D218="город респ. значения",1,IF(D218="областной центр",1,1.5)))</f>
        <v>1</v>
      </c>
      <c r="K218" s="34" t="n">
        <v>1</v>
      </c>
      <c r="L218" s="35" t="n">
        <f aca="false">J218-K218</f>
        <v>0</v>
      </c>
      <c r="M218" s="36" t="str">
        <f aca="false">IF(D218="город респ. значения","",H218)</f>
        <v/>
      </c>
      <c r="N218" s="37" t="str">
        <f aca="false">IF(D218="город респ. значения","",G218)</f>
        <v/>
      </c>
    </row>
    <row r="219" customFormat="false" ht="15" hidden="false" customHeight="false" outlineLevel="0" collapsed="false">
      <c r="A219" s="20" t="s">
        <v>261</v>
      </c>
      <c r="B219" s="20" t="s">
        <v>26</v>
      </c>
      <c r="C219" s="20" t="s">
        <v>26</v>
      </c>
      <c r="D219" s="31" t="s">
        <v>483</v>
      </c>
      <c r="E219" s="32" t="n">
        <f aca="false">SUMIFS('Площадь МСХ'!$D:$D,'Площадь МСХ'!$E:$E,A219)</f>
        <v>116.3</v>
      </c>
      <c r="F219" s="32" t="n">
        <f aca="false">E219*10</f>
        <v>1163</v>
      </c>
      <c r="G219" s="21" t="n">
        <f aca="false">SUMIFS('РПН по МО'!$E:$E,'РПН по МО'!$F:$F,A219)</f>
        <v>1286518</v>
      </c>
      <c r="H219" s="25" t="n">
        <f aca="false">IF(G219&gt;0,G219/F219,"")</f>
        <v>1106.20636285469</v>
      </c>
      <c r="I219" s="22" t="n">
        <f aca="false">IF(G219&gt;0,ROUND(1+$I$3*$I$4/H219,4),"")</f>
        <v>1.0046</v>
      </c>
      <c r="J219" s="33" t="n">
        <f aca="false">IF(D219="район",MIN(I219,2),IF(D219="город респ. значения",1,IF(D219="областной центр",1,1.5)))</f>
        <v>1</v>
      </c>
      <c r="K219" s="34" t="n">
        <v>1</v>
      </c>
      <c r="L219" s="35" t="n">
        <f aca="false">J219-K219</f>
        <v>0</v>
      </c>
      <c r="M219" s="36" t="str">
        <f aca="false">IF(D219="город респ. значения","",H219)</f>
        <v/>
      </c>
      <c r="N219" s="37" t="str">
        <f aca="false">IF(D219="город респ. значения","",G219)</f>
        <v/>
      </c>
    </row>
    <row r="221" customFormat="false" ht="15" hidden="false" customHeight="false" outlineLevel="0" collapsed="false">
      <c r="A221" s="7" t="s">
        <v>484</v>
      </c>
    </row>
    <row r="222" customFormat="false" ht="15" hidden="false" customHeight="false" outlineLevel="0" collapsed="false">
      <c r="A222" s="7" t="s">
        <v>485</v>
      </c>
    </row>
    <row r="223" customFormat="false" ht="15" hidden="false" customHeight="false" outlineLevel="0" collapsed="false">
      <c r="A223" s="7" t="s">
        <v>486</v>
      </c>
    </row>
    <row r="224" customFormat="false" ht="15" hidden="false" customHeight="false" outlineLevel="0" collapsed="false">
      <c r="A224" s="7" t="s">
        <v>487</v>
      </c>
    </row>
  </sheetData>
  <autoFilter ref="A6:L2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60"/>
    <col collapsed="false" customWidth="true" hidden="false" outlineLevel="0" max="11" min="11" style="0" width="30"/>
  </cols>
  <sheetData>
    <row r="1" customFormat="false" ht="15.75" hidden="false" customHeight="true" outlineLevel="0" collapsed="false">
      <c r="A1" s="1" t="s">
        <v>488</v>
      </c>
    </row>
    <row r="3" customFormat="false" ht="45" hidden="false" customHeight="true" outlineLevel="0" collapsed="false">
      <c r="A3" s="2" t="s">
        <v>33</v>
      </c>
      <c r="B3" s="2" t="s">
        <v>489</v>
      </c>
      <c r="C3" s="2" t="s">
        <v>490</v>
      </c>
      <c r="D3" s="2" t="s">
        <v>491</v>
      </c>
      <c r="E3" s="2" t="s">
        <v>492</v>
      </c>
      <c r="F3" s="2" t="s">
        <v>36</v>
      </c>
      <c r="G3" s="2" t="s">
        <v>493</v>
      </c>
      <c r="H3" s="2" t="s">
        <v>494</v>
      </c>
      <c r="I3" s="2" t="s">
        <v>495</v>
      </c>
      <c r="J3" s="2" t="s">
        <v>496</v>
      </c>
      <c r="K3" s="2" t="s">
        <v>497</v>
      </c>
    </row>
    <row r="4" customFormat="false" ht="30" hidden="false" customHeight="true" outlineLevel="0" collapsed="false">
      <c r="A4" s="20" t="n">
        <v>1</v>
      </c>
      <c r="B4" s="20" t="s">
        <v>498</v>
      </c>
      <c r="C4" s="20" t="s">
        <v>499</v>
      </c>
      <c r="D4" s="20" t="s">
        <v>500</v>
      </c>
      <c r="E4" s="40" t="n">
        <v>16638</v>
      </c>
      <c r="F4" s="31" t="s">
        <v>53</v>
      </c>
      <c r="G4" s="20" t="str">
        <f aca="false">IFERROR(INDEX('Расчет Кплотн'!$C:$C,MATCH(F4,'Расчет Кплотн'!$A:$A,0)),"код не найден")</f>
        <v>район Ақсуат</v>
      </c>
      <c r="H4" s="20" t="s">
        <v>501</v>
      </c>
      <c r="I4" s="20" t="s">
        <v>502</v>
      </c>
      <c r="J4" s="41" t="s">
        <v>503</v>
      </c>
      <c r="K4" s="20"/>
    </row>
    <row r="5" customFormat="false" ht="30" hidden="false" customHeight="true" outlineLevel="0" collapsed="false">
      <c r="A5" s="20" t="n">
        <v>2</v>
      </c>
      <c r="B5" s="20" t="s">
        <v>498</v>
      </c>
      <c r="C5" s="20" t="s">
        <v>504</v>
      </c>
      <c r="D5" s="20" t="s">
        <v>505</v>
      </c>
      <c r="E5" s="40" t="n">
        <v>3051</v>
      </c>
      <c r="F5" s="31" t="s">
        <v>58</v>
      </c>
      <c r="G5" s="20" t="str">
        <f aca="false">IFERROR(INDEX('Расчет Кплотн'!$C:$C,MATCH(F5,'Расчет Кплотн'!$A:$A,0)),"код не найден")</f>
        <v>Жарминский район</v>
      </c>
      <c r="H5" s="20" t="s">
        <v>506</v>
      </c>
      <c r="I5" s="20" t="s">
        <v>502</v>
      </c>
      <c r="J5" s="41" t="s">
        <v>503</v>
      </c>
      <c r="K5" s="20"/>
    </row>
    <row r="6" customFormat="false" ht="30" hidden="false" customHeight="true" outlineLevel="0" collapsed="false">
      <c r="A6" s="20" t="n">
        <v>3</v>
      </c>
      <c r="B6" s="20" t="s">
        <v>498</v>
      </c>
      <c r="C6" s="20" t="s">
        <v>507</v>
      </c>
      <c r="D6" s="20" t="s">
        <v>508</v>
      </c>
      <c r="E6" s="40" t="n">
        <v>1800</v>
      </c>
      <c r="F6" s="31" t="s">
        <v>57</v>
      </c>
      <c r="G6" s="20" t="str">
        <f aca="false">IFERROR(INDEX('Расчет Кплотн'!$C:$C,MATCH(F6,'Расчет Кплотн'!$A:$A,0)),"код не найден")</f>
        <v>район Жаңасемей</v>
      </c>
      <c r="H6" s="20"/>
      <c r="I6" s="20" t="s">
        <v>502</v>
      </c>
      <c r="J6" s="41" t="s">
        <v>509</v>
      </c>
      <c r="K6" s="20"/>
    </row>
    <row r="7" customFormat="false" ht="30" hidden="false" customHeight="true" outlineLevel="0" collapsed="false">
      <c r="A7" s="20" t="n">
        <v>4</v>
      </c>
      <c r="B7" s="20" t="s">
        <v>498</v>
      </c>
      <c r="C7" s="20" t="s">
        <v>510</v>
      </c>
      <c r="D7" s="20" t="s">
        <v>511</v>
      </c>
      <c r="E7" s="40" t="n">
        <v>11712</v>
      </c>
      <c r="F7" s="31" t="s">
        <v>50</v>
      </c>
      <c r="G7" s="20" t="str">
        <f aca="false">IFERROR(INDEX('Расчет Кплотн'!$C:$C,MATCH(F7,'Расчет Кплотн'!$A:$A,0)),"код не найден")</f>
        <v>Семей</v>
      </c>
      <c r="H7" s="20" t="s">
        <v>512</v>
      </c>
      <c r="I7" s="20" t="s">
        <v>513</v>
      </c>
      <c r="J7" s="41" t="s">
        <v>503</v>
      </c>
      <c r="K7" s="20"/>
    </row>
    <row r="8" customFormat="false" ht="30" hidden="false" customHeight="true" outlineLevel="0" collapsed="false">
      <c r="A8" s="20" t="n">
        <v>5</v>
      </c>
      <c r="B8" s="20" t="s">
        <v>498</v>
      </c>
      <c r="C8" s="20" t="s">
        <v>514</v>
      </c>
      <c r="D8" s="20" t="s">
        <v>515</v>
      </c>
      <c r="E8" s="40" t="n">
        <v>19280</v>
      </c>
      <c r="F8" s="31" t="s">
        <v>50</v>
      </c>
      <c r="G8" s="20" t="str">
        <f aca="false">IFERROR(INDEX('Расчет Кплотн'!$C:$C,MATCH(F8,'Расчет Кплотн'!$A:$A,0)),"код не найден")</f>
        <v>Семей</v>
      </c>
      <c r="H8" s="20" t="s">
        <v>512</v>
      </c>
      <c r="I8" s="20" t="s">
        <v>513</v>
      </c>
      <c r="J8" s="41" t="s">
        <v>503</v>
      </c>
      <c r="K8" s="20"/>
    </row>
    <row r="9" customFormat="false" ht="30" hidden="false" customHeight="true" outlineLevel="0" collapsed="false">
      <c r="A9" s="20" t="n">
        <v>6</v>
      </c>
      <c r="B9" s="20" t="s">
        <v>498</v>
      </c>
      <c r="C9" s="20" t="s">
        <v>516</v>
      </c>
      <c r="D9" s="20" t="s">
        <v>517</v>
      </c>
      <c r="E9" s="40" t="n">
        <v>35836</v>
      </c>
      <c r="F9" s="31" t="s">
        <v>50</v>
      </c>
      <c r="G9" s="20" t="str">
        <f aca="false">IFERROR(INDEX('Расчет Кплотн'!$C:$C,MATCH(F9,'Расчет Кплотн'!$A:$A,0)),"код не найден")</f>
        <v>Семей</v>
      </c>
      <c r="H9" s="20" t="s">
        <v>512</v>
      </c>
      <c r="I9" s="20" t="s">
        <v>513</v>
      </c>
      <c r="J9" s="41" t="s">
        <v>503</v>
      </c>
      <c r="K9" s="20"/>
    </row>
    <row r="10" customFormat="false" ht="30" hidden="false" customHeight="true" outlineLevel="0" collapsed="false">
      <c r="A10" s="20" t="n">
        <v>7</v>
      </c>
      <c r="B10" s="20" t="s">
        <v>498</v>
      </c>
      <c r="C10" s="20" t="s">
        <v>518</v>
      </c>
      <c r="D10" s="20" t="s">
        <v>519</v>
      </c>
      <c r="E10" s="40" t="n">
        <v>40134</v>
      </c>
      <c r="F10" s="31" t="s">
        <v>50</v>
      </c>
      <c r="G10" s="20" t="str">
        <f aca="false">IFERROR(INDEX('Расчет Кплотн'!$C:$C,MATCH(F10,'Расчет Кплотн'!$A:$A,0)),"код не найден")</f>
        <v>Семей</v>
      </c>
      <c r="H10" s="20" t="s">
        <v>512</v>
      </c>
      <c r="I10" s="20" t="s">
        <v>513</v>
      </c>
      <c r="J10" s="41" t="s">
        <v>503</v>
      </c>
      <c r="K10" s="20"/>
    </row>
    <row r="11" customFormat="false" ht="30" hidden="false" customHeight="true" outlineLevel="0" collapsed="false">
      <c r="A11" s="20" t="n">
        <v>8</v>
      </c>
      <c r="B11" s="20" t="s">
        <v>498</v>
      </c>
      <c r="C11" s="20" t="s">
        <v>520</v>
      </c>
      <c r="D11" s="20" t="s">
        <v>521</v>
      </c>
      <c r="E11" s="40" t="n">
        <v>6545</v>
      </c>
      <c r="F11" s="31" t="s">
        <v>50</v>
      </c>
      <c r="G11" s="20" t="str">
        <f aca="false">IFERROR(INDEX('Расчет Кплотн'!$C:$C,MATCH(F11,'Расчет Кплотн'!$A:$A,0)),"код не найден")</f>
        <v>Семей</v>
      </c>
      <c r="H11" s="20" t="s">
        <v>512</v>
      </c>
      <c r="I11" s="20" t="s">
        <v>513</v>
      </c>
      <c r="J11" s="41" t="s">
        <v>503</v>
      </c>
      <c r="K11" s="20"/>
    </row>
    <row r="12" customFormat="false" ht="30" hidden="false" customHeight="true" outlineLevel="0" collapsed="false">
      <c r="A12" s="20" t="n">
        <v>9</v>
      </c>
      <c r="B12" s="20" t="s">
        <v>498</v>
      </c>
      <c r="C12" s="20" t="s">
        <v>522</v>
      </c>
      <c r="D12" s="20" t="s">
        <v>523</v>
      </c>
      <c r="E12" s="40" t="n">
        <v>12766</v>
      </c>
      <c r="F12" s="31" t="s">
        <v>54</v>
      </c>
      <c r="G12" s="20" t="str">
        <f aca="false">IFERROR(INDEX('Расчет Кплотн'!$C:$C,MATCH(F12,'Расчет Кплотн'!$A:$A,0)),"код не найден")</f>
        <v>Аягозский район</v>
      </c>
      <c r="H12" s="20" t="s">
        <v>524</v>
      </c>
      <c r="I12" s="20" t="s">
        <v>502</v>
      </c>
      <c r="J12" s="41" t="s">
        <v>503</v>
      </c>
      <c r="K12" s="20"/>
    </row>
    <row r="13" customFormat="false" ht="30" hidden="false" customHeight="true" outlineLevel="0" collapsed="false">
      <c r="A13" s="20" t="n">
        <v>10</v>
      </c>
      <c r="B13" s="20" t="s">
        <v>498</v>
      </c>
      <c r="C13" s="20" t="s">
        <v>525</v>
      </c>
      <c r="D13" s="20" t="s">
        <v>526</v>
      </c>
      <c r="E13" s="40" t="n">
        <v>9433</v>
      </c>
      <c r="F13" s="31" t="s">
        <v>50</v>
      </c>
      <c r="G13" s="20" t="str">
        <f aca="false">IFERROR(INDEX('Расчет Кплотн'!$C:$C,MATCH(F13,'Расчет Кплотн'!$A:$A,0)),"код не найден")</f>
        <v>Семей</v>
      </c>
      <c r="H13" s="20" t="s">
        <v>512</v>
      </c>
      <c r="I13" s="20" t="s">
        <v>513</v>
      </c>
      <c r="J13" s="41" t="s">
        <v>503</v>
      </c>
      <c r="K13" s="20"/>
    </row>
    <row r="14" customFormat="false" ht="30" hidden="false" customHeight="true" outlineLevel="0" collapsed="false">
      <c r="A14" s="20" t="n">
        <v>11</v>
      </c>
      <c r="B14" s="20" t="s">
        <v>498</v>
      </c>
      <c r="C14" s="20" t="s">
        <v>527</v>
      </c>
      <c r="D14" s="20" t="s">
        <v>528</v>
      </c>
      <c r="E14" s="40" t="n">
        <v>17699</v>
      </c>
      <c r="F14" s="31" t="s">
        <v>50</v>
      </c>
      <c r="G14" s="20" t="str">
        <f aca="false">IFERROR(INDEX('Расчет Кплотн'!$C:$C,MATCH(F14,'Расчет Кплотн'!$A:$A,0)),"код не найден")</f>
        <v>Семей</v>
      </c>
      <c r="H14" s="20" t="s">
        <v>512</v>
      </c>
      <c r="I14" s="20" t="s">
        <v>513</v>
      </c>
      <c r="J14" s="41" t="s">
        <v>503</v>
      </c>
      <c r="K14" s="20"/>
    </row>
    <row r="15" customFormat="false" ht="30" hidden="false" customHeight="true" outlineLevel="0" collapsed="false">
      <c r="A15" s="20" t="n">
        <v>12</v>
      </c>
      <c r="B15" s="20" t="s">
        <v>498</v>
      </c>
      <c r="C15" s="20" t="s">
        <v>529</v>
      </c>
      <c r="D15" s="20" t="s">
        <v>530</v>
      </c>
      <c r="E15" s="40" t="n">
        <v>9227</v>
      </c>
      <c r="F15" s="31" t="s">
        <v>50</v>
      </c>
      <c r="G15" s="20" t="str">
        <f aca="false">IFERROR(INDEX('Расчет Кплотн'!$C:$C,MATCH(F15,'Расчет Кплотн'!$A:$A,0)),"код не найден")</f>
        <v>Семей</v>
      </c>
      <c r="H15" s="20" t="s">
        <v>512</v>
      </c>
      <c r="I15" s="20" t="s">
        <v>513</v>
      </c>
      <c r="J15" s="41" t="s">
        <v>503</v>
      </c>
      <c r="K15" s="20"/>
    </row>
    <row r="16" customFormat="false" ht="30" hidden="false" customHeight="true" outlineLevel="0" collapsed="false">
      <c r="A16" s="20" t="n">
        <v>13</v>
      </c>
      <c r="B16" s="20" t="s">
        <v>498</v>
      </c>
      <c r="C16" s="20" t="s">
        <v>531</v>
      </c>
      <c r="D16" s="20" t="s">
        <v>532</v>
      </c>
      <c r="E16" s="40" t="n">
        <v>9841</v>
      </c>
      <c r="F16" s="31" t="s">
        <v>50</v>
      </c>
      <c r="G16" s="20" t="str">
        <f aca="false">IFERROR(INDEX('Расчет Кплотн'!$C:$C,MATCH(F16,'Расчет Кплотн'!$A:$A,0)),"код не найден")</f>
        <v>Семей</v>
      </c>
      <c r="H16" s="20" t="s">
        <v>512</v>
      </c>
      <c r="I16" s="20" t="s">
        <v>513</v>
      </c>
      <c r="J16" s="41" t="s">
        <v>503</v>
      </c>
      <c r="K16" s="20"/>
    </row>
    <row r="17" customFormat="false" ht="30" hidden="false" customHeight="true" outlineLevel="0" collapsed="false">
      <c r="A17" s="20" t="n">
        <v>14</v>
      </c>
      <c r="B17" s="20" t="s">
        <v>498</v>
      </c>
      <c r="C17" s="20" t="s">
        <v>533</v>
      </c>
      <c r="D17" s="20" t="s">
        <v>534</v>
      </c>
      <c r="E17" s="40" t="n">
        <v>34662</v>
      </c>
      <c r="F17" s="31" t="s">
        <v>61</v>
      </c>
      <c r="G17" s="20" t="str">
        <f aca="false">IFERROR(INDEX('Расчет Кплотн'!$C:$C,MATCH(F17,'Расчет Кплотн'!$A:$A,0)),"код не найден")</f>
        <v>Урджарский район</v>
      </c>
      <c r="H17" s="20" t="s">
        <v>535</v>
      </c>
      <c r="I17" s="20" t="s">
        <v>502</v>
      </c>
      <c r="J17" s="41" t="s">
        <v>503</v>
      </c>
      <c r="K17" s="20"/>
    </row>
    <row r="18" customFormat="false" ht="30" hidden="false" customHeight="true" outlineLevel="0" collapsed="false">
      <c r="A18" s="20" t="n">
        <v>15</v>
      </c>
      <c r="B18" s="20" t="s">
        <v>498</v>
      </c>
      <c r="C18" s="20" t="s">
        <v>536</v>
      </c>
      <c r="D18" s="20" t="s">
        <v>537</v>
      </c>
      <c r="E18" s="40" t="n">
        <v>14632</v>
      </c>
      <c r="F18" s="31" t="s">
        <v>55</v>
      </c>
      <c r="G18" s="20" t="str">
        <f aca="false">IFERROR(INDEX('Расчет Кплотн'!$C:$C,MATCH(F18,'Расчет Кплотн'!$A:$A,0)),"код не найден")</f>
        <v>Бескарагайский район</v>
      </c>
      <c r="H18" s="20" t="s">
        <v>538</v>
      </c>
      <c r="I18" s="20" t="s">
        <v>502</v>
      </c>
      <c r="J18" s="41" t="s">
        <v>503</v>
      </c>
      <c r="K18" s="20"/>
    </row>
    <row r="19" customFormat="false" ht="45" hidden="false" customHeight="true" outlineLevel="0" collapsed="false">
      <c r="A19" s="20" t="n">
        <v>16</v>
      </c>
      <c r="B19" s="20" t="s">
        <v>498</v>
      </c>
      <c r="C19" s="20" t="s">
        <v>539</v>
      </c>
      <c r="D19" s="20" t="s">
        <v>540</v>
      </c>
      <c r="E19" s="40" t="n">
        <v>22908</v>
      </c>
      <c r="F19" s="31" t="s">
        <v>60</v>
      </c>
      <c r="G19" s="20" t="str">
        <f aca="false">IFERROR(INDEX('Расчет Кплотн'!$C:$C,MATCH(F19,'Расчет Кплотн'!$A:$A,0)),"код не найден")</f>
        <v>район Мақаншы</v>
      </c>
      <c r="H19" s="20" t="s">
        <v>541</v>
      </c>
      <c r="I19" s="20" t="s">
        <v>502</v>
      </c>
      <c r="J19" s="41" t="s">
        <v>542</v>
      </c>
      <c r="K19" s="20"/>
    </row>
    <row r="20" customFormat="false" ht="30" hidden="false" customHeight="true" outlineLevel="0" collapsed="false">
      <c r="A20" s="20" t="n">
        <v>17</v>
      </c>
      <c r="B20" s="20" t="s">
        <v>498</v>
      </c>
      <c r="C20" s="20" t="s">
        <v>543</v>
      </c>
      <c r="D20" s="20" t="s">
        <v>544</v>
      </c>
      <c r="E20" s="40" t="n">
        <v>14153</v>
      </c>
      <c r="F20" s="31" t="s">
        <v>50</v>
      </c>
      <c r="G20" s="20" t="str">
        <f aca="false">IFERROR(INDEX('Расчет Кплотн'!$C:$C,MATCH(F20,'Расчет Кплотн'!$A:$A,0)),"код не найден")</f>
        <v>Семей</v>
      </c>
      <c r="H20" s="20" t="s">
        <v>512</v>
      </c>
      <c r="I20" s="20" t="s">
        <v>513</v>
      </c>
      <c r="J20" s="41" t="s">
        <v>503</v>
      </c>
      <c r="K20" s="20"/>
    </row>
    <row r="21" customFormat="false" ht="30" hidden="false" customHeight="true" outlineLevel="0" collapsed="false">
      <c r="A21" s="20" t="n">
        <v>18</v>
      </c>
      <c r="B21" s="20" t="s">
        <v>498</v>
      </c>
      <c r="C21" s="20" t="s">
        <v>545</v>
      </c>
      <c r="D21" s="20" t="s">
        <v>546</v>
      </c>
      <c r="E21" s="40" t="n">
        <v>31215</v>
      </c>
      <c r="F21" s="31" t="s">
        <v>50</v>
      </c>
      <c r="G21" s="20" t="str">
        <f aca="false">IFERROR(INDEX('Расчет Кплотн'!$C:$C,MATCH(F21,'Расчет Кплотн'!$A:$A,0)),"код не найден")</f>
        <v>Семей</v>
      </c>
      <c r="H21" s="20" t="s">
        <v>512</v>
      </c>
      <c r="I21" s="20" t="s">
        <v>513</v>
      </c>
      <c r="J21" s="41" t="s">
        <v>503</v>
      </c>
      <c r="K21" s="20"/>
    </row>
    <row r="22" customFormat="false" ht="30" hidden="false" customHeight="true" outlineLevel="0" collapsed="false">
      <c r="A22" s="20" t="n">
        <v>19</v>
      </c>
      <c r="B22" s="20" t="s">
        <v>498</v>
      </c>
      <c r="C22" s="20" t="s">
        <v>547</v>
      </c>
      <c r="D22" s="20" t="s">
        <v>548</v>
      </c>
      <c r="E22" s="40" t="n">
        <v>48163</v>
      </c>
      <c r="F22" s="31" t="s">
        <v>54</v>
      </c>
      <c r="G22" s="20" t="str">
        <f aca="false">IFERROR(INDEX('Расчет Кплотн'!$C:$C,MATCH(F22,'Расчет Кплотн'!$A:$A,0)),"код не найден")</f>
        <v>Аягозский район</v>
      </c>
      <c r="H22" s="20" t="s">
        <v>524</v>
      </c>
      <c r="I22" s="20" t="s">
        <v>502</v>
      </c>
      <c r="J22" s="41" t="s">
        <v>503</v>
      </c>
      <c r="K22" s="20"/>
    </row>
    <row r="23" customFormat="false" ht="30" hidden="false" customHeight="true" outlineLevel="0" collapsed="false">
      <c r="A23" s="20" t="n">
        <v>20</v>
      </c>
      <c r="B23" s="20" t="s">
        <v>498</v>
      </c>
      <c r="C23" s="20" t="s">
        <v>549</v>
      </c>
      <c r="D23" s="20" t="s">
        <v>550</v>
      </c>
      <c r="E23" s="40" t="n">
        <v>13963</v>
      </c>
      <c r="F23" s="31" t="s">
        <v>50</v>
      </c>
      <c r="G23" s="20" t="str">
        <f aca="false">IFERROR(INDEX('Расчет Кплотн'!$C:$C,MATCH(F23,'Расчет Кплотн'!$A:$A,0)),"код не найден")</f>
        <v>Семей</v>
      </c>
      <c r="H23" s="20" t="s">
        <v>512</v>
      </c>
      <c r="I23" s="20" t="s">
        <v>513</v>
      </c>
      <c r="J23" s="41" t="s">
        <v>503</v>
      </c>
      <c r="K23" s="20"/>
    </row>
    <row r="24" customFormat="false" ht="15" hidden="false" customHeight="false" outlineLevel="0" collapsed="false">
      <c r="A24" s="20" t="n">
        <v>21</v>
      </c>
      <c r="B24" s="20" t="s">
        <v>498</v>
      </c>
      <c r="C24" s="20" t="s">
        <v>551</v>
      </c>
      <c r="D24" s="20" t="s">
        <v>552</v>
      </c>
      <c r="E24" s="40" t="n">
        <v>1968</v>
      </c>
      <c r="F24" s="31" t="s">
        <v>57</v>
      </c>
      <c r="G24" s="20" t="str">
        <f aca="false">IFERROR(INDEX('Расчет Кплотн'!$C:$C,MATCH(F24,'Расчет Кплотн'!$A:$A,0)),"код не найден")</f>
        <v>район Жаңасемей</v>
      </c>
      <c r="H24" s="20"/>
      <c r="I24" s="20" t="s">
        <v>502</v>
      </c>
      <c r="J24" s="41" t="s">
        <v>553</v>
      </c>
      <c r="K24" s="20"/>
    </row>
    <row r="25" customFormat="false" ht="30" hidden="false" customHeight="true" outlineLevel="0" collapsed="false">
      <c r="A25" s="20" t="n">
        <v>22</v>
      </c>
      <c r="B25" s="20" t="s">
        <v>498</v>
      </c>
      <c r="C25" s="20" t="s">
        <v>554</v>
      </c>
      <c r="D25" s="20" t="s">
        <v>555</v>
      </c>
      <c r="E25" s="40" t="n">
        <v>28478</v>
      </c>
      <c r="F25" s="31" t="s">
        <v>56</v>
      </c>
      <c r="G25" s="20" t="str">
        <f aca="false">IFERROR(INDEX('Расчет Кплотн'!$C:$C,MATCH(F25,'Расчет Кплотн'!$A:$A,0)),"код не найден")</f>
        <v>Бородулихинский район</v>
      </c>
      <c r="H25" s="20" t="s">
        <v>556</v>
      </c>
      <c r="I25" s="20" t="s">
        <v>502</v>
      </c>
      <c r="J25" s="41" t="s">
        <v>503</v>
      </c>
      <c r="K25" s="20"/>
    </row>
    <row r="26" customFormat="false" ht="30" hidden="false" customHeight="true" outlineLevel="0" collapsed="false">
      <c r="A26" s="20" t="n">
        <v>23</v>
      </c>
      <c r="B26" s="20" t="s">
        <v>498</v>
      </c>
      <c r="C26" s="20" t="s">
        <v>557</v>
      </c>
      <c r="D26" s="20" t="s">
        <v>558</v>
      </c>
      <c r="E26" s="40" t="n">
        <v>17443</v>
      </c>
      <c r="F26" s="31" t="s">
        <v>58</v>
      </c>
      <c r="G26" s="20" t="str">
        <f aca="false">IFERROR(INDEX('Расчет Кплотн'!$C:$C,MATCH(F26,'Расчет Кплотн'!$A:$A,0)),"код не найден")</f>
        <v>Жарминский район</v>
      </c>
      <c r="H26" s="20" t="s">
        <v>506</v>
      </c>
      <c r="I26" s="20" t="s">
        <v>502</v>
      </c>
      <c r="J26" s="41" t="s">
        <v>503</v>
      </c>
      <c r="K26" s="20"/>
    </row>
    <row r="27" customFormat="false" ht="30" hidden="false" customHeight="true" outlineLevel="0" collapsed="false">
      <c r="A27" s="20" t="n">
        <v>24</v>
      </c>
      <c r="B27" s="20" t="s">
        <v>498</v>
      </c>
      <c r="C27" s="20" t="s">
        <v>559</v>
      </c>
      <c r="D27" s="20" t="s">
        <v>560</v>
      </c>
      <c r="E27" s="40" t="n">
        <v>11645</v>
      </c>
      <c r="F27" s="31" t="s">
        <v>59</v>
      </c>
      <c r="G27" s="20" t="str">
        <f aca="false">IFERROR(INDEX('Расчет Кплотн'!$C:$C,MATCH(F27,'Расчет Кплотн'!$A:$A,0)),"код не найден")</f>
        <v>Кокпектинский район</v>
      </c>
      <c r="H27" s="20" t="s">
        <v>561</v>
      </c>
      <c r="I27" s="20" t="s">
        <v>502</v>
      </c>
      <c r="J27" s="41" t="s">
        <v>503</v>
      </c>
      <c r="K27" s="20"/>
    </row>
    <row r="28" customFormat="false" ht="30" hidden="false" customHeight="true" outlineLevel="0" collapsed="false">
      <c r="A28" s="20" t="n">
        <v>25</v>
      </c>
      <c r="B28" s="20" t="s">
        <v>498</v>
      </c>
      <c r="C28" s="20" t="s">
        <v>562</v>
      </c>
      <c r="D28" s="20" t="s">
        <v>563</v>
      </c>
      <c r="E28" s="40" t="n">
        <v>37985</v>
      </c>
      <c r="F28" s="31" t="s">
        <v>50</v>
      </c>
      <c r="G28" s="20" t="str">
        <f aca="false">IFERROR(INDEX('Расчет Кплотн'!$C:$C,MATCH(F28,'Расчет Кплотн'!$A:$A,0)),"код не найден")</f>
        <v>Семей</v>
      </c>
      <c r="H28" s="20" t="s">
        <v>512</v>
      </c>
      <c r="I28" s="20" t="s">
        <v>513</v>
      </c>
      <c r="J28" s="41" t="s">
        <v>503</v>
      </c>
      <c r="K28" s="20"/>
    </row>
    <row r="29" customFormat="false" ht="30" hidden="false" customHeight="true" outlineLevel="0" collapsed="false">
      <c r="A29" s="20" t="n">
        <v>26</v>
      </c>
      <c r="B29" s="20" t="s">
        <v>498</v>
      </c>
      <c r="C29" s="20" t="s">
        <v>564</v>
      </c>
      <c r="D29" s="20" t="s">
        <v>565</v>
      </c>
      <c r="E29" s="40" t="n">
        <v>10869</v>
      </c>
      <c r="F29" s="31" t="s">
        <v>52</v>
      </c>
      <c r="G29" s="20" t="str">
        <f aca="false">IFERROR(INDEX('Расчет Кплотн'!$C:$C,MATCH(F29,'Расчет Кплотн'!$A:$A,0)),"код не найден")</f>
        <v>Абайский район</v>
      </c>
      <c r="H29" s="20" t="s">
        <v>566</v>
      </c>
      <c r="I29" s="20" t="s">
        <v>502</v>
      </c>
      <c r="J29" s="41" t="s">
        <v>503</v>
      </c>
      <c r="K29" s="20"/>
    </row>
    <row r="30" customFormat="false" ht="30" hidden="false" customHeight="true" outlineLevel="0" collapsed="false">
      <c r="A30" s="20" t="n">
        <v>27</v>
      </c>
      <c r="B30" s="20" t="s">
        <v>498</v>
      </c>
      <c r="C30" s="20" t="s">
        <v>567</v>
      </c>
      <c r="D30" s="20" t="s">
        <v>568</v>
      </c>
      <c r="E30" s="40" t="n">
        <v>34028</v>
      </c>
      <c r="F30" s="31" t="s">
        <v>50</v>
      </c>
      <c r="G30" s="20" t="str">
        <f aca="false">IFERROR(INDEX('Расчет Кплотн'!$C:$C,MATCH(F30,'Расчет Кплотн'!$A:$A,0)),"код не найден")</f>
        <v>Семей</v>
      </c>
      <c r="H30" s="20" t="s">
        <v>512</v>
      </c>
      <c r="I30" s="20" t="s">
        <v>513</v>
      </c>
      <c r="J30" s="41" t="s">
        <v>503</v>
      </c>
      <c r="K30" s="20"/>
    </row>
    <row r="31" customFormat="false" ht="30" hidden="false" customHeight="true" outlineLevel="0" collapsed="false">
      <c r="A31" s="20" t="n">
        <v>28</v>
      </c>
      <c r="B31" s="20" t="s">
        <v>498</v>
      </c>
      <c r="C31" s="20" t="s">
        <v>569</v>
      </c>
      <c r="D31" s="20" t="s">
        <v>570</v>
      </c>
      <c r="E31" s="40" t="n">
        <v>34478</v>
      </c>
      <c r="F31" s="31" t="s">
        <v>50</v>
      </c>
      <c r="G31" s="20" t="str">
        <f aca="false">IFERROR(INDEX('Расчет Кплотн'!$C:$C,MATCH(F31,'Расчет Кплотн'!$A:$A,0)),"код не найден")</f>
        <v>Семей</v>
      </c>
      <c r="H31" s="20" t="s">
        <v>512</v>
      </c>
      <c r="I31" s="20" t="s">
        <v>513</v>
      </c>
      <c r="J31" s="41" t="s">
        <v>503</v>
      </c>
      <c r="K31" s="20"/>
    </row>
    <row r="32" customFormat="false" ht="30" hidden="false" customHeight="true" outlineLevel="0" collapsed="false">
      <c r="A32" s="20" t="n">
        <v>29</v>
      </c>
      <c r="B32" s="20" t="s">
        <v>498</v>
      </c>
      <c r="C32" s="20" t="s">
        <v>571</v>
      </c>
      <c r="D32" s="20" t="s">
        <v>572</v>
      </c>
      <c r="E32" s="40" t="n">
        <v>15193</v>
      </c>
      <c r="F32" s="31" t="s">
        <v>50</v>
      </c>
      <c r="G32" s="20" t="str">
        <f aca="false">IFERROR(INDEX('Расчет Кплотн'!$C:$C,MATCH(F32,'Расчет Кплотн'!$A:$A,0)),"код не найден")</f>
        <v>Семей</v>
      </c>
      <c r="H32" s="20" t="s">
        <v>512</v>
      </c>
      <c r="I32" s="20" t="s">
        <v>513</v>
      </c>
      <c r="J32" s="41" t="s">
        <v>503</v>
      </c>
      <c r="K32" s="20"/>
    </row>
    <row r="33" customFormat="false" ht="30" hidden="false" customHeight="true" outlineLevel="0" collapsed="false">
      <c r="A33" s="20" t="n">
        <v>30</v>
      </c>
      <c r="B33" s="20" t="s">
        <v>498</v>
      </c>
      <c r="C33" s="20" t="s">
        <v>573</v>
      </c>
      <c r="D33" s="20" t="s">
        <v>574</v>
      </c>
      <c r="E33" s="40" t="n">
        <v>11473</v>
      </c>
      <c r="F33" s="31" t="s">
        <v>58</v>
      </c>
      <c r="G33" s="20" t="str">
        <f aca="false">IFERROR(INDEX('Расчет Кплотн'!$C:$C,MATCH(F33,'Расчет Кплотн'!$A:$A,0)),"код не найден")</f>
        <v>Жарминский район</v>
      </c>
      <c r="H33" s="20" t="s">
        <v>575</v>
      </c>
      <c r="I33" s="20" t="s">
        <v>502</v>
      </c>
      <c r="J33" s="41" t="s">
        <v>503</v>
      </c>
      <c r="K33" s="20"/>
    </row>
    <row r="34" customFormat="false" ht="30" hidden="false" customHeight="true" outlineLevel="0" collapsed="false">
      <c r="A34" s="20" t="n">
        <v>31</v>
      </c>
      <c r="B34" s="20" t="s">
        <v>498</v>
      </c>
      <c r="C34" s="20" t="s">
        <v>576</v>
      </c>
      <c r="D34" s="20" t="s">
        <v>577</v>
      </c>
      <c r="E34" s="40" t="n">
        <v>9984</v>
      </c>
      <c r="F34" s="31" t="s">
        <v>51</v>
      </c>
      <c r="G34" s="20" t="str">
        <f aca="false">IFERROR(INDEX('Расчет Кплотн'!$C:$C,MATCH(F34,'Расчет Кплотн'!$A:$A,0)),"код не найден")</f>
        <v>Курчатов</v>
      </c>
      <c r="H34" s="20" t="s">
        <v>578</v>
      </c>
      <c r="I34" s="20" t="s">
        <v>513</v>
      </c>
      <c r="J34" s="41" t="s">
        <v>503</v>
      </c>
      <c r="K34" s="20"/>
    </row>
    <row r="35" customFormat="false" ht="30" hidden="false" customHeight="true" outlineLevel="0" collapsed="false">
      <c r="A35" s="20" t="n">
        <v>32</v>
      </c>
      <c r="B35" s="20" t="s">
        <v>498</v>
      </c>
      <c r="C35" s="20" t="s">
        <v>579</v>
      </c>
      <c r="D35" s="20" t="s">
        <v>580</v>
      </c>
      <c r="E35" s="40" t="n">
        <v>25495</v>
      </c>
      <c r="F35" s="31" t="s">
        <v>50</v>
      </c>
      <c r="G35" s="20" t="str">
        <f aca="false">IFERROR(INDEX('Расчет Кплотн'!$C:$C,MATCH(F35,'Расчет Кплотн'!$A:$A,0)),"код не найден")</f>
        <v>Семей</v>
      </c>
      <c r="H35" s="20" t="s">
        <v>512</v>
      </c>
      <c r="I35" s="20" t="s">
        <v>513</v>
      </c>
      <c r="J35" s="41" t="s">
        <v>503</v>
      </c>
      <c r="K35" s="20"/>
    </row>
    <row r="36" customFormat="false" ht="30" hidden="false" customHeight="true" outlineLevel="0" collapsed="false">
      <c r="A36" s="20" t="n">
        <v>33</v>
      </c>
      <c r="B36" s="20" t="s">
        <v>581</v>
      </c>
      <c r="C36" s="20" t="s">
        <v>582</v>
      </c>
      <c r="D36" s="20" t="s">
        <v>583</v>
      </c>
      <c r="E36" s="40" t="n">
        <v>4948</v>
      </c>
      <c r="F36" s="31" t="s">
        <v>70</v>
      </c>
      <c r="G36" s="20" t="str">
        <f aca="false">IFERROR(INDEX('Расчет Кплотн'!$C:$C,MATCH(F36,'Расчет Кплотн'!$A:$A,0)),"код не найден")</f>
        <v>Егиндыкольский район</v>
      </c>
      <c r="H36" s="20" t="s">
        <v>584</v>
      </c>
      <c r="I36" s="20" t="s">
        <v>502</v>
      </c>
      <c r="J36" s="41" t="s">
        <v>503</v>
      </c>
      <c r="K36" s="20"/>
    </row>
    <row r="37" customFormat="false" ht="30" hidden="false" customHeight="true" outlineLevel="0" collapsed="false">
      <c r="A37" s="20" t="n">
        <v>34</v>
      </c>
      <c r="B37" s="20" t="s">
        <v>581</v>
      </c>
      <c r="C37" s="20" t="s">
        <v>585</v>
      </c>
      <c r="D37" s="20" t="s">
        <v>586</v>
      </c>
      <c r="E37" s="40" t="n">
        <v>4981</v>
      </c>
      <c r="F37" s="31" t="s">
        <v>64</v>
      </c>
      <c r="G37" s="20" t="str">
        <f aca="false">IFERROR(INDEX('Расчет Кплотн'!$C:$C,MATCH(F37,'Расчет Кплотн'!$A:$A,0)),"код не найден")</f>
        <v>Степногорск</v>
      </c>
      <c r="H37" s="20" t="s">
        <v>587</v>
      </c>
      <c r="I37" s="20" t="s">
        <v>513</v>
      </c>
      <c r="J37" s="41" t="s">
        <v>503</v>
      </c>
      <c r="K37" s="20"/>
    </row>
    <row r="38" customFormat="false" ht="30" hidden="false" customHeight="true" outlineLevel="0" collapsed="false">
      <c r="A38" s="20" t="n">
        <v>35</v>
      </c>
      <c r="B38" s="20" t="s">
        <v>581</v>
      </c>
      <c r="C38" s="20" t="s">
        <v>588</v>
      </c>
      <c r="D38" s="20" t="s">
        <v>589</v>
      </c>
      <c r="E38" s="40" t="n">
        <v>24999</v>
      </c>
      <c r="F38" s="31" t="s">
        <v>66</v>
      </c>
      <c r="G38" s="20" t="str">
        <f aca="false">IFERROR(INDEX('Расчет Кплотн'!$C:$C,MATCH(F38,'Расчет Кплотн'!$A:$A,0)),"код не найден")</f>
        <v>Аршалынский район</v>
      </c>
      <c r="H38" s="20" t="s">
        <v>590</v>
      </c>
      <c r="I38" s="20" t="s">
        <v>502</v>
      </c>
      <c r="J38" s="41" t="s">
        <v>503</v>
      </c>
      <c r="K38" s="20"/>
    </row>
    <row r="39" customFormat="false" ht="30" hidden="false" customHeight="true" outlineLevel="0" collapsed="false">
      <c r="A39" s="20" t="n">
        <v>36</v>
      </c>
      <c r="B39" s="20" t="s">
        <v>581</v>
      </c>
      <c r="C39" s="20" t="s">
        <v>591</v>
      </c>
      <c r="D39" s="20" t="s">
        <v>592</v>
      </c>
      <c r="E39" s="40" t="n">
        <v>10616</v>
      </c>
      <c r="F39" s="31" t="s">
        <v>71</v>
      </c>
      <c r="G39" s="20" t="str">
        <f aca="false">IFERROR(INDEX('Расчет Кплотн'!$C:$C,MATCH(F39,'Расчет Кплотн'!$A:$A,0)),"код не найден")</f>
        <v>район Биржан сал</v>
      </c>
      <c r="H39" s="20" t="s">
        <v>593</v>
      </c>
      <c r="I39" s="20" t="s">
        <v>502</v>
      </c>
      <c r="J39" s="41" t="s">
        <v>503</v>
      </c>
      <c r="K39" s="20"/>
    </row>
    <row r="40" customFormat="false" ht="30" hidden="false" customHeight="true" outlineLevel="0" collapsed="false">
      <c r="A40" s="20" t="n">
        <v>37</v>
      </c>
      <c r="B40" s="20" t="s">
        <v>581</v>
      </c>
      <c r="C40" s="20" t="s">
        <v>594</v>
      </c>
      <c r="D40" s="20" t="s">
        <v>595</v>
      </c>
      <c r="E40" s="40" t="n">
        <v>15621</v>
      </c>
      <c r="F40" s="31" t="s">
        <v>62</v>
      </c>
      <c r="G40" s="20" t="str">
        <f aca="false">IFERROR(INDEX('Расчет Кплотн'!$C:$C,MATCH(F40,'Расчет Кплотн'!$A:$A,0)),"код не найден")</f>
        <v>Кокшетау</v>
      </c>
      <c r="H40" s="20" t="s">
        <v>596</v>
      </c>
      <c r="I40" s="20" t="s">
        <v>513</v>
      </c>
      <c r="J40" s="41" t="s">
        <v>503</v>
      </c>
      <c r="K40" s="20"/>
    </row>
    <row r="41" customFormat="false" ht="30" hidden="false" customHeight="true" outlineLevel="0" collapsed="false">
      <c r="A41" s="20" t="n">
        <v>38</v>
      </c>
      <c r="B41" s="20" t="s">
        <v>581</v>
      </c>
      <c r="C41" s="20" t="s">
        <v>597</v>
      </c>
      <c r="D41" s="20"/>
      <c r="E41" s="40" t="n">
        <v>13446</v>
      </c>
      <c r="F41" s="31" t="s">
        <v>79</v>
      </c>
      <c r="G41" s="20" t="str">
        <f aca="false">IFERROR(INDEX('Расчет Кплотн'!$C:$C,MATCH(F41,'Расчет Кплотн'!$A:$A,0)),"код не найден")</f>
        <v>Целиноградский район</v>
      </c>
      <c r="H41" s="20" t="s">
        <v>598</v>
      </c>
      <c r="I41" s="20" t="s">
        <v>502</v>
      </c>
      <c r="J41" s="41" t="s">
        <v>503</v>
      </c>
      <c r="K41" s="20"/>
    </row>
    <row r="42" customFormat="false" ht="30" hidden="false" customHeight="true" outlineLevel="0" collapsed="false">
      <c r="A42" s="20" t="n">
        <v>39</v>
      </c>
      <c r="B42" s="20" t="s">
        <v>581</v>
      </c>
      <c r="C42" s="20" t="s">
        <v>599</v>
      </c>
      <c r="D42" s="20"/>
      <c r="E42" s="40" t="n">
        <v>24854</v>
      </c>
      <c r="F42" s="31" t="s">
        <v>62</v>
      </c>
      <c r="G42" s="20" t="str">
        <f aca="false">IFERROR(INDEX('Расчет Кплотн'!$C:$C,MATCH(F42,'Расчет Кплотн'!$A:$A,0)),"код не найден")</f>
        <v>Кокшетау</v>
      </c>
      <c r="H42" s="20" t="s">
        <v>600</v>
      </c>
      <c r="I42" s="20" t="s">
        <v>513</v>
      </c>
      <c r="J42" s="41" t="s">
        <v>503</v>
      </c>
      <c r="K42" s="20"/>
    </row>
    <row r="43" customFormat="false" ht="30" hidden="false" customHeight="true" outlineLevel="0" collapsed="false">
      <c r="A43" s="20" t="n">
        <v>40</v>
      </c>
      <c r="B43" s="20" t="s">
        <v>581</v>
      </c>
      <c r="C43" s="20" t="s">
        <v>601</v>
      </c>
      <c r="D43" s="20" t="s">
        <v>602</v>
      </c>
      <c r="E43" s="40" t="n">
        <v>13810</v>
      </c>
      <c r="F43" s="31" t="s">
        <v>62</v>
      </c>
      <c r="G43" s="20" t="str">
        <f aca="false">IFERROR(INDEX('Расчет Кплотн'!$C:$C,MATCH(F43,'Расчет Кплотн'!$A:$A,0)),"код не найден")</f>
        <v>Кокшетау</v>
      </c>
      <c r="H43" s="20" t="s">
        <v>600</v>
      </c>
      <c r="I43" s="20" t="s">
        <v>513</v>
      </c>
      <c r="J43" s="41" t="s">
        <v>503</v>
      </c>
      <c r="K43" s="20"/>
    </row>
    <row r="44" customFormat="false" ht="30" hidden="false" customHeight="true" outlineLevel="0" collapsed="false">
      <c r="A44" s="20" t="n">
        <v>41</v>
      </c>
      <c r="B44" s="20" t="s">
        <v>581</v>
      </c>
      <c r="C44" s="20" t="s">
        <v>603</v>
      </c>
      <c r="D44" s="20"/>
      <c r="E44" s="40" t="n">
        <v>2212</v>
      </c>
      <c r="F44" s="31" t="s">
        <v>79</v>
      </c>
      <c r="G44" s="20" t="str">
        <f aca="false">IFERROR(INDEX('Расчет Кплотн'!$C:$C,MATCH(F44,'Расчет Кплотн'!$A:$A,0)),"код не найден")</f>
        <v>Целиноградский район</v>
      </c>
      <c r="H44" s="20" t="s">
        <v>604</v>
      </c>
      <c r="I44" s="20" t="s">
        <v>502</v>
      </c>
      <c r="J44" s="41" t="s">
        <v>503</v>
      </c>
      <c r="K44" s="20"/>
    </row>
    <row r="45" customFormat="false" ht="30" hidden="false" customHeight="true" outlineLevel="0" collapsed="false">
      <c r="A45" s="20" t="n">
        <v>42</v>
      </c>
      <c r="B45" s="20" t="s">
        <v>581</v>
      </c>
      <c r="C45" s="20" t="s">
        <v>605</v>
      </c>
      <c r="D45" s="20" t="s">
        <v>606</v>
      </c>
      <c r="E45" s="40" t="n">
        <v>154860</v>
      </c>
      <c r="F45" s="31" t="s">
        <v>62</v>
      </c>
      <c r="G45" s="20" t="str">
        <f aca="false">IFERROR(INDEX('Расчет Кплотн'!$C:$C,MATCH(F45,'Расчет Кплотн'!$A:$A,0)),"код не найден")</f>
        <v>Кокшетау</v>
      </c>
      <c r="H45" s="20" t="s">
        <v>600</v>
      </c>
      <c r="I45" s="20" t="s">
        <v>513</v>
      </c>
      <c r="J45" s="41" t="s">
        <v>503</v>
      </c>
      <c r="K45" s="20"/>
    </row>
    <row r="46" customFormat="false" ht="30" hidden="false" customHeight="true" outlineLevel="0" collapsed="false">
      <c r="A46" s="20" t="n">
        <v>43</v>
      </c>
      <c r="B46" s="20" t="s">
        <v>581</v>
      </c>
      <c r="C46" s="20" t="s">
        <v>607</v>
      </c>
      <c r="D46" s="20" t="s">
        <v>608</v>
      </c>
      <c r="E46" s="40" t="n">
        <v>6868</v>
      </c>
      <c r="F46" s="31" t="s">
        <v>77</v>
      </c>
      <c r="G46" s="20" t="str">
        <f aca="false">IFERROR(INDEX('Расчет Кплотн'!$C:$C,MATCH(F46,'Расчет Кплотн'!$A:$A,0)),"код не найден")</f>
        <v>Коргалжынский район</v>
      </c>
      <c r="H46" s="20" t="s">
        <v>609</v>
      </c>
      <c r="I46" s="20" t="s">
        <v>502</v>
      </c>
      <c r="J46" s="41" t="s">
        <v>503</v>
      </c>
      <c r="K46" s="20"/>
    </row>
    <row r="47" customFormat="false" ht="45" hidden="false" customHeight="true" outlineLevel="0" collapsed="false">
      <c r="A47" s="20" t="n">
        <v>44</v>
      </c>
      <c r="B47" s="20" t="s">
        <v>581</v>
      </c>
      <c r="C47" s="20" t="s">
        <v>610</v>
      </c>
      <c r="D47" s="20"/>
      <c r="E47" s="40" t="n">
        <v>29170</v>
      </c>
      <c r="F47" s="31" t="s">
        <v>63</v>
      </c>
      <c r="G47" s="20" t="str">
        <f aca="false">IFERROR(INDEX('Расчет Кплотн'!$C:$C,MATCH(F47,'Расчет Кплотн'!$A:$A,0)),"код не найден")</f>
        <v>Косшы</v>
      </c>
      <c r="H47" s="20" t="s">
        <v>611</v>
      </c>
      <c r="I47" s="20" t="s">
        <v>513</v>
      </c>
      <c r="J47" s="41" t="s">
        <v>612</v>
      </c>
      <c r="K47" s="20"/>
    </row>
    <row r="48" customFormat="false" ht="30" hidden="false" customHeight="true" outlineLevel="0" collapsed="false">
      <c r="A48" s="20" t="n">
        <v>45</v>
      </c>
      <c r="B48" s="20" t="s">
        <v>581</v>
      </c>
      <c r="C48" s="20" t="s">
        <v>613</v>
      </c>
      <c r="D48" s="20" t="s">
        <v>614</v>
      </c>
      <c r="E48" s="40" t="n">
        <v>21873</v>
      </c>
      <c r="F48" s="31" t="s">
        <v>72</v>
      </c>
      <c r="G48" s="20" t="str">
        <f aca="false">IFERROR(INDEX('Расчет Кплотн'!$C:$C,MATCH(F48,'Расчет Кплотн'!$A:$A,0)),"код не найден")</f>
        <v>Ерейментауский район</v>
      </c>
      <c r="H48" s="20" t="s">
        <v>615</v>
      </c>
      <c r="I48" s="20" t="s">
        <v>502</v>
      </c>
      <c r="J48" s="41" t="s">
        <v>503</v>
      </c>
      <c r="K48" s="20"/>
    </row>
    <row r="49" customFormat="false" ht="30" hidden="false" customHeight="true" outlineLevel="0" collapsed="false">
      <c r="A49" s="20" t="n">
        <v>46</v>
      </c>
      <c r="B49" s="20" t="s">
        <v>581</v>
      </c>
      <c r="C49" s="20" t="s">
        <v>616</v>
      </c>
      <c r="D49" s="20" t="s">
        <v>617</v>
      </c>
      <c r="E49" s="40" t="n">
        <v>20048</v>
      </c>
      <c r="F49" s="31" t="s">
        <v>73</v>
      </c>
      <c r="G49" s="20" t="str">
        <f aca="false">IFERROR(INDEX('Расчет Кплотн'!$C:$C,MATCH(F49,'Расчет Кплотн'!$A:$A,0)),"код не найден")</f>
        <v>Есильский район</v>
      </c>
      <c r="H49" s="20" t="s">
        <v>618</v>
      </c>
      <c r="I49" s="20" t="s">
        <v>502</v>
      </c>
      <c r="J49" s="41" t="s">
        <v>503</v>
      </c>
      <c r="K49" s="20"/>
    </row>
    <row r="50" customFormat="false" ht="30" hidden="false" customHeight="true" outlineLevel="0" collapsed="false">
      <c r="A50" s="20" t="n">
        <v>47</v>
      </c>
      <c r="B50" s="20" t="s">
        <v>581</v>
      </c>
      <c r="C50" s="20" t="s">
        <v>619</v>
      </c>
      <c r="D50" s="20" t="s">
        <v>620</v>
      </c>
      <c r="E50" s="40" t="n">
        <v>51236</v>
      </c>
      <c r="F50" s="31" t="s">
        <v>79</v>
      </c>
      <c r="G50" s="20" t="str">
        <f aca="false">IFERROR(INDEX('Расчет Кплотн'!$C:$C,MATCH(F50,'Расчет Кплотн'!$A:$A,0)),"код не найден")</f>
        <v>Целиноградский район</v>
      </c>
      <c r="H50" s="20" t="s">
        <v>621</v>
      </c>
      <c r="I50" s="20" t="s">
        <v>502</v>
      </c>
      <c r="J50" s="41" t="s">
        <v>503</v>
      </c>
      <c r="K50" s="20"/>
    </row>
    <row r="51" customFormat="false" ht="30" hidden="false" customHeight="true" outlineLevel="0" collapsed="false">
      <c r="A51" s="20" t="n">
        <v>48</v>
      </c>
      <c r="B51" s="20" t="s">
        <v>581</v>
      </c>
      <c r="C51" s="20" t="s">
        <v>622</v>
      </c>
      <c r="D51" s="20" t="s">
        <v>623</v>
      </c>
      <c r="E51" s="40" t="n">
        <v>26416</v>
      </c>
      <c r="F51" s="31" t="s">
        <v>80</v>
      </c>
      <c r="G51" s="20" t="str">
        <f aca="false">IFERROR(INDEX('Расчет Кплотн'!$C:$C,MATCH(F51,'Расчет Кплотн'!$A:$A,0)),"код не найден")</f>
        <v>Шортандинский район</v>
      </c>
      <c r="H51" s="20" t="s">
        <v>624</v>
      </c>
      <c r="I51" s="20" t="s">
        <v>502</v>
      </c>
      <c r="J51" s="41" t="s">
        <v>503</v>
      </c>
      <c r="K51" s="20"/>
    </row>
    <row r="52" customFormat="false" ht="30" hidden="false" customHeight="true" outlineLevel="0" collapsed="false">
      <c r="A52" s="20" t="n">
        <v>49</v>
      </c>
      <c r="B52" s="20" t="s">
        <v>581</v>
      </c>
      <c r="C52" s="20" t="s">
        <v>625</v>
      </c>
      <c r="D52" s="20" t="s">
        <v>626</v>
      </c>
      <c r="E52" s="40" t="n">
        <v>22417</v>
      </c>
      <c r="F52" s="31" t="s">
        <v>65</v>
      </c>
      <c r="G52" s="20" t="str">
        <f aca="false">IFERROR(INDEX('Расчет Кплотн'!$C:$C,MATCH(F52,'Расчет Кплотн'!$A:$A,0)),"код не найден")</f>
        <v>Аккольский район</v>
      </c>
      <c r="H52" s="20" t="s">
        <v>627</v>
      </c>
      <c r="I52" s="20" t="s">
        <v>502</v>
      </c>
      <c r="J52" s="41" t="s">
        <v>503</v>
      </c>
      <c r="K52" s="20"/>
    </row>
    <row r="53" customFormat="false" ht="30" hidden="false" customHeight="true" outlineLevel="0" collapsed="false">
      <c r="A53" s="20" t="n">
        <v>50</v>
      </c>
      <c r="B53" s="20" t="s">
        <v>581</v>
      </c>
      <c r="C53" s="20" t="s">
        <v>628</v>
      </c>
      <c r="D53" s="20" t="s">
        <v>629</v>
      </c>
      <c r="E53" s="40" t="n">
        <v>18492</v>
      </c>
      <c r="F53" s="31" t="s">
        <v>67</v>
      </c>
      <c r="G53" s="20" t="str">
        <f aca="false">IFERROR(INDEX('Расчет Кплотн'!$C:$C,MATCH(F53,'Расчет Кплотн'!$A:$A,0)),"код не найден")</f>
        <v>Астраханский район</v>
      </c>
      <c r="H53" s="20" t="s">
        <v>630</v>
      </c>
      <c r="I53" s="20" t="s">
        <v>502</v>
      </c>
      <c r="J53" s="41" t="s">
        <v>503</v>
      </c>
      <c r="K53" s="20"/>
    </row>
    <row r="54" customFormat="false" ht="30" hidden="false" customHeight="true" outlineLevel="0" collapsed="false">
      <c r="A54" s="20" t="n">
        <v>51</v>
      </c>
      <c r="B54" s="20" t="s">
        <v>581</v>
      </c>
      <c r="C54" s="20" t="s">
        <v>631</v>
      </c>
      <c r="D54" s="20" t="s">
        <v>632</v>
      </c>
      <c r="E54" s="40" t="n">
        <v>27446</v>
      </c>
      <c r="F54" s="31" t="s">
        <v>69</v>
      </c>
      <c r="G54" s="20" t="str">
        <f aca="false">IFERROR(INDEX('Расчет Кплотн'!$C:$C,MATCH(F54,'Расчет Кплотн'!$A:$A,0)),"код не найден")</f>
        <v>Буландынский район</v>
      </c>
      <c r="H54" s="20" t="s">
        <v>633</v>
      </c>
      <c r="I54" s="20" t="s">
        <v>502</v>
      </c>
      <c r="J54" s="41" t="s">
        <v>503</v>
      </c>
      <c r="K54" s="20"/>
    </row>
    <row r="55" customFormat="false" ht="30" hidden="false" customHeight="true" outlineLevel="0" collapsed="false">
      <c r="A55" s="20" t="n">
        <v>52</v>
      </c>
      <c r="B55" s="20" t="s">
        <v>581</v>
      </c>
      <c r="C55" s="20" t="s">
        <v>634</v>
      </c>
      <c r="D55" s="20" t="s">
        <v>635</v>
      </c>
      <c r="E55" s="40" t="n">
        <v>70331</v>
      </c>
      <c r="F55" s="31" t="s">
        <v>81</v>
      </c>
      <c r="G55" s="20" t="str">
        <f aca="false">IFERROR(INDEX('Расчет Кплотн'!$C:$C,MATCH(F55,'Расчет Кплотн'!$A:$A,0)),"код не найден")</f>
        <v>Бурабайский район</v>
      </c>
      <c r="H55" s="20" t="s">
        <v>636</v>
      </c>
      <c r="I55" s="20" t="s">
        <v>502</v>
      </c>
      <c r="J55" s="41" t="s">
        <v>503</v>
      </c>
      <c r="K55" s="20"/>
    </row>
    <row r="56" customFormat="false" ht="30" hidden="false" customHeight="true" outlineLevel="0" collapsed="false">
      <c r="A56" s="20" t="n">
        <v>53</v>
      </c>
      <c r="B56" s="20" t="s">
        <v>581</v>
      </c>
      <c r="C56" s="20" t="s">
        <v>637</v>
      </c>
      <c r="D56" s="20" t="s">
        <v>638</v>
      </c>
      <c r="E56" s="40" t="n">
        <v>43140</v>
      </c>
      <c r="F56" s="31" t="s">
        <v>68</v>
      </c>
      <c r="G56" s="20" t="str">
        <f aca="false">IFERROR(INDEX('Расчет Кплотн'!$C:$C,MATCH(F56,'Расчет Кплотн'!$A:$A,0)),"код не найден")</f>
        <v>Атбасарский район</v>
      </c>
      <c r="H56" s="20" t="s">
        <v>639</v>
      </c>
      <c r="I56" s="20" t="s">
        <v>502</v>
      </c>
      <c r="J56" s="41" t="s">
        <v>503</v>
      </c>
      <c r="K56" s="20"/>
    </row>
    <row r="57" customFormat="false" ht="30" hidden="false" customHeight="true" outlineLevel="0" collapsed="false">
      <c r="A57" s="20" t="n">
        <v>54</v>
      </c>
      <c r="B57" s="20" t="s">
        <v>581</v>
      </c>
      <c r="C57" s="20" t="s">
        <v>640</v>
      </c>
      <c r="D57" s="20" t="s">
        <v>641</v>
      </c>
      <c r="E57" s="40" t="n">
        <v>14365</v>
      </c>
      <c r="F57" s="31" t="s">
        <v>74</v>
      </c>
      <c r="G57" s="20" t="str">
        <f aca="false">IFERROR(INDEX('Расчет Кплотн'!$C:$C,MATCH(F57,'Расчет Кплотн'!$A:$A,0)),"код не найден")</f>
        <v>Жаксынский район</v>
      </c>
      <c r="H57" s="20" t="s">
        <v>642</v>
      </c>
      <c r="I57" s="20" t="s">
        <v>502</v>
      </c>
      <c r="J57" s="41" t="s">
        <v>503</v>
      </c>
      <c r="K57" s="20"/>
    </row>
    <row r="58" customFormat="false" ht="30" hidden="false" customHeight="true" outlineLevel="0" collapsed="false">
      <c r="A58" s="20" t="n">
        <v>55</v>
      </c>
      <c r="B58" s="20" t="s">
        <v>581</v>
      </c>
      <c r="C58" s="20" t="s">
        <v>643</v>
      </c>
      <c r="D58" s="20" t="s">
        <v>644</v>
      </c>
      <c r="E58" s="40" t="n">
        <v>11920</v>
      </c>
      <c r="F58" s="31" t="s">
        <v>75</v>
      </c>
      <c r="G58" s="20" t="str">
        <f aca="false">IFERROR(INDEX('Расчет Кплотн'!$C:$C,MATCH(F58,'Расчет Кплотн'!$A:$A,0)),"код не найден")</f>
        <v>Жаркаинский район</v>
      </c>
      <c r="H58" s="20" t="s">
        <v>645</v>
      </c>
      <c r="I58" s="20" t="s">
        <v>502</v>
      </c>
      <c r="J58" s="41" t="s">
        <v>503</v>
      </c>
      <c r="K58" s="20"/>
    </row>
    <row r="59" customFormat="false" ht="30" hidden="false" customHeight="true" outlineLevel="0" collapsed="false">
      <c r="A59" s="20" t="n">
        <v>56</v>
      </c>
      <c r="B59" s="20" t="s">
        <v>581</v>
      </c>
      <c r="C59" s="20" t="s">
        <v>646</v>
      </c>
      <c r="D59" s="20" t="s">
        <v>647</v>
      </c>
      <c r="E59" s="40" t="n">
        <v>20255</v>
      </c>
      <c r="F59" s="31" t="s">
        <v>76</v>
      </c>
      <c r="G59" s="20" t="str">
        <f aca="false">IFERROR(INDEX('Расчет Кплотн'!$C:$C,MATCH(F59,'Расчет Кплотн'!$A:$A,0)),"код не найден")</f>
        <v>Зерендинский район</v>
      </c>
      <c r="H59" s="20" t="s">
        <v>648</v>
      </c>
      <c r="I59" s="20" t="s">
        <v>502</v>
      </c>
      <c r="J59" s="41" t="s">
        <v>503</v>
      </c>
      <c r="K59" s="20"/>
    </row>
    <row r="60" customFormat="false" ht="30" hidden="false" customHeight="true" outlineLevel="0" collapsed="false">
      <c r="A60" s="20" t="n">
        <v>57</v>
      </c>
      <c r="B60" s="20" t="s">
        <v>581</v>
      </c>
      <c r="C60" s="20" t="s">
        <v>649</v>
      </c>
      <c r="D60" s="20" t="s">
        <v>650</v>
      </c>
      <c r="E60" s="40" t="n">
        <v>18068</v>
      </c>
      <c r="F60" s="31" t="s">
        <v>78</v>
      </c>
      <c r="G60" s="20" t="str">
        <f aca="false">IFERROR(INDEX('Расчет Кплотн'!$C:$C,MATCH(F60,'Расчет Кплотн'!$A:$A,0)),"код не найден")</f>
        <v>Сандыктауский район</v>
      </c>
      <c r="H60" s="20" t="s">
        <v>651</v>
      </c>
      <c r="I60" s="20" t="s">
        <v>502</v>
      </c>
      <c r="J60" s="41" t="s">
        <v>503</v>
      </c>
      <c r="K60" s="20"/>
    </row>
    <row r="61" customFormat="false" ht="30" hidden="false" customHeight="true" outlineLevel="0" collapsed="false">
      <c r="A61" s="20" t="n">
        <v>58</v>
      </c>
      <c r="B61" s="20" t="s">
        <v>581</v>
      </c>
      <c r="C61" s="20" t="s">
        <v>652</v>
      </c>
      <c r="D61" s="20" t="s">
        <v>653</v>
      </c>
      <c r="E61" s="40" t="n">
        <v>87517</v>
      </c>
      <c r="F61" s="31" t="s">
        <v>62</v>
      </c>
      <c r="G61" s="20" t="str">
        <f aca="false">IFERROR(INDEX('Расчет Кплотн'!$C:$C,MATCH(F61,'Расчет Кплотн'!$A:$A,0)),"код не найден")</f>
        <v>Кокшетау</v>
      </c>
      <c r="H61" s="20" t="s">
        <v>600</v>
      </c>
      <c r="I61" s="20" t="s">
        <v>513</v>
      </c>
      <c r="J61" s="41" t="s">
        <v>503</v>
      </c>
      <c r="K61" s="20"/>
    </row>
    <row r="62" customFormat="false" ht="30" hidden="false" customHeight="true" outlineLevel="0" collapsed="false">
      <c r="A62" s="20" t="n">
        <v>59</v>
      </c>
      <c r="B62" s="20" t="s">
        <v>654</v>
      </c>
      <c r="C62" s="20" t="s">
        <v>655</v>
      </c>
      <c r="D62" s="20" t="s">
        <v>656</v>
      </c>
      <c r="E62" s="40" t="n">
        <v>31066</v>
      </c>
      <c r="F62" s="31" t="s">
        <v>91</v>
      </c>
      <c r="G62" s="20" t="str">
        <f aca="false">IFERROR(INDEX('Расчет Кплотн'!$C:$C,MATCH(F62,'Расчет Кплотн'!$A:$A,0)),"код не найден")</f>
        <v>Темирский район</v>
      </c>
      <c r="H62" s="20" t="s">
        <v>657</v>
      </c>
      <c r="I62" s="20" t="s">
        <v>502</v>
      </c>
      <c r="J62" s="41" t="s">
        <v>503</v>
      </c>
      <c r="K62" s="20"/>
    </row>
    <row r="63" customFormat="false" ht="30" hidden="false" customHeight="true" outlineLevel="0" collapsed="false">
      <c r="A63" s="20" t="n">
        <v>60</v>
      </c>
      <c r="B63" s="20" t="s">
        <v>654</v>
      </c>
      <c r="C63" s="20" t="s">
        <v>658</v>
      </c>
      <c r="D63" s="20" t="s">
        <v>659</v>
      </c>
      <c r="E63" s="40" t="n">
        <v>1565</v>
      </c>
      <c r="F63" s="31" t="s">
        <v>82</v>
      </c>
      <c r="G63" s="20" t="str">
        <f aca="false">IFERROR(INDEX('Расчет Кплотн'!$C:$C,MATCH(F63,'Расчет Кплотн'!$A:$A,0)),"код не найден")</f>
        <v>Актобе</v>
      </c>
      <c r="H63" s="20" t="s">
        <v>660</v>
      </c>
      <c r="I63" s="20" t="s">
        <v>513</v>
      </c>
      <c r="J63" s="41" t="s">
        <v>503</v>
      </c>
      <c r="K63" s="20"/>
    </row>
    <row r="64" customFormat="false" ht="30" hidden="false" customHeight="true" outlineLevel="0" collapsed="false">
      <c r="A64" s="20" t="n">
        <v>61</v>
      </c>
      <c r="B64" s="20" t="s">
        <v>654</v>
      </c>
      <c r="C64" s="20" t="s">
        <v>661</v>
      </c>
      <c r="D64" s="20" t="s">
        <v>662</v>
      </c>
      <c r="E64" s="40" t="n">
        <v>9545</v>
      </c>
      <c r="F64" s="31" t="s">
        <v>82</v>
      </c>
      <c r="G64" s="20" t="str">
        <f aca="false">IFERROR(INDEX('Расчет Кплотн'!$C:$C,MATCH(F64,'Расчет Кплотн'!$A:$A,0)),"код не найден")</f>
        <v>Актобе</v>
      </c>
      <c r="H64" s="20" t="s">
        <v>663</v>
      </c>
      <c r="I64" s="20" t="s">
        <v>513</v>
      </c>
      <c r="J64" s="41" t="s">
        <v>503</v>
      </c>
      <c r="K64" s="20"/>
    </row>
    <row r="65" customFormat="false" ht="30" hidden="false" customHeight="true" outlineLevel="0" collapsed="false">
      <c r="A65" s="20" t="n">
        <v>62</v>
      </c>
      <c r="B65" s="20" t="s">
        <v>654</v>
      </c>
      <c r="C65" s="20" t="s">
        <v>664</v>
      </c>
      <c r="D65" s="20" t="s">
        <v>665</v>
      </c>
      <c r="E65" s="40" t="n">
        <v>18106</v>
      </c>
      <c r="F65" s="31" t="s">
        <v>82</v>
      </c>
      <c r="G65" s="20" t="str">
        <f aca="false">IFERROR(INDEX('Расчет Кплотн'!$C:$C,MATCH(F65,'Расчет Кплотн'!$A:$A,0)),"код не найден")</f>
        <v>Актобе</v>
      </c>
      <c r="H65" s="20" t="s">
        <v>663</v>
      </c>
      <c r="I65" s="20" t="s">
        <v>513</v>
      </c>
      <c r="J65" s="41" t="s">
        <v>503</v>
      </c>
      <c r="K65" s="20"/>
    </row>
    <row r="66" customFormat="false" ht="30" hidden="false" customHeight="true" outlineLevel="0" collapsed="false">
      <c r="A66" s="20" t="n">
        <v>63</v>
      </c>
      <c r="B66" s="20" t="s">
        <v>654</v>
      </c>
      <c r="C66" s="20" t="s">
        <v>666</v>
      </c>
      <c r="D66" s="20" t="s">
        <v>667</v>
      </c>
      <c r="E66" s="40" t="n">
        <v>7908</v>
      </c>
      <c r="F66" s="31" t="s">
        <v>82</v>
      </c>
      <c r="G66" s="20" t="str">
        <f aca="false">IFERROR(INDEX('Расчет Кплотн'!$C:$C,MATCH(F66,'Расчет Кплотн'!$A:$A,0)),"код не найден")</f>
        <v>Актобе</v>
      </c>
      <c r="H66" s="20" t="s">
        <v>663</v>
      </c>
      <c r="I66" s="20" t="s">
        <v>513</v>
      </c>
      <c r="J66" s="41" t="s">
        <v>503</v>
      </c>
      <c r="K66" s="20"/>
    </row>
    <row r="67" customFormat="false" ht="30" hidden="false" customHeight="true" outlineLevel="0" collapsed="false">
      <c r="A67" s="20" t="n">
        <v>64</v>
      </c>
      <c r="B67" s="20" t="s">
        <v>654</v>
      </c>
      <c r="C67" s="20" t="s">
        <v>668</v>
      </c>
      <c r="D67" s="20" t="s">
        <v>669</v>
      </c>
      <c r="E67" s="40" t="n">
        <v>15281</v>
      </c>
      <c r="F67" s="31" t="s">
        <v>82</v>
      </c>
      <c r="G67" s="20" t="str">
        <f aca="false">IFERROR(INDEX('Расчет Кплотн'!$C:$C,MATCH(F67,'Расчет Кплотн'!$A:$A,0)),"код не найден")</f>
        <v>Актобе</v>
      </c>
      <c r="H67" s="20" t="s">
        <v>663</v>
      </c>
      <c r="I67" s="20" t="s">
        <v>513</v>
      </c>
      <c r="J67" s="41" t="s">
        <v>503</v>
      </c>
      <c r="K67" s="20"/>
    </row>
    <row r="68" customFormat="false" ht="30" hidden="false" customHeight="true" outlineLevel="0" collapsed="false">
      <c r="A68" s="20" t="n">
        <v>65</v>
      </c>
      <c r="B68" s="20" t="s">
        <v>654</v>
      </c>
      <c r="C68" s="20" t="s">
        <v>670</v>
      </c>
      <c r="D68" s="20" t="s">
        <v>671</v>
      </c>
      <c r="E68" s="40" t="n">
        <v>8417</v>
      </c>
      <c r="F68" s="31" t="s">
        <v>82</v>
      </c>
      <c r="G68" s="20" t="str">
        <f aca="false">IFERROR(INDEX('Расчет Кплотн'!$C:$C,MATCH(F68,'Расчет Кплотн'!$A:$A,0)),"код не найден")</f>
        <v>Актобе</v>
      </c>
      <c r="H68" s="20" t="s">
        <v>672</v>
      </c>
      <c r="I68" s="20" t="s">
        <v>513</v>
      </c>
      <c r="J68" s="41" t="s">
        <v>673</v>
      </c>
      <c r="K68" s="20"/>
    </row>
    <row r="69" customFormat="false" ht="30" hidden="false" customHeight="true" outlineLevel="0" collapsed="false">
      <c r="A69" s="20" t="n">
        <v>66</v>
      </c>
      <c r="B69" s="20" t="s">
        <v>654</v>
      </c>
      <c r="C69" s="20" t="s">
        <v>674</v>
      </c>
      <c r="D69" s="20" t="s">
        <v>675</v>
      </c>
      <c r="E69" s="40" t="n">
        <v>4454</v>
      </c>
      <c r="F69" s="31" t="s">
        <v>82</v>
      </c>
      <c r="G69" s="20" t="str">
        <f aca="false">IFERROR(INDEX('Расчет Кплотн'!$C:$C,MATCH(F69,'Расчет Кплотн'!$A:$A,0)),"код не найден")</f>
        <v>Актобе</v>
      </c>
      <c r="H69" s="20" t="s">
        <v>663</v>
      </c>
      <c r="I69" s="20" t="s">
        <v>513</v>
      </c>
      <c r="J69" s="41" t="s">
        <v>503</v>
      </c>
      <c r="K69" s="20"/>
    </row>
    <row r="70" customFormat="false" ht="30" hidden="false" customHeight="true" outlineLevel="0" collapsed="false">
      <c r="A70" s="20" t="n">
        <v>67</v>
      </c>
      <c r="B70" s="20" t="s">
        <v>654</v>
      </c>
      <c r="C70" s="20" t="s">
        <v>676</v>
      </c>
      <c r="D70" s="20" t="s">
        <v>677</v>
      </c>
      <c r="E70" s="40" t="n">
        <v>7824</v>
      </c>
      <c r="F70" s="31" t="s">
        <v>82</v>
      </c>
      <c r="G70" s="20" t="str">
        <f aca="false">IFERROR(INDEX('Расчет Кплотн'!$C:$C,MATCH(F70,'Расчет Кплотн'!$A:$A,0)),"код не найден")</f>
        <v>Актобе</v>
      </c>
      <c r="H70" s="20" t="s">
        <v>663</v>
      </c>
      <c r="I70" s="20" t="s">
        <v>513</v>
      </c>
      <c r="J70" s="41" t="s">
        <v>503</v>
      </c>
      <c r="K70" s="20"/>
    </row>
    <row r="71" customFormat="false" ht="30" hidden="false" customHeight="true" outlineLevel="0" collapsed="false">
      <c r="A71" s="20" t="n">
        <v>68</v>
      </c>
      <c r="B71" s="20" t="s">
        <v>654</v>
      </c>
      <c r="C71" s="20" t="s">
        <v>678</v>
      </c>
      <c r="D71" s="20" t="s">
        <v>679</v>
      </c>
      <c r="E71" s="40" t="n">
        <v>12621</v>
      </c>
      <c r="F71" s="31" t="s">
        <v>82</v>
      </c>
      <c r="G71" s="20" t="str">
        <f aca="false">IFERROR(INDEX('Расчет Кплотн'!$C:$C,MATCH(F71,'Расчет Кплотн'!$A:$A,0)),"код не найден")</f>
        <v>Актобе</v>
      </c>
      <c r="H71" s="20" t="s">
        <v>663</v>
      </c>
      <c r="I71" s="20" t="s">
        <v>513</v>
      </c>
      <c r="J71" s="41" t="s">
        <v>503</v>
      </c>
      <c r="K71" s="20"/>
    </row>
    <row r="72" customFormat="false" ht="30" hidden="false" customHeight="true" outlineLevel="0" collapsed="false">
      <c r="A72" s="20" t="n">
        <v>69</v>
      </c>
      <c r="B72" s="20" t="s">
        <v>654</v>
      </c>
      <c r="C72" s="20" t="s">
        <v>680</v>
      </c>
      <c r="D72" s="20" t="s">
        <v>681</v>
      </c>
      <c r="E72" s="40" t="n">
        <v>9275</v>
      </c>
      <c r="F72" s="31" t="s">
        <v>82</v>
      </c>
      <c r="G72" s="20" t="str">
        <f aca="false">IFERROR(INDEX('Расчет Кплотн'!$C:$C,MATCH(F72,'Расчет Кплотн'!$A:$A,0)),"код не найден")</f>
        <v>Актобе</v>
      </c>
      <c r="H72" s="20" t="s">
        <v>663</v>
      </c>
      <c r="I72" s="20" t="s">
        <v>513</v>
      </c>
      <c r="J72" s="41" t="s">
        <v>503</v>
      </c>
      <c r="K72" s="20"/>
    </row>
    <row r="73" customFormat="false" ht="30" hidden="false" customHeight="true" outlineLevel="0" collapsed="false">
      <c r="A73" s="20" t="n">
        <v>70</v>
      </c>
      <c r="B73" s="20" t="s">
        <v>654</v>
      </c>
      <c r="C73" s="20" t="s">
        <v>682</v>
      </c>
      <c r="D73" s="20" t="s">
        <v>683</v>
      </c>
      <c r="E73" s="40" t="n">
        <v>11483</v>
      </c>
      <c r="F73" s="31" t="s">
        <v>82</v>
      </c>
      <c r="G73" s="20" t="str">
        <f aca="false">IFERROR(INDEX('Расчет Кплотн'!$C:$C,MATCH(F73,'Расчет Кплотн'!$A:$A,0)),"код не найден")</f>
        <v>Актобе</v>
      </c>
      <c r="H73" s="20" t="s">
        <v>660</v>
      </c>
      <c r="I73" s="20" t="s">
        <v>513</v>
      </c>
      <c r="J73" s="41" t="s">
        <v>503</v>
      </c>
      <c r="K73" s="20"/>
    </row>
    <row r="74" customFormat="false" ht="30" hidden="false" customHeight="true" outlineLevel="0" collapsed="false">
      <c r="A74" s="20" t="n">
        <v>71</v>
      </c>
      <c r="B74" s="20" t="s">
        <v>654</v>
      </c>
      <c r="C74" s="20" t="s">
        <v>684</v>
      </c>
      <c r="D74" s="20" t="s">
        <v>685</v>
      </c>
      <c r="E74" s="40" t="n">
        <v>19534</v>
      </c>
      <c r="F74" s="31" t="s">
        <v>82</v>
      </c>
      <c r="G74" s="20" t="str">
        <f aca="false">IFERROR(INDEX('Расчет Кплотн'!$C:$C,MATCH(F74,'Расчет Кплотн'!$A:$A,0)),"код не найден")</f>
        <v>Актобе</v>
      </c>
      <c r="H74" s="20" t="s">
        <v>663</v>
      </c>
      <c r="I74" s="20" t="s">
        <v>513</v>
      </c>
      <c r="J74" s="41" t="s">
        <v>503</v>
      </c>
      <c r="K74" s="20"/>
    </row>
    <row r="75" customFormat="false" ht="30" hidden="false" customHeight="true" outlineLevel="0" collapsed="false">
      <c r="A75" s="20" t="n">
        <v>72</v>
      </c>
      <c r="B75" s="20" t="s">
        <v>654</v>
      </c>
      <c r="C75" s="20" t="s">
        <v>686</v>
      </c>
      <c r="D75" s="20" t="s">
        <v>687</v>
      </c>
      <c r="E75" s="40" t="n">
        <v>5507</v>
      </c>
      <c r="F75" s="31" t="s">
        <v>89</v>
      </c>
      <c r="G75" s="20" t="str">
        <f aca="false">IFERROR(INDEX('Расчет Кплотн'!$C:$C,MATCH(F75,'Расчет Кплотн'!$A:$A,0)),"код не найден")</f>
        <v>Мугалжарский район</v>
      </c>
      <c r="H75" s="20" t="s">
        <v>688</v>
      </c>
      <c r="I75" s="20" t="s">
        <v>502</v>
      </c>
      <c r="J75" s="41" t="s">
        <v>503</v>
      </c>
      <c r="K75" s="20"/>
    </row>
    <row r="76" customFormat="false" ht="30" hidden="false" customHeight="true" outlineLevel="0" collapsed="false">
      <c r="A76" s="20" t="n">
        <v>73</v>
      </c>
      <c r="B76" s="20" t="s">
        <v>654</v>
      </c>
      <c r="C76" s="20" t="s">
        <v>689</v>
      </c>
      <c r="D76" s="20" t="s">
        <v>690</v>
      </c>
      <c r="E76" s="40" t="n">
        <v>23868</v>
      </c>
      <c r="F76" s="31" t="s">
        <v>82</v>
      </c>
      <c r="G76" s="20" t="str">
        <f aca="false">IFERROR(INDEX('Расчет Кплотн'!$C:$C,MATCH(F76,'Расчет Кплотн'!$A:$A,0)),"код не найден")</f>
        <v>Актобе</v>
      </c>
      <c r="H76" s="20"/>
      <c r="I76" s="20" t="s">
        <v>513</v>
      </c>
      <c r="J76" s="41" t="s">
        <v>691</v>
      </c>
      <c r="K76" s="20"/>
    </row>
    <row r="77" customFormat="false" ht="30" hidden="false" customHeight="true" outlineLevel="0" collapsed="false">
      <c r="A77" s="20" t="n">
        <v>74</v>
      </c>
      <c r="B77" s="20" t="s">
        <v>654</v>
      </c>
      <c r="C77" s="20" t="s">
        <v>692</v>
      </c>
      <c r="D77" s="20" t="s">
        <v>693</v>
      </c>
      <c r="E77" s="40" t="n">
        <v>6125</v>
      </c>
      <c r="F77" s="31" t="s">
        <v>82</v>
      </c>
      <c r="G77" s="20" t="str">
        <f aca="false">IFERROR(INDEX('Расчет Кплотн'!$C:$C,MATCH(F77,'Расчет Кплотн'!$A:$A,0)),"код не найден")</f>
        <v>Актобе</v>
      </c>
      <c r="H77" s="20" t="s">
        <v>663</v>
      </c>
      <c r="I77" s="20" t="s">
        <v>513</v>
      </c>
      <c r="J77" s="41" t="s">
        <v>503</v>
      </c>
      <c r="K77" s="20"/>
    </row>
    <row r="78" customFormat="false" ht="30" hidden="false" customHeight="true" outlineLevel="0" collapsed="false">
      <c r="A78" s="20" t="n">
        <v>75</v>
      </c>
      <c r="B78" s="20" t="s">
        <v>654</v>
      </c>
      <c r="C78" s="20" t="s">
        <v>694</v>
      </c>
      <c r="D78" s="20" t="s">
        <v>695</v>
      </c>
      <c r="E78" s="40" t="n">
        <v>34725</v>
      </c>
      <c r="F78" s="31" t="s">
        <v>82</v>
      </c>
      <c r="G78" s="20" t="str">
        <f aca="false">IFERROR(INDEX('Расчет Кплотн'!$C:$C,MATCH(F78,'Расчет Кплотн'!$A:$A,0)),"код не найден")</f>
        <v>Актобе</v>
      </c>
      <c r="H78" s="20" t="s">
        <v>660</v>
      </c>
      <c r="I78" s="20" t="s">
        <v>513</v>
      </c>
      <c r="J78" s="41" t="s">
        <v>503</v>
      </c>
      <c r="K78" s="20"/>
    </row>
    <row r="79" customFormat="false" ht="30" hidden="false" customHeight="true" outlineLevel="0" collapsed="false">
      <c r="A79" s="20" t="n">
        <v>76</v>
      </c>
      <c r="B79" s="20" t="s">
        <v>654</v>
      </c>
      <c r="C79" s="20" t="s">
        <v>696</v>
      </c>
      <c r="D79" s="20" t="s">
        <v>697</v>
      </c>
      <c r="E79" s="40" t="n">
        <v>23569</v>
      </c>
      <c r="F79" s="31" t="s">
        <v>82</v>
      </c>
      <c r="G79" s="20" t="str">
        <f aca="false">IFERROR(INDEX('Расчет Кплотн'!$C:$C,MATCH(F79,'Расчет Кплотн'!$A:$A,0)),"код не найден")</f>
        <v>Актобе</v>
      </c>
      <c r="H79" s="20" t="s">
        <v>663</v>
      </c>
      <c r="I79" s="20" t="s">
        <v>513</v>
      </c>
      <c r="J79" s="41" t="s">
        <v>503</v>
      </c>
      <c r="K79" s="20"/>
    </row>
    <row r="80" customFormat="false" ht="30" hidden="false" customHeight="true" outlineLevel="0" collapsed="false">
      <c r="A80" s="20" t="n">
        <v>77</v>
      </c>
      <c r="B80" s="20" t="s">
        <v>654</v>
      </c>
      <c r="C80" s="20" t="s">
        <v>698</v>
      </c>
      <c r="D80" s="20" t="s">
        <v>699</v>
      </c>
      <c r="E80" s="40" t="n">
        <v>34180</v>
      </c>
      <c r="F80" s="31" t="s">
        <v>82</v>
      </c>
      <c r="G80" s="20" t="str">
        <f aca="false">IFERROR(INDEX('Расчет Кплотн'!$C:$C,MATCH(F80,'Расчет Кплотн'!$A:$A,0)),"код не найден")</f>
        <v>Актобе</v>
      </c>
      <c r="H80" s="20" t="s">
        <v>663</v>
      </c>
      <c r="I80" s="20" t="s">
        <v>513</v>
      </c>
      <c r="J80" s="41" t="s">
        <v>503</v>
      </c>
      <c r="K80" s="20"/>
    </row>
    <row r="81" customFormat="false" ht="30" hidden="false" customHeight="true" outlineLevel="0" collapsed="false">
      <c r="A81" s="20" t="n">
        <v>78</v>
      </c>
      <c r="B81" s="20" t="s">
        <v>654</v>
      </c>
      <c r="C81" s="20" t="s">
        <v>700</v>
      </c>
      <c r="D81" s="20"/>
      <c r="E81" s="40" t="n">
        <v>8461</v>
      </c>
      <c r="F81" s="31" t="s">
        <v>82</v>
      </c>
      <c r="G81" s="20" t="str">
        <f aca="false">IFERROR(INDEX('Расчет Кплотн'!$C:$C,MATCH(F81,'Расчет Кплотн'!$A:$A,0)),"код не найден")</f>
        <v>Актобе</v>
      </c>
      <c r="H81" s="20" t="s">
        <v>663</v>
      </c>
      <c r="I81" s="20" t="s">
        <v>513</v>
      </c>
      <c r="J81" s="41" t="s">
        <v>503</v>
      </c>
      <c r="K81" s="20"/>
    </row>
    <row r="82" customFormat="false" ht="30" hidden="false" customHeight="true" outlineLevel="0" collapsed="false">
      <c r="A82" s="20" t="n">
        <v>79</v>
      </c>
      <c r="B82" s="20" t="s">
        <v>654</v>
      </c>
      <c r="C82" s="20" t="s">
        <v>701</v>
      </c>
      <c r="D82" s="20" t="s">
        <v>702</v>
      </c>
      <c r="E82" s="40" t="n">
        <v>12956</v>
      </c>
      <c r="F82" s="31" t="s">
        <v>90</v>
      </c>
      <c r="G82" s="20" t="str">
        <f aca="false">IFERROR(INDEX('Расчет Кплотн'!$C:$C,MATCH(F82,'Расчет Кплотн'!$A:$A,0)),"код не найден")</f>
        <v>Уилский район</v>
      </c>
      <c r="H82" s="20" t="s">
        <v>703</v>
      </c>
      <c r="I82" s="20" t="s">
        <v>502</v>
      </c>
      <c r="J82" s="41" t="s">
        <v>503</v>
      </c>
      <c r="K82" s="20"/>
    </row>
    <row r="83" customFormat="false" ht="30" hidden="false" customHeight="true" outlineLevel="0" collapsed="false">
      <c r="A83" s="20" t="n">
        <v>80</v>
      </c>
      <c r="B83" s="20" t="s">
        <v>654</v>
      </c>
      <c r="C83" s="20" t="s">
        <v>704</v>
      </c>
      <c r="D83" s="20" t="s">
        <v>705</v>
      </c>
      <c r="E83" s="40" t="n">
        <v>38326</v>
      </c>
      <c r="F83" s="31" t="s">
        <v>93</v>
      </c>
      <c r="G83" s="20" t="str">
        <f aca="false">IFERROR(INDEX('Расчет Кплотн'!$C:$C,MATCH(F83,'Расчет Кплотн'!$A:$A,0)),"код не найден")</f>
        <v>Шалкарский район</v>
      </c>
      <c r="H83" s="20" t="s">
        <v>706</v>
      </c>
      <c r="I83" s="20" t="s">
        <v>502</v>
      </c>
      <c r="J83" s="41" t="s">
        <v>503</v>
      </c>
      <c r="K83" s="20"/>
    </row>
    <row r="84" customFormat="false" ht="30" hidden="false" customHeight="true" outlineLevel="0" collapsed="false">
      <c r="A84" s="20" t="n">
        <v>81</v>
      </c>
      <c r="B84" s="20" t="s">
        <v>654</v>
      </c>
      <c r="C84" s="20" t="s">
        <v>707</v>
      </c>
      <c r="D84" s="20" t="s">
        <v>708</v>
      </c>
      <c r="E84" s="40" t="n">
        <v>18406</v>
      </c>
      <c r="F84" s="31" t="s">
        <v>84</v>
      </c>
      <c r="G84" s="20" t="str">
        <f aca="false">IFERROR(INDEX('Расчет Кплотн'!$C:$C,MATCH(F84,'Расчет Кплотн'!$A:$A,0)),"код не найден")</f>
        <v>Айтекебийский район</v>
      </c>
      <c r="H84" s="20" t="s">
        <v>709</v>
      </c>
      <c r="I84" s="20" t="s">
        <v>502</v>
      </c>
      <c r="J84" s="41" t="s">
        <v>503</v>
      </c>
      <c r="K84" s="20"/>
    </row>
    <row r="85" customFormat="false" ht="15" hidden="false" customHeight="false" outlineLevel="0" collapsed="false">
      <c r="A85" s="20" t="n">
        <v>82</v>
      </c>
      <c r="B85" s="20" t="s">
        <v>654</v>
      </c>
      <c r="C85" s="20" t="s">
        <v>710</v>
      </c>
      <c r="D85" s="20" t="s">
        <v>711</v>
      </c>
      <c r="E85" s="40" t="n">
        <v>51149</v>
      </c>
      <c r="F85" s="31" t="s">
        <v>82</v>
      </c>
      <c r="G85" s="20" t="str">
        <f aca="false">IFERROR(INDEX('Расчет Кплотн'!$C:$C,MATCH(F85,'Расчет Кплотн'!$A:$A,0)),"код не найден")</f>
        <v>Актобе</v>
      </c>
      <c r="H85" s="20"/>
      <c r="I85" s="20" t="s">
        <v>513</v>
      </c>
      <c r="J85" s="41" t="s">
        <v>712</v>
      </c>
      <c r="K85" s="20"/>
    </row>
    <row r="86" customFormat="false" ht="30" hidden="false" customHeight="true" outlineLevel="0" collapsed="false">
      <c r="A86" s="20" t="n">
        <v>83</v>
      </c>
      <c r="B86" s="20" t="s">
        <v>654</v>
      </c>
      <c r="C86" s="20" t="s">
        <v>713</v>
      </c>
      <c r="D86" s="20" t="s">
        <v>714</v>
      </c>
      <c r="E86" s="40" t="n">
        <v>38266</v>
      </c>
      <c r="F86" s="31" t="s">
        <v>82</v>
      </c>
      <c r="G86" s="20" t="str">
        <f aca="false">IFERROR(INDEX('Расчет Кплотн'!$C:$C,MATCH(F86,'Расчет Кплотн'!$A:$A,0)),"код не найден")</f>
        <v>Актобе</v>
      </c>
      <c r="H86" s="20" t="s">
        <v>663</v>
      </c>
      <c r="I86" s="20" t="s">
        <v>513</v>
      </c>
      <c r="J86" s="41" t="s">
        <v>503</v>
      </c>
      <c r="K86" s="20"/>
    </row>
    <row r="87" customFormat="false" ht="30" hidden="false" customHeight="true" outlineLevel="0" collapsed="false">
      <c r="A87" s="20" t="n">
        <v>84</v>
      </c>
      <c r="B87" s="20" t="s">
        <v>654</v>
      </c>
      <c r="C87" s="20" t="s">
        <v>715</v>
      </c>
      <c r="D87" s="20" t="s">
        <v>716</v>
      </c>
      <c r="E87" s="40" t="n">
        <v>58057</v>
      </c>
      <c r="F87" s="31" t="s">
        <v>82</v>
      </c>
      <c r="G87" s="20" t="str">
        <f aca="false">IFERROR(INDEX('Расчет Кплотн'!$C:$C,MATCH(F87,'Расчет Кплотн'!$A:$A,0)),"код не найден")</f>
        <v>Актобе</v>
      </c>
      <c r="H87" s="20" t="s">
        <v>663</v>
      </c>
      <c r="I87" s="20" t="s">
        <v>513</v>
      </c>
      <c r="J87" s="41" t="s">
        <v>503</v>
      </c>
      <c r="K87" s="20"/>
    </row>
    <row r="88" customFormat="false" ht="30" hidden="false" customHeight="true" outlineLevel="0" collapsed="false">
      <c r="A88" s="20" t="n">
        <v>85</v>
      </c>
      <c r="B88" s="20" t="s">
        <v>654</v>
      </c>
      <c r="C88" s="20" t="s">
        <v>717</v>
      </c>
      <c r="D88" s="20" t="s">
        <v>718</v>
      </c>
      <c r="E88" s="40" t="n">
        <v>66570</v>
      </c>
      <c r="F88" s="31" t="s">
        <v>82</v>
      </c>
      <c r="G88" s="20" t="str">
        <f aca="false">IFERROR(INDEX('Расчет Кплотн'!$C:$C,MATCH(F88,'Расчет Кплотн'!$A:$A,0)),"код не найден")</f>
        <v>Актобе</v>
      </c>
      <c r="H88" s="20" t="s">
        <v>663</v>
      </c>
      <c r="I88" s="20" t="s">
        <v>513</v>
      </c>
      <c r="J88" s="41" t="s">
        <v>503</v>
      </c>
      <c r="K88" s="20"/>
    </row>
    <row r="89" customFormat="false" ht="30" hidden="false" customHeight="true" outlineLevel="0" collapsed="false">
      <c r="A89" s="20" t="n">
        <v>86</v>
      </c>
      <c r="B89" s="20" t="s">
        <v>654</v>
      </c>
      <c r="C89" s="20" t="s">
        <v>719</v>
      </c>
      <c r="D89" s="20" t="s">
        <v>720</v>
      </c>
      <c r="E89" s="40" t="n">
        <v>14200</v>
      </c>
      <c r="F89" s="31" t="s">
        <v>87</v>
      </c>
      <c r="G89" s="20" t="str">
        <f aca="false">IFERROR(INDEX('Расчет Кплотн'!$C:$C,MATCH(F89,'Расчет Кплотн'!$A:$A,0)),"код не найден")</f>
        <v>Хобдинский район</v>
      </c>
      <c r="H89" s="20" t="s">
        <v>721</v>
      </c>
      <c r="I89" s="20" t="s">
        <v>502</v>
      </c>
      <c r="J89" s="41" t="s">
        <v>503</v>
      </c>
      <c r="K89" s="20"/>
    </row>
    <row r="90" customFormat="false" ht="30" hidden="false" customHeight="true" outlineLevel="0" collapsed="false">
      <c r="A90" s="20" t="n">
        <v>87</v>
      </c>
      <c r="B90" s="20" t="s">
        <v>654</v>
      </c>
      <c r="C90" s="20" t="s">
        <v>722</v>
      </c>
      <c r="D90" s="20" t="s">
        <v>723</v>
      </c>
      <c r="E90" s="40" t="n">
        <v>27434</v>
      </c>
      <c r="F90" s="31" t="s">
        <v>88</v>
      </c>
      <c r="G90" s="20" t="str">
        <f aca="false">IFERROR(INDEX('Расчет Кплотн'!$C:$C,MATCH(F90,'Расчет Кплотн'!$A:$A,0)),"код не найден")</f>
        <v>Мартукский район</v>
      </c>
      <c r="H90" s="20" t="s">
        <v>724</v>
      </c>
      <c r="I90" s="20" t="s">
        <v>502</v>
      </c>
      <c r="J90" s="41" t="s">
        <v>503</v>
      </c>
      <c r="K90" s="20"/>
    </row>
    <row r="91" customFormat="false" ht="30" hidden="false" customHeight="true" outlineLevel="0" collapsed="false">
      <c r="A91" s="20" t="n">
        <v>88</v>
      </c>
      <c r="B91" s="20" t="s">
        <v>654</v>
      </c>
      <c r="C91" s="20" t="s">
        <v>725</v>
      </c>
      <c r="D91" s="20" t="s">
        <v>726</v>
      </c>
      <c r="E91" s="40" t="n">
        <v>34564</v>
      </c>
      <c r="F91" s="31" t="s">
        <v>89</v>
      </c>
      <c r="G91" s="20" t="str">
        <f aca="false">IFERROR(INDEX('Расчет Кплотн'!$C:$C,MATCH(F91,'Расчет Кплотн'!$A:$A,0)),"код не найден")</f>
        <v>Мугалжарский район</v>
      </c>
      <c r="H91" s="20" t="s">
        <v>688</v>
      </c>
      <c r="I91" s="20" t="s">
        <v>502</v>
      </c>
      <c r="J91" s="41" t="s">
        <v>503</v>
      </c>
      <c r="K91" s="20"/>
    </row>
    <row r="92" customFormat="false" ht="30" hidden="false" customHeight="true" outlineLevel="0" collapsed="false">
      <c r="A92" s="20" t="n">
        <v>89</v>
      </c>
      <c r="B92" s="20" t="s">
        <v>654</v>
      </c>
      <c r="C92" s="20" t="s">
        <v>727</v>
      </c>
      <c r="D92" s="20" t="s">
        <v>728</v>
      </c>
      <c r="E92" s="40" t="n">
        <v>20039</v>
      </c>
      <c r="F92" s="31" t="s">
        <v>85</v>
      </c>
      <c r="G92" s="20" t="str">
        <f aca="false">IFERROR(INDEX('Расчет Кплотн'!$C:$C,MATCH(F92,'Расчет Кплотн'!$A:$A,0)),"код не найден")</f>
        <v>Байганинский район</v>
      </c>
      <c r="H92" s="20" t="s">
        <v>729</v>
      </c>
      <c r="I92" s="20" t="s">
        <v>502</v>
      </c>
      <c r="J92" s="41" t="s">
        <v>503</v>
      </c>
      <c r="K92" s="20"/>
    </row>
    <row r="93" customFormat="false" ht="30" hidden="false" customHeight="true" outlineLevel="0" collapsed="false">
      <c r="A93" s="20" t="n">
        <v>90</v>
      </c>
      <c r="B93" s="20" t="s">
        <v>654</v>
      </c>
      <c r="C93" s="20" t="s">
        <v>730</v>
      </c>
      <c r="D93" s="20" t="s">
        <v>731</v>
      </c>
      <c r="E93" s="40" t="n">
        <v>16236</v>
      </c>
      <c r="F93" s="31" t="s">
        <v>82</v>
      </c>
      <c r="G93" s="20" t="str">
        <f aca="false">IFERROR(INDEX('Расчет Кплотн'!$C:$C,MATCH(F93,'Расчет Кплотн'!$A:$A,0)),"код не найден")</f>
        <v>Актобе</v>
      </c>
      <c r="H93" s="20" t="s">
        <v>663</v>
      </c>
      <c r="I93" s="20" t="s">
        <v>513</v>
      </c>
      <c r="J93" s="41" t="s">
        <v>503</v>
      </c>
      <c r="K93" s="20"/>
    </row>
    <row r="94" customFormat="false" ht="30" hidden="false" customHeight="true" outlineLevel="0" collapsed="false">
      <c r="A94" s="20" t="n">
        <v>91</v>
      </c>
      <c r="B94" s="20" t="s">
        <v>654</v>
      </c>
      <c r="C94" s="20" t="s">
        <v>732</v>
      </c>
      <c r="D94" s="20" t="s">
        <v>733</v>
      </c>
      <c r="E94" s="40" t="n">
        <v>17833</v>
      </c>
      <c r="F94" s="31" t="s">
        <v>89</v>
      </c>
      <c r="G94" s="20" t="str">
        <f aca="false">IFERROR(INDEX('Расчет Кплотн'!$C:$C,MATCH(F94,'Расчет Кплотн'!$A:$A,0)),"код не найден")</f>
        <v>Мугалжарский район</v>
      </c>
      <c r="H94" s="20" t="s">
        <v>734</v>
      </c>
      <c r="I94" s="20" t="s">
        <v>502</v>
      </c>
      <c r="J94" s="41" t="s">
        <v>503</v>
      </c>
      <c r="K94" s="20"/>
    </row>
    <row r="95" customFormat="false" ht="30" hidden="false" customHeight="true" outlineLevel="0" collapsed="false">
      <c r="A95" s="20" t="n">
        <v>92</v>
      </c>
      <c r="B95" s="20" t="s">
        <v>654</v>
      </c>
      <c r="C95" s="20" t="s">
        <v>735</v>
      </c>
      <c r="D95" s="20" t="s">
        <v>736</v>
      </c>
      <c r="E95" s="40" t="n">
        <v>39066</v>
      </c>
      <c r="F95" s="31" t="s">
        <v>83</v>
      </c>
      <c r="G95" s="20" t="str">
        <f aca="false">IFERROR(INDEX('Расчет Кплотн'!$C:$C,MATCH(F95,'Расчет Кплотн'!$A:$A,0)),"код не найден")</f>
        <v>Алгинский район</v>
      </c>
      <c r="H95" s="20" t="s">
        <v>737</v>
      </c>
      <c r="I95" s="20" t="s">
        <v>502</v>
      </c>
      <c r="J95" s="41" t="s">
        <v>503</v>
      </c>
      <c r="K95" s="20"/>
    </row>
    <row r="96" customFormat="false" ht="30" hidden="false" customHeight="true" outlineLevel="0" collapsed="false">
      <c r="A96" s="20" t="n">
        <v>93</v>
      </c>
      <c r="B96" s="20" t="s">
        <v>654</v>
      </c>
      <c r="C96" s="20" t="s">
        <v>738</v>
      </c>
      <c r="D96" s="20" t="s">
        <v>739</v>
      </c>
      <c r="E96" s="40" t="n">
        <v>57555</v>
      </c>
      <c r="F96" s="31" t="s">
        <v>82</v>
      </c>
      <c r="G96" s="20" t="str">
        <f aca="false">IFERROR(INDEX('Расчет Кплотн'!$C:$C,MATCH(F96,'Расчет Кплотн'!$A:$A,0)),"код не найден")</f>
        <v>Актобе</v>
      </c>
      <c r="H96" s="20" t="s">
        <v>663</v>
      </c>
      <c r="I96" s="20" t="s">
        <v>513</v>
      </c>
      <c r="J96" s="41" t="s">
        <v>503</v>
      </c>
      <c r="K96" s="20"/>
    </row>
    <row r="97" customFormat="false" ht="30" hidden="false" customHeight="true" outlineLevel="0" collapsed="false">
      <c r="A97" s="20" t="n">
        <v>94</v>
      </c>
      <c r="B97" s="20" t="s">
        <v>654</v>
      </c>
      <c r="C97" s="20" t="s">
        <v>740</v>
      </c>
      <c r="D97" s="20" t="s">
        <v>741</v>
      </c>
      <c r="E97" s="40" t="n">
        <v>57980</v>
      </c>
      <c r="F97" s="31" t="s">
        <v>82</v>
      </c>
      <c r="G97" s="20" t="str">
        <f aca="false">IFERROR(INDEX('Расчет Кплотн'!$C:$C,MATCH(F97,'Расчет Кплотн'!$A:$A,0)),"код не найден")</f>
        <v>Актобе</v>
      </c>
      <c r="H97" s="20" t="s">
        <v>663</v>
      </c>
      <c r="I97" s="20" t="s">
        <v>513</v>
      </c>
      <c r="J97" s="41" t="s">
        <v>503</v>
      </c>
      <c r="K97" s="20"/>
    </row>
    <row r="98" customFormat="false" ht="30" hidden="false" customHeight="true" outlineLevel="0" collapsed="false">
      <c r="A98" s="20" t="n">
        <v>95</v>
      </c>
      <c r="B98" s="20" t="s">
        <v>654</v>
      </c>
      <c r="C98" s="20" t="s">
        <v>742</v>
      </c>
      <c r="D98" s="20" t="s">
        <v>743</v>
      </c>
      <c r="E98" s="40" t="n">
        <v>12279</v>
      </c>
      <c r="F98" s="31" t="s">
        <v>94</v>
      </c>
      <c r="G98" s="20" t="str">
        <f aca="false">IFERROR(INDEX('Расчет Кплотн'!$C:$C,MATCH(F98,'Расчет Кплотн'!$A:$A,0)),"код не найден")</f>
        <v>Иргизский район</v>
      </c>
      <c r="H98" s="20" t="s">
        <v>744</v>
      </c>
      <c r="I98" s="20" t="s">
        <v>502</v>
      </c>
      <c r="J98" s="41" t="s">
        <v>503</v>
      </c>
      <c r="K98" s="20"/>
    </row>
    <row r="99" customFormat="false" ht="30" hidden="false" customHeight="true" outlineLevel="0" collapsed="false">
      <c r="A99" s="20" t="n">
        <v>96</v>
      </c>
      <c r="B99" s="20" t="s">
        <v>654</v>
      </c>
      <c r="C99" s="20" t="s">
        <v>745</v>
      </c>
      <c r="D99" s="20" t="s">
        <v>746</v>
      </c>
      <c r="E99" s="40" t="n">
        <v>43916</v>
      </c>
      <c r="F99" s="31" t="s">
        <v>92</v>
      </c>
      <c r="G99" s="20" t="str">
        <f aca="false">IFERROR(INDEX('Расчет Кплотн'!$C:$C,MATCH(F99,'Расчет Кплотн'!$A:$A,0)),"код не найден")</f>
        <v>Хромтауский район</v>
      </c>
      <c r="H99" s="20" t="s">
        <v>747</v>
      </c>
      <c r="I99" s="20" t="s">
        <v>502</v>
      </c>
      <c r="J99" s="41" t="s">
        <v>503</v>
      </c>
      <c r="K99" s="20"/>
    </row>
    <row r="100" customFormat="false" ht="30" hidden="false" customHeight="true" outlineLevel="0" collapsed="false">
      <c r="A100" s="20" t="n">
        <v>97</v>
      </c>
      <c r="B100" s="20" t="s">
        <v>654</v>
      </c>
      <c r="C100" s="20" t="s">
        <v>748</v>
      </c>
      <c r="D100" s="20" t="s">
        <v>749</v>
      </c>
      <c r="E100" s="40" t="n">
        <v>14498</v>
      </c>
      <c r="F100" s="31" t="s">
        <v>86</v>
      </c>
      <c r="G100" s="20" t="str">
        <f aca="false">IFERROR(INDEX('Расчет Кплотн'!$C:$C,MATCH(F100,'Расчет Кплотн'!$A:$A,0)),"код не найден")</f>
        <v>Каргалинский район</v>
      </c>
      <c r="H100" s="20" t="s">
        <v>750</v>
      </c>
      <c r="I100" s="20" t="s">
        <v>502</v>
      </c>
      <c r="J100" s="41" t="s">
        <v>503</v>
      </c>
      <c r="K100" s="20"/>
    </row>
    <row r="101" customFormat="false" ht="30" hidden="false" customHeight="true" outlineLevel="0" collapsed="false">
      <c r="A101" s="20" t="n">
        <v>98</v>
      </c>
      <c r="B101" s="20" t="s">
        <v>751</v>
      </c>
      <c r="C101" s="20" t="s">
        <v>752</v>
      </c>
      <c r="D101" s="20"/>
      <c r="E101" s="40" t="n">
        <v>10546</v>
      </c>
      <c r="F101" s="31" t="s">
        <v>99</v>
      </c>
      <c r="G101" s="20" t="str">
        <f aca="false">IFERROR(INDEX('Расчет Кплотн'!$C:$C,MATCH(F101,'Расчет Кплотн'!$A:$A,0)),"код не найден")</f>
        <v>Жамбылский район</v>
      </c>
      <c r="H101" s="20" t="s">
        <v>753</v>
      </c>
      <c r="I101" s="20" t="s">
        <v>502</v>
      </c>
      <c r="J101" s="41" t="s">
        <v>503</v>
      </c>
      <c r="K101" s="20"/>
    </row>
    <row r="102" customFormat="false" ht="30" hidden="false" customHeight="true" outlineLevel="0" collapsed="false">
      <c r="A102" s="20" t="n">
        <v>99</v>
      </c>
      <c r="B102" s="20" t="s">
        <v>751</v>
      </c>
      <c r="C102" s="20" t="s">
        <v>754</v>
      </c>
      <c r="D102" s="20" t="s">
        <v>755</v>
      </c>
      <c r="E102" s="40" t="n">
        <v>29122</v>
      </c>
      <c r="F102" s="31" t="s">
        <v>101</v>
      </c>
      <c r="G102" s="20" t="str">
        <f aca="false">IFERROR(INDEX('Расчет Кплотн'!$C:$C,MATCH(F102,'Расчет Кплотн'!$A:$A,0)),"код не найден")</f>
        <v>Карасайский район</v>
      </c>
      <c r="H102" s="20" t="s">
        <v>756</v>
      </c>
      <c r="I102" s="20" t="s">
        <v>502</v>
      </c>
      <c r="J102" s="41" t="s">
        <v>503</v>
      </c>
      <c r="K102" s="20"/>
    </row>
    <row r="103" customFormat="false" ht="30" hidden="false" customHeight="true" outlineLevel="0" collapsed="false">
      <c r="A103" s="20" t="n">
        <v>100</v>
      </c>
      <c r="B103" s="20" t="s">
        <v>751</v>
      </c>
      <c r="C103" s="20" t="s">
        <v>757</v>
      </c>
      <c r="D103" s="20" t="s">
        <v>758</v>
      </c>
      <c r="E103" s="40" t="n">
        <v>6150</v>
      </c>
      <c r="F103" s="31" t="s">
        <v>98</v>
      </c>
      <c r="G103" s="20" t="str">
        <f aca="false">IFERROR(INDEX('Расчет Кплотн'!$C:$C,MATCH(F103,'Расчет Кплотн'!$A:$A,0)),"код не найден")</f>
        <v>Енбекшиказахский район</v>
      </c>
      <c r="H103" s="20" t="s">
        <v>759</v>
      </c>
      <c r="I103" s="20" t="s">
        <v>502</v>
      </c>
      <c r="J103" s="41" t="s">
        <v>503</v>
      </c>
      <c r="K103" s="20"/>
    </row>
    <row r="104" customFormat="false" ht="30" hidden="false" customHeight="true" outlineLevel="0" collapsed="false">
      <c r="A104" s="20" t="n">
        <v>101</v>
      </c>
      <c r="B104" s="20" t="s">
        <v>751</v>
      </c>
      <c r="C104" s="20" t="s">
        <v>760</v>
      </c>
      <c r="D104" s="20" t="s">
        <v>761</v>
      </c>
      <c r="E104" s="40" t="n">
        <v>15373</v>
      </c>
      <c r="F104" s="31" t="s">
        <v>103</v>
      </c>
      <c r="G104" s="20" t="str">
        <f aca="false">IFERROR(INDEX('Расчет Кплотн'!$C:$C,MATCH(F104,'Расчет Кплотн'!$A:$A,0)),"код не найден")</f>
        <v>Талгарский район</v>
      </c>
      <c r="H104" s="20" t="s">
        <v>762</v>
      </c>
      <c r="I104" s="20" t="s">
        <v>502</v>
      </c>
      <c r="J104" s="41" t="s">
        <v>503</v>
      </c>
      <c r="K104" s="20"/>
    </row>
    <row r="105" customFormat="false" ht="30" hidden="false" customHeight="true" outlineLevel="0" collapsed="false">
      <c r="A105" s="20" t="n">
        <v>102</v>
      </c>
      <c r="B105" s="20" t="s">
        <v>751</v>
      </c>
      <c r="C105" s="20" t="s">
        <v>763</v>
      </c>
      <c r="D105" s="20" t="s">
        <v>764</v>
      </c>
      <c r="E105" s="40" t="n">
        <v>34490</v>
      </c>
      <c r="F105" s="31" t="s">
        <v>103</v>
      </c>
      <c r="G105" s="20" t="str">
        <f aca="false">IFERROR(INDEX('Расчет Кплотн'!$C:$C,MATCH(F105,'Расчет Кплотн'!$A:$A,0)),"код не найден")</f>
        <v>Талгарский район</v>
      </c>
      <c r="H105" s="20" t="s">
        <v>762</v>
      </c>
      <c r="I105" s="20" t="s">
        <v>502</v>
      </c>
      <c r="J105" s="41" t="s">
        <v>503</v>
      </c>
      <c r="K105" s="20"/>
    </row>
    <row r="106" customFormat="false" ht="30" hidden="false" customHeight="true" outlineLevel="0" collapsed="false">
      <c r="A106" s="20" t="n">
        <v>103</v>
      </c>
      <c r="B106" s="20" t="s">
        <v>751</v>
      </c>
      <c r="C106" s="20" t="s">
        <v>765</v>
      </c>
      <c r="D106" s="20" t="s">
        <v>766</v>
      </c>
      <c r="E106" s="40" t="n">
        <v>25090</v>
      </c>
      <c r="F106" s="31" t="s">
        <v>103</v>
      </c>
      <c r="G106" s="20" t="str">
        <f aca="false">IFERROR(INDEX('Расчет Кплотн'!$C:$C,MATCH(F106,'Расчет Кплотн'!$A:$A,0)),"код не найден")</f>
        <v>Талгарский район</v>
      </c>
      <c r="H106" s="20" t="s">
        <v>767</v>
      </c>
      <c r="I106" s="20" t="s">
        <v>502</v>
      </c>
      <c r="J106" s="41" t="s">
        <v>503</v>
      </c>
      <c r="K106" s="20"/>
    </row>
    <row r="107" customFormat="false" ht="45" hidden="false" customHeight="true" outlineLevel="0" collapsed="false">
      <c r="A107" s="20" t="n">
        <v>104</v>
      </c>
      <c r="B107" s="20" t="s">
        <v>751</v>
      </c>
      <c r="C107" s="20" t="s">
        <v>768</v>
      </c>
      <c r="D107" s="20" t="s">
        <v>769</v>
      </c>
      <c r="E107" s="40" t="n">
        <v>7551</v>
      </c>
      <c r="F107" s="31" t="s">
        <v>96</v>
      </c>
      <c r="G107" s="20" t="str">
        <f aca="false">IFERROR(INDEX('Расчет Кплотн'!$C:$C,MATCH(F107,'Расчет Кплотн'!$A:$A,0)),"код не найден")</f>
        <v>Алатау</v>
      </c>
      <c r="H107" s="20" t="s">
        <v>770</v>
      </c>
      <c r="I107" s="20" t="s">
        <v>513</v>
      </c>
      <c r="J107" s="41" t="s">
        <v>771</v>
      </c>
      <c r="K107" s="20"/>
    </row>
    <row r="108" customFormat="false" ht="30" hidden="false" customHeight="true" outlineLevel="0" collapsed="false">
      <c r="A108" s="20" t="n">
        <v>105</v>
      </c>
      <c r="B108" s="20" t="s">
        <v>751</v>
      </c>
      <c r="C108" s="20" t="s">
        <v>772</v>
      </c>
      <c r="D108" s="20" t="s">
        <v>773</v>
      </c>
      <c r="E108" s="40" t="n">
        <v>8700</v>
      </c>
      <c r="F108" s="31" t="s">
        <v>95</v>
      </c>
      <c r="G108" s="20" t="str">
        <f aca="false">IFERROR(INDEX('Расчет Кплотн'!$C:$C,MATCH(F108,'Расчет Кплотн'!$A:$A,0)),"код не найден")</f>
        <v>Қонаев</v>
      </c>
      <c r="H108" s="20" t="s">
        <v>774</v>
      </c>
      <c r="I108" s="20" t="s">
        <v>513</v>
      </c>
      <c r="J108" s="41" t="s">
        <v>503</v>
      </c>
      <c r="K108" s="20"/>
    </row>
    <row r="109" customFormat="false" ht="30" hidden="false" customHeight="true" outlineLevel="0" collapsed="false">
      <c r="A109" s="20" t="n">
        <v>106</v>
      </c>
      <c r="B109" s="20" t="s">
        <v>751</v>
      </c>
      <c r="C109" s="20" t="s">
        <v>775</v>
      </c>
      <c r="D109" s="20" t="s">
        <v>776</v>
      </c>
      <c r="E109" s="40" t="n">
        <v>6800</v>
      </c>
      <c r="F109" s="31" t="s">
        <v>98</v>
      </c>
      <c r="G109" s="20" t="str">
        <f aca="false">IFERROR(INDEX('Расчет Кплотн'!$C:$C,MATCH(F109,'Расчет Кплотн'!$A:$A,0)),"код не найден")</f>
        <v>Енбекшиказахский район</v>
      </c>
      <c r="H109" s="20" t="s">
        <v>777</v>
      </c>
      <c r="I109" s="20" t="s">
        <v>502</v>
      </c>
      <c r="J109" s="41" t="s">
        <v>503</v>
      </c>
      <c r="K109" s="20"/>
    </row>
    <row r="110" customFormat="false" ht="30" hidden="false" customHeight="true" outlineLevel="0" collapsed="false">
      <c r="A110" s="20" t="n">
        <v>107</v>
      </c>
      <c r="B110" s="20" t="s">
        <v>751</v>
      </c>
      <c r="C110" s="20" t="s">
        <v>778</v>
      </c>
      <c r="D110" s="20" t="s">
        <v>779</v>
      </c>
      <c r="E110" s="40" t="n">
        <v>15110</v>
      </c>
      <c r="F110" s="31" t="s">
        <v>101</v>
      </c>
      <c r="G110" s="20" t="str">
        <f aca="false">IFERROR(INDEX('Расчет Кплотн'!$C:$C,MATCH(F110,'Расчет Кплотн'!$A:$A,0)),"код не найден")</f>
        <v>Карасайский район</v>
      </c>
      <c r="H110" s="20" t="s">
        <v>756</v>
      </c>
      <c r="I110" s="20" t="s">
        <v>502</v>
      </c>
      <c r="J110" s="41" t="s">
        <v>503</v>
      </c>
      <c r="K110" s="20"/>
    </row>
    <row r="111" customFormat="false" ht="30" hidden="false" customHeight="true" outlineLevel="0" collapsed="false">
      <c r="A111" s="20" t="n">
        <v>108</v>
      </c>
      <c r="B111" s="20" t="s">
        <v>751</v>
      </c>
      <c r="C111" s="20" t="s">
        <v>780</v>
      </c>
      <c r="D111" s="20" t="s">
        <v>781</v>
      </c>
      <c r="E111" s="40" t="n">
        <v>11909</v>
      </c>
      <c r="F111" s="31" t="s">
        <v>98</v>
      </c>
      <c r="G111" s="20" t="str">
        <f aca="false">IFERROR(INDEX('Расчет Кплотн'!$C:$C,MATCH(F111,'Расчет Кплотн'!$A:$A,0)),"код не найден")</f>
        <v>Енбекшиказахский район</v>
      </c>
      <c r="H111" s="20" t="s">
        <v>782</v>
      </c>
      <c r="I111" s="20" t="s">
        <v>502</v>
      </c>
      <c r="J111" s="41" t="s">
        <v>503</v>
      </c>
      <c r="K111" s="20"/>
    </row>
    <row r="112" customFormat="false" ht="30" hidden="false" customHeight="true" outlineLevel="0" collapsed="false">
      <c r="A112" s="20" t="n">
        <v>109</v>
      </c>
      <c r="B112" s="20" t="s">
        <v>751</v>
      </c>
      <c r="C112" s="20" t="s">
        <v>783</v>
      </c>
      <c r="D112" s="20" t="s">
        <v>784</v>
      </c>
      <c r="E112" s="40" t="n">
        <v>10798</v>
      </c>
      <c r="F112" s="31" t="s">
        <v>103</v>
      </c>
      <c r="G112" s="20" t="str">
        <f aca="false">IFERROR(INDEX('Расчет Кплотн'!$C:$C,MATCH(F112,'Расчет Кплотн'!$A:$A,0)),"код не найден")</f>
        <v>Талгарский район</v>
      </c>
      <c r="H112" s="20" t="s">
        <v>785</v>
      </c>
      <c r="I112" s="20" t="s">
        <v>502</v>
      </c>
      <c r="J112" s="41" t="s">
        <v>503</v>
      </c>
      <c r="K112" s="20"/>
    </row>
    <row r="113" customFormat="false" ht="30" hidden="false" customHeight="true" outlineLevel="0" collapsed="false">
      <c r="A113" s="20" t="n">
        <v>110</v>
      </c>
      <c r="B113" s="20" t="s">
        <v>751</v>
      </c>
      <c r="C113" s="20" t="s">
        <v>786</v>
      </c>
      <c r="D113" s="20" t="s">
        <v>787</v>
      </c>
      <c r="E113" s="40" t="n">
        <v>22519</v>
      </c>
      <c r="F113" s="31" t="s">
        <v>105</v>
      </c>
      <c r="G113" s="20" t="str">
        <f aca="false">IFERROR(INDEX('Расчет Кплотн'!$C:$C,MATCH(F113,'Расчет Кплотн'!$A:$A,0)),"код не найден")</f>
        <v>Илийский район</v>
      </c>
      <c r="H113" s="20" t="s">
        <v>788</v>
      </c>
      <c r="I113" s="20" t="s">
        <v>502</v>
      </c>
      <c r="J113" s="41" t="s">
        <v>503</v>
      </c>
      <c r="K113" s="20"/>
    </row>
    <row r="114" customFormat="false" ht="30" hidden="false" customHeight="true" outlineLevel="0" collapsed="false">
      <c r="A114" s="20" t="n">
        <v>111</v>
      </c>
      <c r="B114" s="20" t="s">
        <v>751</v>
      </c>
      <c r="C114" s="20" t="s">
        <v>789</v>
      </c>
      <c r="D114" s="20" t="s">
        <v>790</v>
      </c>
      <c r="E114" s="40" t="n">
        <v>3467</v>
      </c>
      <c r="F114" s="31" t="s">
        <v>101</v>
      </c>
      <c r="G114" s="20" t="str">
        <f aca="false">IFERROR(INDEX('Расчет Кплотн'!$C:$C,MATCH(F114,'Расчет Кплотн'!$A:$A,0)),"код не найден")</f>
        <v>Карасайский район</v>
      </c>
      <c r="H114" s="20" t="s">
        <v>756</v>
      </c>
      <c r="I114" s="20" t="s">
        <v>502</v>
      </c>
      <c r="J114" s="41" t="s">
        <v>503</v>
      </c>
      <c r="K114" s="20"/>
    </row>
    <row r="115" customFormat="false" ht="30" hidden="false" customHeight="true" outlineLevel="0" collapsed="false">
      <c r="A115" s="20" t="n">
        <v>112</v>
      </c>
      <c r="B115" s="20" t="s">
        <v>751</v>
      </c>
      <c r="C115" s="20" t="s">
        <v>791</v>
      </c>
      <c r="D115" s="20" t="s">
        <v>792</v>
      </c>
      <c r="E115" s="40" t="n">
        <v>21897</v>
      </c>
      <c r="F115" s="31" t="s">
        <v>101</v>
      </c>
      <c r="G115" s="20" t="str">
        <f aca="false">IFERROR(INDEX('Расчет Кплотн'!$C:$C,MATCH(F115,'Расчет Кплотн'!$A:$A,0)),"код не найден")</f>
        <v>Карасайский район</v>
      </c>
      <c r="H115" s="20" t="s">
        <v>756</v>
      </c>
      <c r="I115" s="20" t="s">
        <v>502</v>
      </c>
      <c r="J115" s="41" t="s">
        <v>503</v>
      </c>
      <c r="K115" s="20"/>
    </row>
    <row r="116" customFormat="false" ht="30" hidden="false" customHeight="true" outlineLevel="0" collapsed="false">
      <c r="A116" s="20" t="n">
        <v>113</v>
      </c>
      <c r="B116" s="20" t="s">
        <v>751</v>
      </c>
      <c r="C116" s="20" t="s">
        <v>793</v>
      </c>
      <c r="D116" s="20"/>
      <c r="E116" s="40" t="n">
        <v>8316</v>
      </c>
      <c r="F116" s="31" t="s">
        <v>101</v>
      </c>
      <c r="G116" s="20" t="str">
        <f aca="false">IFERROR(INDEX('Расчет Кплотн'!$C:$C,MATCH(F116,'Расчет Кплотн'!$A:$A,0)),"код не найден")</f>
        <v>Карасайский район</v>
      </c>
      <c r="H116" s="20" t="s">
        <v>794</v>
      </c>
      <c r="I116" s="20" t="s">
        <v>502</v>
      </c>
      <c r="J116" s="41" t="s">
        <v>503</v>
      </c>
      <c r="K116" s="20"/>
    </row>
    <row r="117" customFormat="false" ht="30" hidden="false" customHeight="true" outlineLevel="0" collapsed="false">
      <c r="A117" s="20" t="n">
        <v>114</v>
      </c>
      <c r="B117" s="20" t="s">
        <v>751</v>
      </c>
      <c r="C117" s="20" t="s">
        <v>795</v>
      </c>
      <c r="D117" s="20" t="s">
        <v>796</v>
      </c>
      <c r="E117" s="40" t="n">
        <v>22682</v>
      </c>
      <c r="F117" s="31" t="s">
        <v>98</v>
      </c>
      <c r="G117" s="20" t="str">
        <f aca="false">IFERROR(INDEX('Расчет Кплотн'!$C:$C,MATCH(F117,'Расчет Кплотн'!$A:$A,0)),"код не найден")</f>
        <v>Енбекшиказахский район</v>
      </c>
      <c r="H117" s="20" t="s">
        <v>777</v>
      </c>
      <c r="I117" s="20" t="s">
        <v>502</v>
      </c>
      <c r="J117" s="41" t="s">
        <v>503</v>
      </c>
      <c r="K117" s="20"/>
    </row>
    <row r="118" customFormat="false" ht="30" hidden="false" customHeight="true" outlineLevel="0" collapsed="false">
      <c r="A118" s="20" t="n">
        <v>115</v>
      </c>
      <c r="B118" s="20" t="s">
        <v>751</v>
      </c>
      <c r="C118" s="20" t="s">
        <v>797</v>
      </c>
      <c r="D118" s="20" t="s">
        <v>798</v>
      </c>
      <c r="E118" s="40" t="n">
        <v>4274</v>
      </c>
      <c r="F118" s="31" t="s">
        <v>101</v>
      </c>
      <c r="G118" s="20" t="str">
        <f aca="false">IFERROR(INDEX('Расчет Кплотн'!$C:$C,MATCH(F118,'Расчет Кплотн'!$A:$A,0)),"код не найден")</f>
        <v>Карасайский район</v>
      </c>
      <c r="H118" s="20" t="s">
        <v>756</v>
      </c>
      <c r="I118" s="20" t="s">
        <v>502</v>
      </c>
      <c r="J118" s="41" t="s">
        <v>503</v>
      </c>
      <c r="K118" s="20"/>
    </row>
    <row r="119" customFormat="false" ht="30" hidden="false" customHeight="true" outlineLevel="0" collapsed="false">
      <c r="A119" s="20" t="n">
        <v>116</v>
      </c>
      <c r="B119" s="20" t="s">
        <v>751</v>
      </c>
      <c r="C119" s="20" t="s">
        <v>799</v>
      </c>
      <c r="D119" s="20" t="s">
        <v>800</v>
      </c>
      <c r="E119" s="40" t="n">
        <v>5785</v>
      </c>
      <c r="F119" s="31" t="s">
        <v>103</v>
      </c>
      <c r="G119" s="20" t="str">
        <f aca="false">IFERROR(INDEX('Расчет Кплотн'!$C:$C,MATCH(F119,'Расчет Кплотн'!$A:$A,0)),"код не найден")</f>
        <v>Талгарский район</v>
      </c>
      <c r="H119" s="20" t="s">
        <v>801</v>
      </c>
      <c r="I119" s="20" t="s">
        <v>502</v>
      </c>
      <c r="J119" s="41" t="s">
        <v>503</v>
      </c>
      <c r="K119" s="20"/>
    </row>
    <row r="120" customFormat="false" ht="30" hidden="false" customHeight="true" outlineLevel="0" collapsed="false">
      <c r="A120" s="20" t="n">
        <v>117</v>
      </c>
      <c r="B120" s="20" t="s">
        <v>751</v>
      </c>
      <c r="C120" s="20" t="s">
        <v>802</v>
      </c>
      <c r="D120" s="20" t="s">
        <v>803</v>
      </c>
      <c r="E120" s="40" t="n">
        <v>52577</v>
      </c>
      <c r="F120" s="31" t="s">
        <v>104</v>
      </c>
      <c r="G120" s="20" t="str">
        <f aca="false">IFERROR(INDEX('Расчет Кплотн'!$C:$C,MATCH(F120,'Расчет Кплотн'!$A:$A,0)),"код не найден")</f>
        <v>Уйгурский район</v>
      </c>
      <c r="H120" s="20" t="s">
        <v>804</v>
      </c>
      <c r="I120" s="20" t="s">
        <v>502</v>
      </c>
      <c r="J120" s="41" t="s">
        <v>503</v>
      </c>
      <c r="K120" s="20"/>
    </row>
    <row r="121" customFormat="false" ht="30" hidden="false" customHeight="true" outlineLevel="0" collapsed="false">
      <c r="A121" s="20" t="n">
        <v>118</v>
      </c>
      <c r="B121" s="20" t="s">
        <v>751</v>
      </c>
      <c r="C121" s="20" t="s">
        <v>805</v>
      </c>
      <c r="D121" s="20" t="s">
        <v>806</v>
      </c>
      <c r="E121" s="40" t="n">
        <v>79776</v>
      </c>
      <c r="F121" s="31" t="s">
        <v>95</v>
      </c>
      <c r="G121" s="20" t="str">
        <f aca="false">IFERROR(INDEX('Расчет Кплотн'!$C:$C,MATCH(F121,'Расчет Кплотн'!$A:$A,0)),"код не найден")</f>
        <v>Қонаев</v>
      </c>
      <c r="H121" s="20" t="s">
        <v>774</v>
      </c>
      <c r="I121" s="20" t="s">
        <v>513</v>
      </c>
      <c r="J121" s="41" t="s">
        <v>503</v>
      </c>
      <c r="K121" s="20"/>
    </row>
    <row r="122" customFormat="false" ht="30" hidden="false" customHeight="true" outlineLevel="0" collapsed="false">
      <c r="A122" s="20" t="n">
        <v>119</v>
      </c>
      <c r="B122" s="20" t="s">
        <v>751</v>
      </c>
      <c r="C122" s="20" t="s">
        <v>807</v>
      </c>
      <c r="D122" s="20" t="s">
        <v>808</v>
      </c>
      <c r="E122" s="40" t="n">
        <v>23512</v>
      </c>
      <c r="F122" s="31" t="s">
        <v>97</v>
      </c>
      <c r="G122" s="20" t="str">
        <f aca="false">IFERROR(INDEX('Расчет Кплотн'!$C:$C,MATCH(F122,'Расчет Кплотн'!$A:$A,0)),"код не найден")</f>
        <v>Балхашский район</v>
      </c>
      <c r="H122" s="20" t="s">
        <v>809</v>
      </c>
      <c r="I122" s="20" t="s">
        <v>502</v>
      </c>
      <c r="J122" s="41" t="s">
        <v>503</v>
      </c>
      <c r="K122" s="20"/>
    </row>
    <row r="123" customFormat="false" ht="30" hidden="false" customHeight="true" outlineLevel="0" collapsed="false">
      <c r="A123" s="20" t="n">
        <v>120</v>
      </c>
      <c r="B123" s="20" t="s">
        <v>751</v>
      </c>
      <c r="C123" s="20" t="s">
        <v>810</v>
      </c>
      <c r="D123" s="20" t="s">
        <v>811</v>
      </c>
      <c r="E123" s="40" t="n">
        <v>42044</v>
      </c>
      <c r="F123" s="31" t="s">
        <v>105</v>
      </c>
      <c r="G123" s="20" t="str">
        <f aca="false">IFERROR(INDEX('Расчет Кплотн'!$C:$C,MATCH(F123,'Расчет Кплотн'!$A:$A,0)),"код не найден")</f>
        <v>Илийский район</v>
      </c>
      <c r="H123" s="20" t="s">
        <v>788</v>
      </c>
      <c r="I123" s="20" t="s">
        <v>502</v>
      </c>
      <c r="J123" s="41" t="s">
        <v>503</v>
      </c>
      <c r="K123" s="20"/>
    </row>
    <row r="124" customFormat="false" ht="30" hidden="false" customHeight="true" outlineLevel="0" collapsed="false">
      <c r="A124" s="20" t="n">
        <v>121</v>
      </c>
      <c r="B124" s="20" t="s">
        <v>751</v>
      </c>
      <c r="C124" s="20" t="s">
        <v>812</v>
      </c>
      <c r="D124" s="20" t="s">
        <v>813</v>
      </c>
      <c r="E124" s="40" t="n">
        <v>208619</v>
      </c>
      <c r="F124" s="31" t="s">
        <v>103</v>
      </c>
      <c r="G124" s="20" t="str">
        <f aca="false">IFERROR(INDEX('Расчет Кплотн'!$C:$C,MATCH(F124,'Расчет Кплотн'!$A:$A,0)),"код не найден")</f>
        <v>Талгарский район</v>
      </c>
      <c r="H124" s="20" t="s">
        <v>785</v>
      </c>
      <c r="I124" s="20" t="s">
        <v>502</v>
      </c>
      <c r="J124" s="41" t="s">
        <v>503</v>
      </c>
      <c r="K124" s="20"/>
    </row>
    <row r="125" customFormat="false" ht="30" hidden="false" customHeight="true" outlineLevel="0" collapsed="false">
      <c r="A125" s="20" t="n">
        <v>122</v>
      </c>
      <c r="B125" s="20" t="s">
        <v>751</v>
      </c>
      <c r="C125" s="20" t="s">
        <v>814</v>
      </c>
      <c r="D125" s="20" t="s">
        <v>815</v>
      </c>
      <c r="E125" s="40" t="n">
        <v>204256</v>
      </c>
      <c r="F125" s="31" t="s">
        <v>105</v>
      </c>
      <c r="G125" s="20" t="str">
        <f aca="false">IFERROR(INDEX('Расчет Кплотн'!$C:$C,MATCH(F125,'Расчет Кплотн'!$A:$A,0)),"код не найден")</f>
        <v>Илийский район</v>
      </c>
      <c r="H125" s="20" t="s">
        <v>816</v>
      </c>
      <c r="I125" s="20" t="s">
        <v>502</v>
      </c>
      <c r="J125" s="41" t="s">
        <v>503</v>
      </c>
      <c r="K125" s="20"/>
    </row>
    <row r="126" customFormat="false" ht="30" hidden="false" customHeight="true" outlineLevel="0" collapsed="false">
      <c r="A126" s="20" t="n">
        <v>123</v>
      </c>
      <c r="B126" s="20" t="s">
        <v>751</v>
      </c>
      <c r="C126" s="20" t="s">
        <v>817</v>
      </c>
      <c r="D126" s="20" t="s">
        <v>818</v>
      </c>
      <c r="E126" s="40" t="n">
        <v>162170</v>
      </c>
      <c r="F126" s="31" t="s">
        <v>98</v>
      </c>
      <c r="G126" s="20" t="str">
        <f aca="false">IFERROR(INDEX('Расчет Кплотн'!$C:$C,MATCH(F126,'Расчет Кплотн'!$A:$A,0)),"код не найден")</f>
        <v>Енбекшиказахский район</v>
      </c>
      <c r="H126" s="20" t="s">
        <v>777</v>
      </c>
      <c r="I126" s="20" t="s">
        <v>502</v>
      </c>
      <c r="J126" s="41" t="s">
        <v>503</v>
      </c>
      <c r="K126" s="20"/>
    </row>
    <row r="127" customFormat="false" ht="30" hidden="false" customHeight="true" outlineLevel="0" collapsed="false">
      <c r="A127" s="20" t="n">
        <v>124</v>
      </c>
      <c r="B127" s="20" t="s">
        <v>751</v>
      </c>
      <c r="C127" s="20" t="s">
        <v>819</v>
      </c>
      <c r="D127" s="20" t="s">
        <v>820</v>
      </c>
      <c r="E127" s="40" t="n">
        <v>77530</v>
      </c>
      <c r="F127" s="31" t="s">
        <v>98</v>
      </c>
      <c r="G127" s="20" t="str">
        <f aca="false">IFERROR(INDEX('Расчет Кплотн'!$C:$C,MATCH(F127,'Расчет Кплотн'!$A:$A,0)),"код не найден")</f>
        <v>Енбекшиказахский район</v>
      </c>
      <c r="H127" s="20" t="s">
        <v>821</v>
      </c>
      <c r="I127" s="20" t="s">
        <v>502</v>
      </c>
      <c r="J127" s="41" t="s">
        <v>503</v>
      </c>
      <c r="K127" s="20"/>
    </row>
    <row r="128" customFormat="false" ht="30" hidden="false" customHeight="true" outlineLevel="0" collapsed="false">
      <c r="A128" s="20" t="n">
        <v>125</v>
      </c>
      <c r="B128" s="20" t="s">
        <v>751</v>
      </c>
      <c r="C128" s="20" t="s">
        <v>822</v>
      </c>
      <c r="D128" s="20" t="s">
        <v>823</v>
      </c>
      <c r="E128" s="40" t="n">
        <v>293345</v>
      </c>
      <c r="F128" s="31" t="s">
        <v>101</v>
      </c>
      <c r="G128" s="20" t="str">
        <f aca="false">IFERROR(INDEX('Расчет Кплотн'!$C:$C,MATCH(F128,'Расчет Кплотн'!$A:$A,0)),"код не найден")</f>
        <v>Карасайский район</v>
      </c>
      <c r="H128" s="20" t="s">
        <v>756</v>
      </c>
      <c r="I128" s="20" t="s">
        <v>502</v>
      </c>
      <c r="J128" s="41" t="s">
        <v>503</v>
      </c>
      <c r="K128" s="20"/>
    </row>
    <row r="129" customFormat="false" ht="30" hidden="false" customHeight="true" outlineLevel="0" collapsed="false">
      <c r="A129" s="20" t="n">
        <v>126</v>
      </c>
      <c r="B129" s="20" t="s">
        <v>751</v>
      </c>
      <c r="C129" s="20" t="s">
        <v>824</v>
      </c>
      <c r="D129" s="20" t="s">
        <v>825</v>
      </c>
      <c r="E129" s="40" t="n">
        <v>22750</v>
      </c>
      <c r="F129" s="31" t="s">
        <v>100</v>
      </c>
      <c r="G129" s="20" t="str">
        <f aca="false">IFERROR(INDEX('Расчет Кплотн'!$C:$C,MATCH(F129,'Расчет Кплотн'!$A:$A,0)),"код не найден")</f>
        <v>Кегенский район</v>
      </c>
      <c r="H129" s="20" t="s">
        <v>826</v>
      </c>
      <c r="I129" s="20" t="s">
        <v>502</v>
      </c>
      <c r="J129" s="41" t="s">
        <v>827</v>
      </c>
      <c r="K129" s="20"/>
    </row>
    <row r="130" customFormat="false" ht="30" hidden="false" customHeight="true" outlineLevel="0" collapsed="false">
      <c r="A130" s="20" t="n">
        <v>127</v>
      </c>
      <c r="B130" s="20" t="s">
        <v>751</v>
      </c>
      <c r="C130" s="20" t="s">
        <v>828</v>
      </c>
      <c r="D130" s="20" t="s">
        <v>829</v>
      </c>
      <c r="E130" s="40" t="n">
        <v>26041</v>
      </c>
      <c r="F130" s="31" t="s">
        <v>102</v>
      </c>
      <c r="G130" s="20" t="str">
        <f aca="false">IFERROR(INDEX('Расчет Кплотн'!$C:$C,MATCH(F130,'Расчет Кплотн'!$A:$A,0)),"код не найден")</f>
        <v>Райымбекский район</v>
      </c>
      <c r="H130" s="20" t="s">
        <v>830</v>
      </c>
      <c r="I130" s="20" t="s">
        <v>502</v>
      </c>
      <c r="J130" s="41" t="s">
        <v>831</v>
      </c>
      <c r="K130" s="20"/>
    </row>
    <row r="131" customFormat="false" ht="30" hidden="false" customHeight="true" outlineLevel="0" collapsed="false">
      <c r="A131" s="20" t="n">
        <v>128</v>
      </c>
      <c r="B131" s="20" t="s">
        <v>751</v>
      </c>
      <c r="C131" s="20" t="s">
        <v>832</v>
      </c>
      <c r="D131" s="20" t="s">
        <v>833</v>
      </c>
      <c r="E131" s="40" t="n">
        <v>116462</v>
      </c>
      <c r="F131" s="31" t="s">
        <v>99</v>
      </c>
      <c r="G131" s="20" t="str">
        <f aca="false">IFERROR(INDEX('Расчет Кплотн'!$C:$C,MATCH(F131,'Расчет Кплотн'!$A:$A,0)),"код не найден")</f>
        <v>Жамбылский район</v>
      </c>
      <c r="H131" s="20" t="s">
        <v>753</v>
      </c>
      <c r="I131" s="20" t="s">
        <v>502</v>
      </c>
      <c r="J131" s="41" t="s">
        <v>503</v>
      </c>
      <c r="K131" s="20"/>
    </row>
    <row r="132" customFormat="false" ht="30" hidden="false" customHeight="true" outlineLevel="0" collapsed="false">
      <c r="A132" s="20" t="n">
        <v>129</v>
      </c>
      <c r="B132" s="20" t="s">
        <v>751</v>
      </c>
      <c r="C132" s="20" t="s">
        <v>834</v>
      </c>
      <c r="D132" s="20" t="s">
        <v>835</v>
      </c>
      <c r="E132" s="40" t="n">
        <v>10327</v>
      </c>
      <c r="F132" s="31" t="s">
        <v>105</v>
      </c>
      <c r="G132" s="20" t="str">
        <f aca="false">IFERROR(INDEX('Расчет Кплотн'!$C:$C,MATCH(F132,'Расчет Кплотн'!$A:$A,0)),"код не найден")</f>
        <v>Илийский район</v>
      </c>
      <c r="H132" s="20" t="s">
        <v>836</v>
      </c>
      <c r="I132" s="20" t="s">
        <v>502</v>
      </c>
      <c r="J132" s="41" t="s">
        <v>503</v>
      </c>
      <c r="K132" s="20"/>
    </row>
    <row r="133" customFormat="false" ht="30" hidden="false" customHeight="true" outlineLevel="0" collapsed="false">
      <c r="A133" s="20" t="n">
        <v>130</v>
      </c>
      <c r="B133" s="20" t="s">
        <v>751</v>
      </c>
      <c r="C133" s="20" t="s">
        <v>837</v>
      </c>
      <c r="D133" s="20" t="s">
        <v>838</v>
      </c>
      <c r="E133" s="40" t="n">
        <v>41455</v>
      </c>
      <c r="F133" s="31" t="s">
        <v>99</v>
      </c>
      <c r="G133" s="20" t="str">
        <f aca="false">IFERROR(INDEX('Расчет Кплотн'!$C:$C,MATCH(F133,'Расчет Кплотн'!$A:$A,0)),"код не найден")</f>
        <v>Жамбылский район</v>
      </c>
      <c r="H133" s="20" t="s">
        <v>839</v>
      </c>
      <c r="I133" s="20" t="s">
        <v>502</v>
      </c>
      <c r="J133" s="41" t="s">
        <v>503</v>
      </c>
      <c r="K133" s="20"/>
    </row>
    <row r="134" customFormat="false" ht="30" hidden="false" customHeight="true" outlineLevel="0" collapsed="false">
      <c r="A134" s="20" t="n">
        <v>131</v>
      </c>
      <c r="B134" s="20" t="s">
        <v>840</v>
      </c>
      <c r="C134" s="20" t="s">
        <v>841</v>
      </c>
      <c r="D134" s="20" t="s">
        <v>842</v>
      </c>
      <c r="E134" s="40" t="n">
        <v>5320</v>
      </c>
      <c r="F134" s="31" t="s">
        <v>260</v>
      </c>
      <c r="G134" s="20" t="str">
        <f aca="false">IFERROR(INDEX('Расчет Кплотн'!$C:$C,MATCH(F134,'Расчет Кплотн'!$A:$A,0)),"код не найден")</f>
        <v>г. Алматы</v>
      </c>
      <c r="H134" s="20" t="s">
        <v>843</v>
      </c>
      <c r="I134" s="20" t="s">
        <v>513</v>
      </c>
      <c r="J134" s="41" t="s">
        <v>503</v>
      </c>
      <c r="K134" s="20"/>
    </row>
    <row r="135" customFormat="false" ht="30" hidden="false" customHeight="true" outlineLevel="0" collapsed="false">
      <c r="A135" s="20" t="n">
        <v>132</v>
      </c>
      <c r="B135" s="20" t="s">
        <v>840</v>
      </c>
      <c r="C135" s="20" t="s">
        <v>844</v>
      </c>
      <c r="D135" s="20" t="s">
        <v>845</v>
      </c>
      <c r="E135" s="40" t="n">
        <v>7911</v>
      </c>
      <c r="F135" s="31" t="s">
        <v>260</v>
      </c>
      <c r="G135" s="20" t="str">
        <f aca="false">IFERROR(INDEX('Расчет Кплотн'!$C:$C,MATCH(F135,'Расчет Кплотн'!$A:$A,0)),"код не найден")</f>
        <v>г. Алматы</v>
      </c>
      <c r="H135" s="20" t="s">
        <v>846</v>
      </c>
      <c r="I135" s="20" t="s">
        <v>513</v>
      </c>
      <c r="J135" s="41" t="s">
        <v>503</v>
      </c>
      <c r="K135" s="20"/>
    </row>
    <row r="136" customFormat="false" ht="30" hidden="false" customHeight="true" outlineLevel="0" collapsed="false">
      <c r="A136" s="20" t="n">
        <v>133</v>
      </c>
      <c r="B136" s="20" t="s">
        <v>840</v>
      </c>
      <c r="C136" s="20" t="s">
        <v>847</v>
      </c>
      <c r="D136" s="20" t="s">
        <v>848</v>
      </c>
      <c r="E136" s="40" t="n">
        <v>7234</v>
      </c>
      <c r="F136" s="31" t="s">
        <v>260</v>
      </c>
      <c r="G136" s="20" t="str">
        <f aca="false">IFERROR(INDEX('Расчет Кплотн'!$C:$C,MATCH(F136,'Расчет Кплотн'!$A:$A,0)),"код не найден")</f>
        <v>г. Алматы</v>
      </c>
      <c r="H136" s="20" t="s">
        <v>846</v>
      </c>
      <c r="I136" s="20" t="s">
        <v>513</v>
      </c>
      <c r="J136" s="41" t="s">
        <v>503</v>
      </c>
      <c r="K136" s="20"/>
    </row>
    <row r="137" customFormat="false" ht="30" hidden="false" customHeight="true" outlineLevel="0" collapsed="false">
      <c r="A137" s="20" t="n">
        <v>134</v>
      </c>
      <c r="B137" s="20" t="s">
        <v>840</v>
      </c>
      <c r="C137" s="20" t="s">
        <v>849</v>
      </c>
      <c r="D137" s="20" t="s">
        <v>850</v>
      </c>
      <c r="E137" s="40" t="n">
        <v>13704</v>
      </c>
      <c r="F137" s="31" t="s">
        <v>260</v>
      </c>
      <c r="G137" s="20" t="str">
        <f aca="false">IFERROR(INDEX('Расчет Кплотн'!$C:$C,MATCH(F137,'Расчет Кплотн'!$A:$A,0)),"код не найден")</f>
        <v>г. Алматы</v>
      </c>
      <c r="H137" s="20" t="s">
        <v>846</v>
      </c>
      <c r="I137" s="20" t="s">
        <v>513</v>
      </c>
      <c r="J137" s="41" t="s">
        <v>503</v>
      </c>
      <c r="K137" s="20"/>
    </row>
    <row r="138" customFormat="false" ht="30" hidden="false" customHeight="true" outlineLevel="0" collapsed="false">
      <c r="A138" s="20" t="n">
        <v>135</v>
      </c>
      <c r="B138" s="20" t="s">
        <v>840</v>
      </c>
      <c r="C138" s="20" t="s">
        <v>851</v>
      </c>
      <c r="D138" s="20" t="s">
        <v>852</v>
      </c>
      <c r="E138" s="40" t="n">
        <v>24730</v>
      </c>
      <c r="F138" s="31" t="s">
        <v>260</v>
      </c>
      <c r="G138" s="20" t="str">
        <f aca="false">IFERROR(INDEX('Расчет Кплотн'!$C:$C,MATCH(F138,'Расчет Кплотн'!$A:$A,0)),"код не найден")</f>
        <v>г. Алматы</v>
      </c>
      <c r="H138" s="20" t="s">
        <v>853</v>
      </c>
      <c r="I138" s="20" t="s">
        <v>513</v>
      </c>
      <c r="J138" s="41" t="s">
        <v>503</v>
      </c>
      <c r="K138" s="20"/>
    </row>
    <row r="139" customFormat="false" ht="30" hidden="false" customHeight="true" outlineLevel="0" collapsed="false">
      <c r="A139" s="20" t="n">
        <v>136</v>
      </c>
      <c r="B139" s="20" t="s">
        <v>840</v>
      </c>
      <c r="C139" s="20" t="s">
        <v>854</v>
      </c>
      <c r="D139" s="20" t="s">
        <v>855</v>
      </c>
      <c r="E139" s="40" t="n">
        <v>11946</v>
      </c>
      <c r="F139" s="31" t="s">
        <v>260</v>
      </c>
      <c r="G139" s="20" t="str">
        <f aca="false">IFERROR(INDEX('Расчет Кплотн'!$C:$C,MATCH(F139,'Расчет Кплотн'!$A:$A,0)),"код не найден")</f>
        <v>г. Алматы</v>
      </c>
      <c r="H139" s="20" t="s">
        <v>856</v>
      </c>
      <c r="I139" s="20" t="s">
        <v>513</v>
      </c>
      <c r="J139" s="41" t="s">
        <v>503</v>
      </c>
      <c r="K139" s="20"/>
    </row>
    <row r="140" customFormat="false" ht="30" hidden="false" customHeight="true" outlineLevel="0" collapsed="false">
      <c r="A140" s="20" t="n">
        <v>137</v>
      </c>
      <c r="B140" s="20" t="s">
        <v>840</v>
      </c>
      <c r="C140" s="20" t="s">
        <v>760</v>
      </c>
      <c r="D140" s="20"/>
      <c r="E140" s="40" t="n">
        <v>10059</v>
      </c>
      <c r="F140" s="31" t="s">
        <v>260</v>
      </c>
      <c r="G140" s="20" t="str">
        <f aca="false">IFERROR(INDEX('Расчет Кплотн'!$C:$C,MATCH(F140,'Расчет Кплотн'!$A:$A,0)),"код не найден")</f>
        <v>г. Алматы</v>
      </c>
      <c r="H140" s="20" t="s">
        <v>846</v>
      </c>
      <c r="I140" s="20" t="s">
        <v>513</v>
      </c>
      <c r="J140" s="41" t="s">
        <v>503</v>
      </c>
      <c r="K140" s="20"/>
    </row>
    <row r="141" customFormat="false" ht="30" hidden="false" customHeight="true" outlineLevel="0" collapsed="false">
      <c r="A141" s="20" t="n">
        <v>138</v>
      </c>
      <c r="B141" s="20" t="s">
        <v>840</v>
      </c>
      <c r="C141" s="20" t="s">
        <v>857</v>
      </c>
      <c r="D141" s="20" t="s">
        <v>858</v>
      </c>
      <c r="E141" s="40" t="n">
        <v>19958</v>
      </c>
      <c r="F141" s="31" t="s">
        <v>260</v>
      </c>
      <c r="G141" s="20" t="str">
        <f aca="false">IFERROR(INDEX('Расчет Кплотн'!$C:$C,MATCH(F141,'Расчет Кплотн'!$A:$A,0)),"код не найден")</f>
        <v>г. Алматы</v>
      </c>
      <c r="H141" s="20" t="s">
        <v>859</v>
      </c>
      <c r="I141" s="20" t="s">
        <v>513</v>
      </c>
      <c r="J141" s="41" t="s">
        <v>503</v>
      </c>
      <c r="K141" s="20"/>
    </row>
    <row r="142" customFormat="false" ht="30" hidden="false" customHeight="true" outlineLevel="0" collapsed="false">
      <c r="A142" s="20" t="n">
        <v>139</v>
      </c>
      <c r="B142" s="20" t="s">
        <v>840</v>
      </c>
      <c r="C142" s="20" t="s">
        <v>860</v>
      </c>
      <c r="D142" s="20" t="s">
        <v>861</v>
      </c>
      <c r="E142" s="40" t="n">
        <v>10598</v>
      </c>
      <c r="F142" s="31" t="s">
        <v>260</v>
      </c>
      <c r="G142" s="20" t="str">
        <f aca="false">IFERROR(INDEX('Расчет Кплотн'!$C:$C,MATCH(F142,'Расчет Кплотн'!$A:$A,0)),"код не найден")</f>
        <v>г. Алматы</v>
      </c>
      <c r="H142" s="20" t="s">
        <v>859</v>
      </c>
      <c r="I142" s="20" t="s">
        <v>513</v>
      </c>
      <c r="J142" s="41" t="s">
        <v>503</v>
      </c>
      <c r="K142" s="20"/>
    </row>
    <row r="143" customFormat="false" ht="30" hidden="false" customHeight="true" outlineLevel="0" collapsed="false">
      <c r="A143" s="20" t="n">
        <v>140</v>
      </c>
      <c r="B143" s="20" t="s">
        <v>840</v>
      </c>
      <c r="C143" s="20" t="s">
        <v>862</v>
      </c>
      <c r="D143" s="20" t="s">
        <v>863</v>
      </c>
      <c r="E143" s="40" t="n">
        <v>36641</v>
      </c>
      <c r="F143" s="31" t="s">
        <v>260</v>
      </c>
      <c r="G143" s="20" t="str">
        <f aca="false">IFERROR(INDEX('Расчет Кплотн'!$C:$C,MATCH(F143,'Расчет Кплотн'!$A:$A,0)),"код не найден")</f>
        <v>г. Алматы</v>
      </c>
      <c r="H143" s="20" t="s">
        <v>864</v>
      </c>
      <c r="I143" s="20" t="s">
        <v>513</v>
      </c>
      <c r="J143" s="41" t="s">
        <v>503</v>
      </c>
      <c r="K143" s="20"/>
    </row>
    <row r="144" customFormat="false" ht="30" hidden="false" customHeight="true" outlineLevel="0" collapsed="false">
      <c r="A144" s="20" t="n">
        <v>141</v>
      </c>
      <c r="B144" s="20" t="s">
        <v>840</v>
      </c>
      <c r="C144" s="20" t="s">
        <v>865</v>
      </c>
      <c r="D144" s="20" t="s">
        <v>866</v>
      </c>
      <c r="E144" s="40" t="n">
        <v>23234</v>
      </c>
      <c r="F144" s="31" t="s">
        <v>260</v>
      </c>
      <c r="G144" s="20" t="str">
        <f aca="false">IFERROR(INDEX('Расчет Кплотн'!$C:$C,MATCH(F144,'Расчет Кплотн'!$A:$A,0)),"код не найден")</f>
        <v>г. Алматы</v>
      </c>
      <c r="H144" s="20" t="s">
        <v>846</v>
      </c>
      <c r="I144" s="20" t="s">
        <v>513</v>
      </c>
      <c r="J144" s="41" t="s">
        <v>503</v>
      </c>
      <c r="K144" s="20"/>
    </row>
    <row r="145" customFormat="false" ht="30" hidden="false" customHeight="true" outlineLevel="0" collapsed="false">
      <c r="A145" s="20" t="n">
        <v>142</v>
      </c>
      <c r="B145" s="20" t="s">
        <v>840</v>
      </c>
      <c r="C145" s="20" t="s">
        <v>867</v>
      </c>
      <c r="D145" s="20" t="s">
        <v>868</v>
      </c>
      <c r="E145" s="40" t="n">
        <v>4756</v>
      </c>
      <c r="F145" s="31" t="s">
        <v>260</v>
      </c>
      <c r="G145" s="20" t="str">
        <f aca="false">IFERROR(INDEX('Расчет Кплотн'!$C:$C,MATCH(F145,'Расчет Кплотн'!$A:$A,0)),"код не найден")</f>
        <v>г. Алматы</v>
      </c>
      <c r="H145" s="20" t="s">
        <v>859</v>
      </c>
      <c r="I145" s="20" t="s">
        <v>513</v>
      </c>
      <c r="J145" s="41" t="s">
        <v>503</v>
      </c>
      <c r="K145" s="20"/>
    </row>
    <row r="146" customFormat="false" ht="30" hidden="false" customHeight="true" outlineLevel="0" collapsed="false">
      <c r="A146" s="20" t="n">
        <v>143</v>
      </c>
      <c r="B146" s="20" t="s">
        <v>840</v>
      </c>
      <c r="C146" s="20" t="s">
        <v>869</v>
      </c>
      <c r="D146" s="20" t="s">
        <v>870</v>
      </c>
      <c r="E146" s="40" t="n">
        <v>2086</v>
      </c>
      <c r="F146" s="31" t="s">
        <v>260</v>
      </c>
      <c r="G146" s="20" t="str">
        <f aca="false">IFERROR(INDEX('Расчет Кплотн'!$C:$C,MATCH(F146,'Расчет Кплотн'!$A:$A,0)),"код не найден")</f>
        <v>г. Алматы</v>
      </c>
      <c r="H146" s="20" t="s">
        <v>864</v>
      </c>
      <c r="I146" s="20" t="s">
        <v>513</v>
      </c>
      <c r="J146" s="41" t="s">
        <v>503</v>
      </c>
      <c r="K146" s="20"/>
    </row>
    <row r="147" customFormat="false" ht="30" hidden="false" customHeight="true" outlineLevel="0" collapsed="false">
      <c r="A147" s="20" t="n">
        <v>144</v>
      </c>
      <c r="B147" s="20" t="s">
        <v>840</v>
      </c>
      <c r="C147" s="20" t="s">
        <v>871</v>
      </c>
      <c r="D147" s="20" t="s">
        <v>872</v>
      </c>
      <c r="E147" s="40" t="n">
        <v>17572</v>
      </c>
      <c r="F147" s="31" t="s">
        <v>260</v>
      </c>
      <c r="G147" s="20" t="str">
        <f aca="false">IFERROR(INDEX('Расчет Кплотн'!$C:$C,MATCH(F147,'Расчет Кплотн'!$A:$A,0)),"код не найден")</f>
        <v>г. Алматы</v>
      </c>
      <c r="H147" s="20" t="s">
        <v>846</v>
      </c>
      <c r="I147" s="20" t="s">
        <v>513</v>
      </c>
      <c r="J147" s="41" t="s">
        <v>503</v>
      </c>
      <c r="K147" s="20"/>
    </row>
    <row r="148" customFormat="false" ht="45" hidden="false" customHeight="true" outlineLevel="0" collapsed="false">
      <c r="A148" s="20" t="n">
        <v>145</v>
      </c>
      <c r="B148" s="20" t="s">
        <v>840</v>
      </c>
      <c r="C148" s="20" t="s">
        <v>873</v>
      </c>
      <c r="D148" s="20" t="s">
        <v>874</v>
      </c>
      <c r="E148" s="40" t="n">
        <v>64039</v>
      </c>
      <c r="F148" s="31" t="s">
        <v>260</v>
      </c>
      <c r="G148" s="20" t="str">
        <f aca="false">IFERROR(INDEX('Расчет Кплотн'!$C:$C,MATCH(F148,'Расчет Кплотн'!$A:$A,0)),"код не найден")</f>
        <v>г. Алматы</v>
      </c>
      <c r="H148" s="20" t="s">
        <v>875</v>
      </c>
      <c r="I148" s="20" t="s">
        <v>513</v>
      </c>
      <c r="J148" s="41" t="s">
        <v>876</v>
      </c>
      <c r="K148" s="20"/>
    </row>
    <row r="149" customFormat="false" ht="30" hidden="false" customHeight="true" outlineLevel="0" collapsed="false">
      <c r="A149" s="20" t="n">
        <v>146</v>
      </c>
      <c r="B149" s="20" t="s">
        <v>840</v>
      </c>
      <c r="C149" s="20" t="s">
        <v>877</v>
      </c>
      <c r="D149" s="20" t="s">
        <v>878</v>
      </c>
      <c r="E149" s="40" t="n">
        <v>14169</v>
      </c>
      <c r="F149" s="31" t="s">
        <v>260</v>
      </c>
      <c r="G149" s="20" t="str">
        <f aca="false">IFERROR(INDEX('Расчет Кплотн'!$C:$C,MATCH(F149,'Расчет Кплотн'!$A:$A,0)),"код не найден")</f>
        <v>г. Алматы</v>
      </c>
      <c r="H149" s="20" t="s">
        <v>859</v>
      </c>
      <c r="I149" s="20" t="s">
        <v>513</v>
      </c>
      <c r="J149" s="41" t="s">
        <v>503</v>
      </c>
      <c r="K149" s="20"/>
    </row>
    <row r="150" customFormat="false" ht="30" hidden="false" customHeight="true" outlineLevel="0" collapsed="false">
      <c r="A150" s="20" t="n">
        <v>147</v>
      </c>
      <c r="B150" s="20" t="s">
        <v>840</v>
      </c>
      <c r="C150" s="20" t="s">
        <v>879</v>
      </c>
      <c r="D150" s="20" t="s">
        <v>880</v>
      </c>
      <c r="E150" s="40" t="n">
        <v>6591</v>
      </c>
      <c r="F150" s="31" t="s">
        <v>260</v>
      </c>
      <c r="G150" s="20" t="str">
        <f aca="false">IFERROR(INDEX('Расчет Кплотн'!$C:$C,MATCH(F150,'Расчет Кплотн'!$A:$A,0)),"код не найден")</f>
        <v>г. Алматы</v>
      </c>
      <c r="H150" s="20" t="s">
        <v>846</v>
      </c>
      <c r="I150" s="20" t="s">
        <v>513</v>
      </c>
      <c r="J150" s="41" t="s">
        <v>503</v>
      </c>
      <c r="K150" s="20"/>
    </row>
    <row r="151" customFormat="false" ht="30" hidden="false" customHeight="true" outlineLevel="0" collapsed="false">
      <c r="A151" s="20" t="n">
        <v>148</v>
      </c>
      <c r="B151" s="20" t="s">
        <v>840</v>
      </c>
      <c r="C151" s="20" t="s">
        <v>881</v>
      </c>
      <c r="D151" s="20" t="s">
        <v>882</v>
      </c>
      <c r="E151" s="40" t="n">
        <v>11682</v>
      </c>
      <c r="F151" s="31" t="s">
        <v>260</v>
      </c>
      <c r="G151" s="20" t="str">
        <f aca="false">IFERROR(INDEX('Расчет Кплотн'!$C:$C,MATCH(F151,'Расчет Кплотн'!$A:$A,0)),"код не найден")</f>
        <v>г. Алматы</v>
      </c>
      <c r="H151" s="20" t="s">
        <v>883</v>
      </c>
      <c r="I151" s="20" t="s">
        <v>513</v>
      </c>
      <c r="J151" s="41" t="s">
        <v>503</v>
      </c>
      <c r="K151" s="20"/>
    </row>
    <row r="152" customFormat="false" ht="30" hidden="false" customHeight="true" outlineLevel="0" collapsed="false">
      <c r="A152" s="20" t="n">
        <v>149</v>
      </c>
      <c r="B152" s="20" t="s">
        <v>840</v>
      </c>
      <c r="C152" s="20" t="s">
        <v>884</v>
      </c>
      <c r="D152" s="20" t="s">
        <v>885</v>
      </c>
      <c r="E152" s="40" t="n">
        <v>18022</v>
      </c>
      <c r="F152" s="31" t="s">
        <v>260</v>
      </c>
      <c r="G152" s="20" t="str">
        <f aca="false">IFERROR(INDEX('Расчет Кплотн'!$C:$C,MATCH(F152,'Расчет Кплотн'!$A:$A,0)),"код не найден")</f>
        <v>г. Алматы</v>
      </c>
      <c r="H152" s="20" t="s">
        <v>886</v>
      </c>
      <c r="I152" s="20" t="s">
        <v>513</v>
      </c>
      <c r="J152" s="41" t="s">
        <v>503</v>
      </c>
      <c r="K152" s="20"/>
    </row>
    <row r="153" customFormat="false" ht="30" hidden="false" customHeight="true" outlineLevel="0" collapsed="false">
      <c r="A153" s="20" t="n">
        <v>150</v>
      </c>
      <c r="B153" s="20" t="s">
        <v>840</v>
      </c>
      <c r="C153" s="20" t="s">
        <v>887</v>
      </c>
      <c r="D153" s="20" t="s">
        <v>888</v>
      </c>
      <c r="E153" s="40" t="n">
        <v>13428</v>
      </c>
      <c r="F153" s="31" t="s">
        <v>260</v>
      </c>
      <c r="G153" s="20" t="str">
        <f aca="false">IFERROR(INDEX('Расчет Кплотн'!$C:$C,MATCH(F153,'Расчет Кплотн'!$A:$A,0)),"код не найден")</f>
        <v>г. Алматы</v>
      </c>
      <c r="H153" s="20" t="s">
        <v>859</v>
      </c>
      <c r="I153" s="20" t="s">
        <v>513</v>
      </c>
      <c r="J153" s="41" t="s">
        <v>503</v>
      </c>
      <c r="K153" s="20"/>
    </row>
    <row r="154" customFormat="false" ht="30" hidden="false" customHeight="true" outlineLevel="0" collapsed="false">
      <c r="A154" s="20" t="n">
        <v>151</v>
      </c>
      <c r="B154" s="20" t="s">
        <v>840</v>
      </c>
      <c r="C154" s="20" t="s">
        <v>889</v>
      </c>
      <c r="D154" s="20" t="s">
        <v>890</v>
      </c>
      <c r="E154" s="40" t="n">
        <v>25722</v>
      </c>
      <c r="F154" s="31" t="s">
        <v>260</v>
      </c>
      <c r="G154" s="20" t="str">
        <f aca="false">IFERROR(INDEX('Расчет Кплотн'!$C:$C,MATCH(F154,'Расчет Кплотн'!$A:$A,0)),"код не найден")</f>
        <v>г. Алматы</v>
      </c>
      <c r="H154" s="20" t="s">
        <v>859</v>
      </c>
      <c r="I154" s="20" t="s">
        <v>513</v>
      </c>
      <c r="J154" s="41" t="s">
        <v>503</v>
      </c>
      <c r="K154" s="20"/>
    </row>
    <row r="155" customFormat="false" ht="30" hidden="false" customHeight="true" outlineLevel="0" collapsed="false">
      <c r="A155" s="20" t="n">
        <v>152</v>
      </c>
      <c r="B155" s="20" t="s">
        <v>840</v>
      </c>
      <c r="C155" s="20" t="s">
        <v>891</v>
      </c>
      <c r="D155" s="20" t="s">
        <v>892</v>
      </c>
      <c r="E155" s="40" t="n">
        <v>40145</v>
      </c>
      <c r="F155" s="31" t="s">
        <v>260</v>
      </c>
      <c r="G155" s="20" t="str">
        <f aca="false">IFERROR(INDEX('Расчет Кплотн'!$C:$C,MATCH(F155,'Расчет Кплотн'!$A:$A,0)),"код не найден")</f>
        <v>г. Алматы</v>
      </c>
      <c r="H155" s="20" t="s">
        <v>859</v>
      </c>
      <c r="I155" s="20" t="s">
        <v>513</v>
      </c>
      <c r="J155" s="41" t="s">
        <v>503</v>
      </c>
      <c r="K155" s="20"/>
    </row>
    <row r="156" customFormat="false" ht="30" hidden="false" customHeight="true" outlineLevel="0" collapsed="false">
      <c r="A156" s="20" t="n">
        <v>153</v>
      </c>
      <c r="B156" s="20" t="s">
        <v>840</v>
      </c>
      <c r="C156" s="20" t="s">
        <v>893</v>
      </c>
      <c r="D156" s="20" t="s">
        <v>894</v>
      </c>
      <c r="E156" s="40" t="n">
        <v>18667</v>
      </c>
      <c r="F156" s="31" t="s">
        <v>260</v>
      </c>
      <c r="G156" s="20" t="str">
        <f aca="false">IFERROR(INDEX('Расчет Кплотн'!$C:$C,MATCH(F156,'Расчет Кплотн'!$A:$A,0)),"код не найден")</f>
        <v>г. Алматы</v>
      </c>
      <c r="H156" s="20" t="s">
        <v>859</v>
      </c>
      <c r="I156" s="20" t="s">
        <v>513</v>
      </c>
      <c r="J156" s="41" t="s">
        <v>503</v>
      </c>
      <c r="K156" s="20"/>
    </row>
    <row r="157" customFormat="false" ht="30" hidden="false" customHeight="true" outlineLevel="0" collapsed="false">
      <c r="A157" s="20" t="n">
        <v>154</v>
      </c>
      <c r="B157" s="20" t="s">
        <v>840</v>
      </c>
      <c r="C157" s="20" t="s">
        <v>895</v>
      </c>
      <c r="D157" s="20" t="s">
        <v>896</v>
      </c>
      <c r="E157" s="40" t="n">
        <v>4203</v>
      </c>
      <c r="F157" s="31" t="s">
        <v>260</v>
      </c>
      <c r="G157" s="20" t="str">
        <f aca="false">IFERROR(INDEX('Расчет Кплотн'!$C:$C,MATCH(F157,'Расчет Кплотн'!$A:$A,0)),"код не найден")</f>
        <v>г. Алматы</v>
      </c>
      <c r="H157" s="20" t="s">
        <v>859</v>
      </c>
      <c r="I157" s="20" t="s">
        <v>513</v>
      </c>
      <c r="J157" s="41" t="s">
        <v>503</v>
      </c>
      <c r="K157" s="20"/>
    </row>
    <row r="158" customFormat="false" ht="30" hidden="false" customHeight="true" outlineLevel="0" collapsed="false">
      <c r="A158" s="20" t="n">
        <v>155</v>
      </c>
      <c r="B158" s="20" t="s">
        <v>840</v>
      </c>
      <c r="C158" s="20" t="s">
        <v>897</v>
      </c>
      <c r="D158" s="20" t="s">
        <v>898</v>
      </c>
      <c r="E158" s="40" t="n">
        <v>4766</v>
      </c>
      <c r="F158" s="31" t="s">
        <v>260</v>
      </c>
      <c r="G158" s="20" t="str">
        <f aca="false">IFERROR(INDEX('Расчет Кплотн'!$C:$C,MATCH(F158,'Расчет Кплотн'!$A:$A,0)),"код не найден")</f>
        <v>г. Алматы</v>
      </c>
      <c r="H158" s="20" t="s">
        <v>853</v>
      </c>
      <c r="I158" s="20" t="s">
        <v>513</v>
      </c>
      <c r="J158" s="41" t="s">
        <v>503</v>
      </c>
      <c r="K158" s="20"/>
    </row>
    <row r="159" customFormat="false" ht="30" hidden="false" customHeight="true" outlineLevel="0" collapsed="false">
      <c r="A159" s="20" t="n">
        <v>156</v>
      </c>
      <c r="B159" s="20" t="s">
        <v>840</v>
      </c>
      <c r="C159" s="20" t="s">
        <v>899</v>
      </c>
      <c r="D159" s="20" t="s">
        <v>900</v>
      </c>
      <c r="E159" s="40" t="n">
        <v>11996</v>
      </c>
      <c r="F159" s="31" t="s">
        <v>260</v>
      </c>
      <c r="G159" s="20" t="str">
        <f aca="false">IFERROR(INDEX('Расчет Кплотн'!$C:$C,MATCH(F159,'Расчет Кплотн'!$A:$A,0)),"код не найден")</f>
        <v>г. Алматы</v>
      </c>
      <c r="H159" s="20" t="s">
        <v>843</v>
      </c>
      <c r="I159" s="20" t="s">
        <v>513</v>
      </c>
      <c r="J159" s="41" t="s">
        <v>503</v>
      </c>
      <c r="K159" s="20"/>
    </row>
    <row r="160" customFormat="false" ht="30" hidden="false" customHeight="true" outlineLevel="0" collapsed="false">
      <c r="A160" s="20" t="n">
        <v>157</v>
      </c>
      <c r="B160" s="20" t="s">
        <v>840</v>
      </c>
      <c r="C160" s="20" t="s">
        <v>901</v>
      </c>
      <c r="D160" s="20" t="s">
        <v>902</v>
      </c>
      <c r="E160" s="40" t="n">
        <v>15985</v>
      </c>
      <c r="F160" s="31" t="s">
        <v>260</v>
      </c>
      <c r="G160" s="20" t="str">
        <f aca="false">IFERROR(INDEX('Расчет Кплотн'!$C:$C,MATCH(F160,'Расчет Кплотн'!$A:$A,0)),"код не найден")</f>
        <v>г. Алматы</v>
      </c>
      <c r="H160" s="20" t="s">
        <v>843</v>
      </c>
      <c r="I160" s="20" t="s">
        <v>513</v>
      </c>
      <c r="J160" s="41" t="s">
        <v>503</v>
      </c>
      <c r="K160" s="20"/>
    </row>
    <row r="161" customFormat="false" ht="30" hidden="false" customHeight="true" outlineLevel="0" collapsed="false">
      <c r="A161" s="20" t="n">
        <v>158</v>
      </c>
      <c r="B161" s="20" t="s">
        <v>840</v>
      </c>
      <c r="C161" s="20" t="s">
        <v>903</v>
      </c>
      <c r="D161" s="20" t="s">
        <v>904</v>
      </c>
      <c r="E161" s="40" t="n">
        <v>49952</v>
      </c>
      <c r="F161" s="31" t="s">
        <v>260</v>
      </c>
      <c r="G161" s="20" t="str">
        <f aca="false">IFERROR(INDEX('Расчет Кплотн'!$C:$C,MATCH(F161,'Расчет Кплотн'!$A:$A,0)),"код не найден")</f>
        <v>г. Алматы</v>
      </c>
      <c r="H161" s="20" t="s">
        <v>846</v>
      </c>
      <c r="I161" s="20" t="s">
        <v>513</v>
      </c>
      <c r="J161" s="41" t="s">
        <v>503</v>
      </c>
      <c r="K161" s="20"/>
    </row>
    <row r="162" customFormat="false" ht="30" hidden="false" customHeight="true" outlineLevel="0" collapsed="false">
      <c r="A162" s="20" t="n">
        <v>159</v>
      </c>
      <c r="B162" s="20" t="s">
        <v>840</v>
      </c>
      <c r="C162" s="20" t="s">
        <v>905</v>
      </c>
      <c r="D162" s="20" t="s">
        <v>906</v>
      </c>
      <c r="E162" s="40" t="n">
        <v>10194</v>
      </c>
      <c r="F162" s="31" t="s">
        <v>260</v>
      </c>
      <c r="G162" s="20" t="str">
        <f aca="false">IFERROR(INDEX('Расчет Кплотн'!$C:$C,MATCH(F162,'Расчет Кплотн'!$A:$A,0)),"код не найден")</f>
        <v>г. Алматы</v>
      </c>
      <c r="H162" s="20" t="s">
        <v>843</v>
      </c>
      <c r="I162" s="20" t="s">
        <v>513</v>
      </c>
      <c r="J162" s="41" t="s">
        <v>503</v>
      </c>
      <c r="K162" s="20"/>
    </row>
    <row r="163" customFormat="false" ht="30" hidden="false" customHeight="true" outlineLevel="0" collapsed="false">
      <c r="A163" s="20" t="n">
        <v>160</v>
      </c>
      <c r="B163" s="20" t="s">
        <v>840</v>
      </c>
      <c r="C163" s="20" t="s">
        <v>907</v>
      </c>
      <c r="D163" s="20" t="s">
        <v>908</v>
      </c>
      <c r="E163" s="40" t="n">
        <v>18589</v>
      </c>
      <c r="F163" s="31" t="s">
        <v>260</v>
      </c>
      <c r="G163" s="20" t="str">
        <f aca="false">IFERROR(INDEX('Расчет Кплотн'!$C:$C,MATCH(F163,'Расчет Кплотн'!$A:$A,0)),"код не найден")</f>
        <v>г. Алматы</v>
      </c>
      <c r="H163" s="20" t="s">
        <v>843</v>
      </c>
      <c r="I163" s="20" t="s">
        <v>513</v>
      </c>
      <c r="J163" s="41" t="s">
        <v>503</v>
      </c>
      <c r="K163" s="20"/>
    </row>
    <row r="164" customFormat="false" ht="30" hidden="false" customHeight="true" outlineLevel="0" collapsed="false">
      <c r="A164" s="20" t="n">
        <v>161</v>
      </c>
      <c r="B164" s="20" t="s">
        <v>840</v>
      </c>
      <c r="C164" s="20" t="s">
        <v>909</v>
      </c>
      <c r="D164" s="20" t="s">
        <v>910</v>
      </c>
      <c r="E164" s="40" t="n">
        <v>12562</v>
      </c>
      <c r="F164" s="31" t="s">
        <v>260</v>
      </c>
      <c r="G164" s="20" t="str">
        <f aca="false">IFERROR(INDEX('Расчет Кплотн'!$C:$C,MATCH(F164,'Расчет Кплотн'!$A:$A,0)),"код не найден")</f>
        <v>г. Алматы</v>
      </c>
      <c r="H164" s="20" t="s">
        <v>843</v>
      </c>
      <c r="I164" s="20" t="s">
        <v>513</v>
      </c>
      <c r="J164" s="41" t="s">
        <v>503</v>
      </c>
      <c r="K164" s="20"/>
    </row>
    <row r="165" customFormat="false" ht="30" hidden="false" customHeight="true" outlineLevel="0" collapsed="false">
      <c r="A165" s="20" t="n">
        <v>162</v>
      </c>
      <c r="B165" s="20" t="s">
        <v>840</v>
      </c>
      <c r="C165" s="20" t="s">
        <v>911</v>
      </c>
      <c r="D165" s="20" t="s">
        <v>912</v>
      </c>
      <c r="E165" s="40" t="n">
        <v>27435</v>
      </c>
      <c r="F165" s="31" t="s">
        <v>260</v>
      </c>
      <c r="G165" s="20" t="str">
        <f aca="false">IFERROR(INDEX('Расчет Кплотн'!$C:$C,MATCH(F165,'Расчет Кплотн'!$A:$A,0)),"код не найден")</f>
        <v>г. Алматы</v>
      </c>
      <c r="H165" s="20" t="s">
        <v>853</v>
      </c>
      <c r="I165" s="20" t="s">
        <v>513</v>
      </c>
      <c r="J165" s="41" t="s">
        <v>503</v>
      </c>
      <c r="K165" s="20"/>
    </row>
    <row r="166" customFormat="false" ht="30" hidden="false" customHeight="true" outlineLevel="0" collapsed="false">
      <c r="A166" s="20" t="n">
        <v>163</v>
      </c>
      <c r="B166" s="20" t="s">
        <v>840</v>
      </c>
      <c r="C166" s="20" t="s">
        <v>913</v>
      </c>
      <c r="D166" s="20" t="s">
        <v>914</v>
      </c>
      <c r="E166" s="40" t="n">
        <v>6823</v>
      </c>
      <c r="F166" s="31" t="s">
        <v>260</v>
      </c>
      <c r="G166" s="20" t="str">
        <f aca="false">IFERROR(INDEX('Расчет Кплотн'!$C:$C,MATCH(F166,'Расчет Кплотн'!$A:$A,0)),"код не найден")</f>
        <v>г. Алматы</v>
      </c>
      <c r="H166" s="20" t="s">
        <v>859</v>
      </c>
      <c r="I166" s="20" t="s">
        <v>513</v>
      </c>
      <c r="J166" s="41" t="s">
        <v>503</v>
      </c>
      <c r="K166" s="20"/>
    </row>
    <row r="167" customFormat="false" ht="30" hidden="false" customHeight="true" outlineLevel="0" collapsed="false">
      <c r="A167" s="20" t="n">
        <v>164</v>
      </c>
      <c r="B167" s="20" t="s">
        <v>840</v>
      </c>
      <c r="C167" s="20" t="s">
        <v>915</v>
      </c>
      <c r="D167" s="20" t="s">
        <v>916</v>
      </c>
      <c r="E167" s="40" t="n">
        <v>14250</v>
      </c>
      <c r="F167" s="31" t="s">
        <v>260</v>
      </c>
      <c r="G167" s="20" t="str">
        <f aca="false">IFERROR(INDEX('Расчет Кплотн'!$C:$C,MATCH(F167,'Расчет Кплотн'!$A:$A,0)),"код не найден")</f>
        <v>г. Алматы</v>
      </c>
      <c r="H167" s="20" t="s">
        <v>859</v>
      </c>
      <c r="I167" s="20" t="s">
        <v>513</v>
      </c>
      <c r="J167" s="41" t="s">
        <v>503</v>
      </c>
      <c r="K167" s="20"/>
    </row>
    <row r="168" customFormat="false" ht="30" hidden="false" customHeight="true" outlineLevel="0" collapsed="false">
      <c r="A168" s="20" t="n">
        <v>165</v>
      </c>
      <c r="B168" s="20" t="s">
        <v>840</v>
      </c>
      <c r="C168" s="20" t="s">
        <v>917</v>
      </c>
      <c r="D168" s="20" t="s">
        <v>918</v>
      </c>
      <c r="E168" s="40" t="n">
        <v>8938</v>
      </c>
      <c r="F168" s="31" t="s">
        <v>260</v>
      </c>
      <c r="G168" s="20" t="str">
        <f aca="false">IFERROR(INDEX('Расчет Кплотн'!$C:$C,MATCH(F168,'Расчет Кплотн'!$A:$A,0)),"код не найден")</f>
        <v>г. Алматы</v>
      </c>
      <c r="H168" s="20" t="s">
        <v>859</v>
      </c>
      <c r="I168" s="20" t="s">
        <v>513</v>
      </c>
      <c r="J168" s="41" t="s">
        <v>503</v>
      </c>
      <c r="K168" s="20"/>
    </row>
    <row r="169" customFormat="false" ht="30" hidden="false" customHeight="true" outlineLevel="0" collapsed="false">
      <c r="A169" s="20" t="n">
        <v>166</v>
      </c>
      <c r="B169" s="20" t="s">
        <v>840</v>
      </c>
      <c r="C169" s="20" t="s">
        <v>919</v>
      </c>
      <c r="D169" s="20" t="s">
        <v>920</v>
      </c>
      <c r="E169" s="40" t="n">
        <v>19424</v>
      </c>
      <c r="F169" s="31" t="s">
        <v>260</v>
      </c>
      <c r="G169" s="20" t="str">
        <f aca="false">IFERROR(INDEX('Расчет Кплотн'!$C:$C,MATCH(F169,'Расчет Кплотн'!$A:$A,0)),"код не найден")</f>
        <v>г. Алматы</v>
      </c>
      <c r="H169" s="20" t="s">
        <v>859</v>
      </c>
      <c r="I169" s="20" t="s">
        <v>513</v>
      </c>
      <c r="J169" s="41" t="s">
        <v>503</v>
      </c>
      <c r="K169" s="20"/>
    </row>
    <row r="170" customFormat="false" ht="30" hidden="false" customHeight="true" outlineLevel="0" collapsed="false">
      <c r="A170" s="20" t="n">
        <v>167</v>
      </c>
      <c r="B170" s="20" t="s">
        <v>840</v>
      </c>
      <c r="C170" s="20" t="s">
        <v>921</v>
      </c>
      <c r="D170" s="20" t="s">
        <v>922</v>
      </c>
      <c r="E170" s="40" t="n">
        <v>11837</v>
      </c>
      <c r="F170" s="31" t="s">
        <v>260</v>
      </c>
      <c r="G170" s="20" t="str">
        <f aca="false">IFERROR(INDEX('Расчет Кплотн'!$C:$C,MATCH(F170,'Расчет Кплотн'!$A:$A,0)),"код не найден")</f>
        <v>г. Алматы</v>
      </c>
      <c r="H170" s="20" t="s">
        <v>843</v>
      </c>
      <c r="I170" s="20" t="s">
        <v>513</v>
      </c>
      <c r="J170" s="41" t="s">
        <v>503</v>
      </c>
      <c r="K170" s="20"/>
    </row>
    <row r="171" customFormat="false" ht="30" hidden="false" customHeight="true" outlineLevel="0" collapsed="false">
      <c r="A171" s="20" t="n">
        <v>168</v>
      </c>
      <c r="B171" s="20" t="s">
        <v>840</v>
      </c>
      <c r="C171" s="20" t="s">
        <v>923</v>
      </c>
      <c r="D171" s="20" t="s">
        <v>924</v>
      </c>
      <c r="E171" s="40" t="n">
        <v>15455</v>
      </c>
      <c r="F171" s="31" t="s">
        <v>260</v>
      </c>
      <c r="G171" s="20" t="str">
        <f aca="false">IFERROR(INDEX('Расчет Кплотн'!$C:$C,MATCH(F171,'Расчет Кплотн'!$A:$A,0)),"код не найден")</f>
        <v>г. Алматы</v>
      </c>
      <c r="H171" s="20" t="s">
        <v>856</v>
      </c>
      <c r="I171" s="20" t="s">
        <v>513</v>
      </c>
      <c r="J171" s="41" t="s">
        <v>503</v>
      </c>
      <c r="K171" s="20"/>
    </row>
    <row r="172" customFormat="false" ht="30" hidden="false" customHeight="true" outlineLevel="0" collapsed="false">
      <c r="A172" s="20" t="n">
        <v>169</v>
      </c>
      <c r="B172" s="20" t="s">
        <v>840</v>
      </c>
      <c r="C172" s="20" t="s">
        <v>925</v>
      </c>
      <c r="D172" s="20" t="s">
        <v>926</v>
      </c>
      <c r="E172" s="40" t="n">
        <v>15488</v>
      </c>
      <c r="F172" s="31" t="s">
        <v>260</v>
      </c>
      <c r="G172" s="20" t="str">
        <f aca="false">IFERROR(INDEX('Расчет Кплотн'!$C:$C,MATCH(F172,'Расчет Кплотн'!$A:$A,0)),"код не найден")</f>
        <v>г. Алматы</v>
      </c>
      <c r="H172" s="20" t="s">
        <v>846</v>
      </c>
      <c r="I172" s="20" t="s">
        <v>513</v>
      </c>
      <c r="J172" s="41" t="s">
        <v>503</v>
      </c>
      <c r="K172" s="20"/>
    </row>
    <row r="173" customFormat="false" ht="30" hidden="false" customHeight="true" outlineLevel="0" collapsed="false">
      <c r="A173" s="20" t="n">
        <v>170</v>
      </c>
      <c r="B173" s="20" t="s">
        <v>840</v>
      </c>
      <c r="C173" s="20" t="s">
        <v>927</v>
      </c>
      <c r="D173" s="20" t="s">
        <v>928</v>
      </c>
      <c r="E173" s="40" t="n">
        <v>25597</v>
      </c>
      <c r="F173" s="31" t="s">
        <v>260</v>
      </c>
      <c r="G173" s="20" t="str">
        <f aca="false">IFERROR(INDEX('Расчет Кплотн'!$C:$C,MATCH(F173,'Расчет Кплотн'!$A:$A,0)),"код не найден")</f>
        <v>г. Алматы</v>
      </c>
      <c r="H173" s="20" t="s">
        <v>859</v>
      </c>
      <c r="I173" s="20" t="s">
        <v>513</v>
      </c>
      <c r="J173" s="41" t="s">
        <v>503</v>
      </c>
      <c r="K173" s="20"/>
    </row>
    <row r="174" customFormat="false" ht="30" hidden="false" customHeight="true" outlineLevel="0" collapsed="false">
      <c r="A174" s="20" t="n">
        <v>171</v>
      </c>
      <c r="B174" s="20" t="s">
        <v>840</v>
      </c>
      <c r="C174" s="20" t="s">
        <v>929</v>
      </c>
      <c r="D174" s="20" t="s">
        <v>930</v>
      </c>
      <c r="E174" s="40" t="n">
        <v>61486</v>
      </c>
      <c r="F174" s="31" t="s">
        <v>260</v>
      </c>
      <c r="G174" s="20" t="str">
        <f aca="false">IFERROR(INDEX('Расчет Кплотн'!$C:$C,MATCH(F174,'Расчет Кплотн'!$A:$A,0)),"код не найден")</f>
        <v>г. Алматы</v>
      </c>
      <c r="H174" s="20" t="s">
        <v>886</v>
      </c>
      <c r="I174" s="20" t="s">
        <v>513</v>
      </c>
      <c r="J174" s="41" t="s">
        <v>503</v>
      </c>
      <c r="K174" s="20"/>
    </row>
    <row r="175" customFormat="false" ht="30" hidden="false" customHeight="true" outlineLevel="0" collapsed="false">
      <c r="A175" s="20" t="n">
        <v>172</v>
      </c>
      <c r="B175" s="20" t="s">
        <v>840</v>
      </c>
      <c r="C175" s="20" t="s">
        <v>931</v>
      </c>
      <c r="D175" s="20" t="s">
        <v>932</v>
      </c>
      <c r="E175" s="40" t="n">
        <v>33716</v>
      </c>
      <c r="F175" s="31" t="s">
        <v>260</v>
      </c>
      <c r="G175" s="20" t="str">
        <f aca="false">IFERROR(INDEX('Расчет Кплотн'!$C:$C,MATCH(F175,'Расчет Кплотн'!$A:$A,0)),"код не найден")</f>
        <v>г. Алматы</v>
      </c>
      <c r="H175" s="20" t="s">
        <v>883</v>
      </c>
      <c r="I175" s="20" t="s">
        <v>513</v>
      </c>
      <c r="J175" s="41" t="s">
        <v>503</v>
      </c>
      <c r="K175" s="20"/>
    </row>
    <row r="176" customFormat="false" ht="30" hidden="false" customHeight="true" outlineLevel="0" collapsed="false">
      <c r="A176" s="20" t="n">
        <v>173</v>
      </c>
      <c r="B176" s="20" t="s">
        <v>840</v>
      </c>
      <c r="C176" s="20" t="s">
        <v>933</v>
      </c>
      <c r="D176" s="20" t="s">
        <v>934</v>
      </c>
      <c r="E176" s="40" t="n">
        <v>62387</v>
      </c>
      <c r="F176" s="31" t="s">
        <v>260</v>
      </c>
      <c r="G176" s="20" t="str">
        <f aca="false">IFERROR(INDEX('Расчет Кплотн'!$C:$C,MATCH(F176,'Расчет Кплотн'!$A:$A,0)),"код не найден")</f>
        <v>г. Алматы</v>
      </c>
      <c r="H176" s="20" t="s">
        <v>859</v>
      </c>
      <c r="I176" s="20" t="s">
        <v>513</v>
      </c>
      <c r="J176" s="41" t="s">
        <v>503</v>
      </c>
      <c r="K176" s="20"/>
    </row>
    <row r="177" customFormat="false" ht="30" hidden="false" customHeight="true" outlineLevel="0" collapsed="false">
      <c r="A177" s="20" t="n">
        <v>174</v>
      </c>
      <c r="B177" s="20" t="s">
        <v>840</v>
      </c>
      <c r="C177" s="20" t="s">
        <v>935</v>
      </c>
      <c r="D177" s="20" t="s">
        <v>936</v>
      </c>
      <c r="E177" s="40" t="n">
        <v>35980</v>
      </c>
      <c r="F177" s="31" t="s">
        <v>260</v>
      </c>
      <c r="G177" s="20" t="str">
        <f aca="false">IFERROR(INDEX('Расчет Кплотн'!$C:$C,MATCH(F177,'Расчет Кплотн'!$A:$A,0)),"код не найден")</f>
        <v>г. Алматы</v>
      </c>
      <c r="H177" s="20" t="s">
        <v>883</v>
      </c>
      <c r="I177" s="20" t="s">
        <v>513</v>
      </c>
      <c r="J177" s="41" t="s">
        <v>503</v>
      </c>
      <c r="K177" s="20"/>
    </row>
    <row r="178" customFormat="false" ht="30" hidden="false" customHeight="true" outlineLevel="0" collapsed="false">
      <c r="A178" s="20" t="n">
        <v>175</v>
      </c>
      <c r="B178" s="20" t="s">
        <v>840</v>
      </c>
      <c r="C178" s="20" t="s">
        <v>937</v>
      </c>
      <c r="D178" s="20" t="s">
        <v>938</v>
      </c>
      <c r="E178" s="40" t="n">
        <v>31853</v>
      </c>
      <c r="F178" s="31" t="s">
        <v>260</v>
      </c>
      <c r="G178" s="20" t="str">
        <f aca="false">IFERROR(INDEX('Расчет Кплотн'!$C:$C,MATCH(F178,'Расчет Кплотн'!$A:$A,0)),"код не найден")</f>
        <v>г. Алматы</v>
      </c>
      <c r="H178" s="20" t="s">
        <v>843</v>
      </c>
      <c r="I178" s="20" t="s">
        <v>513</v>
      </c>
      <c r="J178" s="41" t="s">
        <v>503</v>
      </c>
      <c r="K178" s="20"/>
    </row>
    <row r="179" customFormat="false" ht="30" hidden="false" customHeight="true" outlineLevel="0" collapsed="false">
      <c r="A179" s="20" t="n">
        <v>176</v>
      </c>
      <c r="B179" s="20" t="s">
        <v>840</v>
      </c>
      <c r="C179" s="20" t="s">
        <v>939</v>
      </c>
      <c r="D179" s="20" t="s">
        <v>940</v>
      </c>
      <c r="E179" s="40" t="n">
        <v>56487</v>
      </c>
      <c r="F179" s="31" t="s">
        <v>260</v>
      </c>
      <c r="G179" s="20" t="str">
        <f aca="false">IFERROR(INDEX('Расчет Кплотн'!$C:$C,MATCH(F179,'Расчет Кплотн'!$A:$A,0)),"код не найден")</f>
        <v>г. Алматы</v>
      </c>
      <c r="H179" s="20" t="s">
        <v>843</v>
      </c>
      <c r="I179" s="20" t="s">
        <v>513</v>
      </c>
      <c r="J179" s="41" t="s">
        <v>503</v>
      </c>
      <c r="K179" s="20"/>
    </row>
    <row r="180" customFormat="false" ht="30" hidden="false" customHeight="true" outlineLevel="0" collapsed="false">
      <c r="A180" s="20" t="n">
        <v>177</v>
      </c>
      <c r="B180" s="20" t="s">
        <v>840</v>
      </c>
      <c r="C180" s="20" t="s">
        <v>941</v>
      </c>
      <c r="D180" s="20" t="s">
        <v>942</v>
      </c>
      <c r="E180" s="40" t="n">
        <v>45612</v>
      </c>
      <c r="F180" s="31" t="s">
        <v>260</v>
      </c>
      <c r="G180" s="20" t="str">
        <f aca="false">IFERROR(INDEX('Расчет Кплотн'!$C:$C,MATCH(F180,'Расчет Кплотн'!$A:$A,0)),"код не найден")</f>
        <v>г. Алматы</v>
      </c>
      <c r="H180" s="20" t="s">
        <v>843</v>
      </c>
      <c r="I180" s="20" t="s">
        <v>513</v>
      </c>
      <c r="J180" s="41" t="s">
        <v>503</v>
      </c>
      <c r="K180" s="20"/>
    </row>
    <row r="181" customFormat="false" ht="30" hidden="false" customHeight="true" outlineLevel="0" collapsed="false">
      <c r="A181" s="20" t="n">
        <v>178</v>
      </c>
      <c r="B181" s="20" t="s">
        <v>840</v>
      </c>
      <c r="C181" s="20" t="s">
        <v>943</v>
      </c>
      <c r="D181" s="20" t="s">
        <v>944</v>
      </c>
      <c r="E181" s="40" t="n">
        <v>81412</v>
      </c>
      <c r="F181" s="31" t="s">
        <v>260</v>
      </c>
      <c r="G181" s="20" t="str">
        <f aca="false">IFERROR(INDEX('Расчет Кплотн'!$C:$C,MATCH(F181,'Расчет Кплотн'!$A:$A,0)),"код не найден")</f>
        <v>г. Алматы</v>
      </c>
      <c r="H181" s="20" t="s">
        <v>846</v>
      </c>
      <c r="I181" s="20" t="s">
        <v>513</v>
      </c>
      <c r="J181" s="41" t="s">
        <v>503</v>
      </c>
      <c r="K181" s="20"/>
    </row>
    <row r="182" customFormat="false" ht="30" hidden="false" customHeight="true" outlineLevel="0" collapsed="false">
      <c r="A182" s="20" t="n">
        <v>179</v>
      </c>
      <c r="B182" s="20" t="s">
        <v>840</v>
      </c>
      <c r="C182" s="20" t="s">
        <v>945</v>
      </c>
      <c r="D182" s="20" t="s">
        <v>946</v>
      </c>
      <c r="E182" s="40" t="n">
        <v>29825</v>
      </c>
      <c r="F182" s="31" t="s">
        <v>260</v>
      </c>
      <c r="G182" s="20" t="str">
        <f aca="false">IFERROR(INDEX('Расчет Кплотн'!$C:$C,MATCH(F182,'Расчет Кплотн'!$A:$A,0)),"код не найден")</f>
        <v>г. Алматы</v>
      </c>
      <c r="H182" s="20" t="s">
        <v>883</v>
      </c>
      <c r="I182" s="20" t="s">
        <v>513</v>
      </c>
      <c r="J182" s="41" t="s">
        <v>503</v>
      </c>
      <c r="K182" s="20"/>
    </row>
    <row r="183" customFormat="false" ht="30" hidden="false" customHeight="true" outlineLevel="0" collapsed="false">
      <c r="A183" s="20" t="n">
        <v>180</v>
      </c>
      <c r="B183" s="20" t="s">
        <v>840</v>
      </c>
      <c r="C183" s="20" t="s">
        <v>947</v>
      </c>
      <c r="D183" s="20" t="s">
        <v>948</v>
      </c>
      <c r="E183" s="40" t="n">
        <v>66503</v>
      </c>
      <c r="F183" s="31" t="s">
        <v>260</v>
      </c>
      <c r="G183" s="20" t="str">
        <f aca="false">IFERROR(INDEX('Расчет Кплотн'!$C:$C,MATCH(F183,'Расчет Кплотн'!$A:$A,0)),"код не найден")</f>
        <v>г. Алматы</v>
      </c>
      <c r="H183" s="20" t="s">
        <v>856</v>
      </c>
      <c r="I183" s="20" t="s">
        <v>513</v>
      </c>
      <c r="J183" s="41" t="s">
        <v>503</v>
      </c>
      <c r="K183" s="20"/>
    </row>
    <row r="184" customFormat="false" ht="30" hidden="false" customHeight="true" outlineLevel="0" collapsed="false">
      <c r="A184" s="20" t="n">
        <v>181</v>
      </c>
      <c r="B184" s="20" t="s">
        <v>840</v>
      </c>
      <c r="C184" s="20" t="s">
        <v>949</v>
      </c>
      <c r="D184" s="20" t="s">
        <v>950</v>
      </c>
      <c r="E184" s="40" t="n">
        <v>59425</v>
      </c>
      <c r="F184" s="31" t="s">
        <v>260</v>
      </c>
      <c r="G184" s="20" t="str">
        <f aca="false">IFERROR(INDEX('Расчет Кплотн'!$C:$C,MATCH(F184,'Расчет Кплотн'!$A:$A,0)),"код не найден")</f>
        <v>г. Алматы</v>
      </c>
      <c r="H184" s="20" t="s">
        <v>843</v>
      </c>
      <c r="I184" s="20" t="s">
        <v>513</v>
      </c>
      <c r="J184" s="41" t="s">
        <v>503</v>
      </c>
      <c r="K184" s="20"/>
    </row>
    <row r="185" customFormat="false" ht="30" hidden="false" customHeight="true" outlineLevel="0" collapsed="false">
      <c r="A185" s="20" t="n">
        <v>182</v>
      </c>
      <c r="B185" s="20" t="s">
        <v>840</v>
      </c>
      <c r="C185" s="20" t="s">
        <v>951</v>
      </c>
      <c r="D185" s="20" t="s">
        <v>952</v>
      </c>
      <c r="E185" s="40" t="n">
        <v>54003</v>
      </c>
      <c r="F185" s="31" t="s">
        <v>260</v>
      </c>
      <c r="G185" s="20" t="str">
        <f aca="false">IFERROR(INDEX('Расчет Кплотн'!$C:$C,MATCH(F185,'Расчет Кплотн'!$A:$A,0)),"код не найден")</f>
        <v>г. Алматы</v>
      </c>
      <c r="H185" s="20" t="s">
        <v>864</v>
      </c>
      <c r="I185" s="20" t="s">
        <v>513</v>
      </c>
      <c r="J185" s="41" t="s">
        <v>503</v>
      </c>
      <c r="K185" s="20"/>
    </row>
    <row r="186" customFormat="false" ht="30" hidden="false" customHeight="true" outlineLevel="0" collapsed="false">
      <c r="A186" s="20" t="n">
        <v>183</v>
      </c>
      <c r="B186" s="20" t="s">
        <v>840</v>
      </c>
      <c r="C186" s="20" t="s">
        <v>953</v>
      </c>
      <c r="D186" s="20" t="s">
        <v>954</v>
      </c>
      <c r="E186" s="40" t="n">
        <v>31662</v>
      </c>
      <c r="F186" s="31" t="s">
        <v>260</v>
      </c>
      <c r="G186" s="20" t="str">
        <f aca="false">IFERROR(INDEX('Расчет Кплотн'!$C:$C,MATCH(F186,'Расчет Кплотн'!$A:$A,0)),"код не найден")</f>
        <v>г. Алматы</v>
      </c>
      <c r="H186" s="20" t="s">
        <v>886</v>
      </c>
      <c r="I186" s="20" t="s">
        <v>513</v>
      </c>
      <c r="J186" s="41" t="s">
        <v>503</v>
      </c>
      <c r="K186" s="20"/>
    </row>
    <row r="187" customFormat="false" ht="30" hidden="false" customHeight="true" outlineLevel="0" collapsed="false">
      <c r="A187" s="20" t="n">
        <v>184</v>
      </c>
      <c r="B187" s="20" t="s">
        <v>840</v>
      </c>
      <c r="C187" s="20" t="s">
        <v>955</v>
      </c>
      <c r="D187" s="20" t="s">
        <v>956</v>
      </c>
      <c r="E187" s="40" t="n">
        <v>63113</v>
      </c>
      <c r="F187" s="31" t="s">
        <v>260</v>
      </c>
      <c r="G187" s="20" t="str">
        <f aca="false">IFERROR(INDEX('Расчет Кплотн'!$C:$C,MATCH(F187,'Расчет Кплотн'!$A:$A,0)),"код не найден")</f>
        <v>г. Алматы</v>
      </c>
      <c r="H187" s="20" t="s">
        <v>864</v>
      </c>
      <c r="I187" s="20" t="s">
        <v>513</v>
      </c>
      <c r="J187" s="41" t="s">
        <v>503</v>
      </c>
      <c r="K187" s="20"/>
    </row>
    <row r="188" customFormat="false" ht="30" hidden="false" customHeight="true" outlineLevel="0" collapsed="false">
      <c r="A188" s="20" t="n">
        <v>185</v>
      </c>
      <c r="B188" s="20" t="s">
        <v>840</v>
      </c>
      <c r="C188" s="20" t="s">
        <v>957</v>
      </c>
      <c r="D188" s="20" t="s">
        <v>958</v>
      </c>
      <c r="E188" s="40" t="n">
        <v>10556</v>
      </c>
      <c r="F188" s="31" t="s">
        <v>260</v>
      </c>
      <c r="G188" s="20" t="str">
        <f aca="false">IFERROR(INDEX('Расчет Кплотн'!$C:$C,MATCH(F188,'Расчет Кплотн'!$A:$A,0)),"код не найден")</f>
        <v>г. Алматы</v>
      </c>
      <c r="H188" s="20" t="s">
        <v>864</v>
      </c>
      <c r="I188" s="20" t="s">
        <v>513</v>
      </c>
      <c r="J188" s="41" t="s">
        <v>503</v>
      </c>
      <c r="K188" s="20"/>
    </row>
    <row r="189" customFormat="false" ht="30" hidden="false" customHeight="true" outlineLevel="0" collapsed="false">
      <c r="A189" s="20" t="n">
        <v>186</v>
      </c>
      <c r="B189" s="20" t="s">
        <v>840</v>
      </c>
      <c r="C189" s="20" t="s">
        <v>959</v>
      </c>
      <c r="D189" s="20" t="s">
        <v>960</v>
      </c>
      <c r="E189" s="40" t="n">
        <v>43891</v>
      </c>
      <c r="F189" s="31" t="s">
        <v>260</v>
      </c>
      <c r="G189" s="20" t="str">
        <f aca="false">IFERROR(INDEX('Расчет Кплотн'!$C:$C,MATCH(F189,'Расчет Кплотн'!$A:$A,0)),"код не найден")</f>
        <v>г. Алматы</v>
      </c>
      <c r="H189" s="20" t="s">
        <v>853</v>
      </c>
      <c r="I189" s="20" t="s">
        <v>513</v>
      </c>
      <c r="J189" s="41" t="s">
        <v>503</v>
      </c>
      <c r="K189" s="20"/>
    </row>
    <row r="190" customFormat="false" ht="30" hidden="false" customHeight="true" outlineLevel="0" collapsed="false">
      <c r="A190" s="20" t="n">
        <v>187</v>
      </c>
      <c r="B190" s="20" t="s">
        <v>840</v>
      </c>
      <c r="C190" s="20" t="s">
        <v>961</v>
      </c>
      <c r="D190" s="20" t="s">
        <v>962</v>
      </c>
      <c r="E190" s="40" t="n">
        <v>61709</v>
      </c>
      <c r="F190" s="31" t="s">
        <v>260</v>
      </c>
      <c r="G190" s="20" t="str">
        <f aca="false">IFERROR(INDEX('Расчет Кплотн'!$C:$C,MATCH(F190,'Расчет Кплотн'!$A:$A,0)),"код не найден")</f>
        <v>г. Алматы</v>
      </c>
      <c r="H190" s="20" t="s">
        <v>846</v>
      </c>
      <c r="I190" s="20" t="s">
        <v>513</v>
      </c>
      <c r="J190" s="41" t="s">
        <v>503</v>
      </c>
      <c r="K190" s="20"/>
    </row>
    <row r="191" customFormat="false" ht="30" hidden="false" customHeight="true" outlineLevel="0" collapsed="false">
      <c r="A191" s="20" t="n">
        <v>188</v>
      </c>
      <c r="B191" s="20" t="s">
        <v>840</v>
      </c>
      <c r="C191" s="20" t="s">
        <v>963</v>
      </c>
      <c r="D191" s="20" t="s">
        <v>964</v>
      </c>
      <c r="E191" s="40" t="n">
        <v>49447</v>
      </c>
      <c r="F191" s="31" t="s">
        <v>260</v>
      </c>
      <c r="G191" s="20" t="str">
        <f aca="false">IFERROR(INDEX('Расчет Кплотн'!$C:$C,MATCH(F191,'Расчет Кплотн'!$A:$A,0)),"код не найден")</f>
        <v>г. Алматы</v>
      </c>
      <c r="H191" s="20" t="s">
        <v>856</v>
      </c>
      <c r="I191" s="20" t="s">
        <v>513</v>
      </c>
      <c r="J191" s="41" t="s">
        <v>503</v>
      </c>
      <c r="K191" s="20"/>
    </row>
    <row r="192" customFormat="false" ht="30" hidden="false" customHeight="true" outlineLevel="0" collapsed="false">
      <c r="A192" s="20" t="n">
        <v>189</v>
      </c>
      <c r="B192" s="20" t="s">
        <v>840</v>
      </c>
      <c r="C192" s="20" t="s">
        <v>965</v>
      </c>
      <c r="D192" s="20" t="s">
        <v>966</v>
      </c>
      <c r="E192" s="40" t="n">
        <v>15369</v>
      </c>
      <c r="F192" s="31" t="s">
        <v>260</v>
      </c>
      <c r="G192" s="20" t="str">
        <f aca="false">IFERROR(INDEX('Расчет Кплотн'!$C:$C,MATCH(F192,'Расчет Кплотн'!$A:$A,0)),"код не найден")</f>
        <v>г. Алматы</v>
      </c>
      <c r="H192" s="20" t="s">
        <v>856</v>
      </c>
      <c r="I192" s="20" t="s">
        <v>513</v>
      </c>
      <c r="J192" s="41" t="s">
        <v>503</v>
      </c>
      <c r="K192" s="20"/>
    </row>
    <row r="193" customFormat="false" ht="30" hidden="false" customHeight="true" outlineLevel="0" collapsed="false">
      <c r="A193" s="20" t="n">
        <v>190</v>
      </c>
      <c r="B193" s="20" t="s">
        <v>840</v>
      </c>
      <c r="C193" s="20" t="s">
        <v>967</v>
      </c>
      <c r="D193" s="20" t="s">
        <v>968</v>
      </c>
      <c r="E193" s="40" t="n">
        <v>40712</v>
      </c>
      <c r="F193" s="31" t="s">
        <v>260</v>
      </c>
      <c r="G193" s="20" t="str">
        <f aca="false">IFERROR(INDEX('Расчет Кплотн'!$C:$C,MATCH(F193,'Расчет Кплотн'!$A:$A,0)),"код не найден")</f>
        <v>г. Алматы</v>
      </c>
      <c r="H193" s="20" t="s">
        <v>883</v>
      </c>
      <c r="I193" s="20" t="s">
        <v>513</v>
      </c>
      <c r="J193" s="41" t="s">
        <v>503</v>
      </c>
      <c r="K193" s="20"/>
    </row>
    <row r="194" customFormat="false" ht="30" hidden="false" customHeight="true" outlineLevel="0" collapsed="false">
      <c r="A194" s="20" t="n">
        <v>191</v>
      </c>
      <c r="B194" s="20" t="s">
        <v>840</v>
      </c>
      <c r="C194" s="20" t="s">
        <v>969</v>
      </c>
      <c r="D194" s="20" t="s">
        <v>970</v>
      </c>
      <c r="E194" s="40" t="n">
        <v>41575</v>
      </c>
      <c r="F194" s="31" t="s">
        <v>260</v>
      </c>
      <c r="G194" s="20" t="str">
        <f aca="false">IFERROR(INDEX('Расчет Кплотн'!$C:$C,MATCH(F194,'Расчет Кплотн'!$A:$A,0)),"код не найден")</f>
        <v>г. Алматы</v>
      </c>
      <c r="H194" s="20" t="s">
        <v>859</v>
      </c>
      <c r="I194" s="20" t="s">
        <v>513</v>
      </c>
      <c r="J194" s="41" t="s">
        <v>503</v>
      </c>
      <c r="K194" s="20"/>
    </row>
    <row r="195" customFormat="false" ht="30" hidden="false" customHeight="true" outlineLevel="0" collapsed="false">
      <c r="A195" s="20" t="n">
        <v>192</v>
      </c>
      <c r="B195" s="20" t="s">
        <v>840</v>
      </c>
      <c r="C195" s="20" t="s">
        <v>971</v>
      </c>
      <c r="D195" s="20" t="s">
        <v>972</v>
      </c>
      <c r="E195" s="40" t="n">
        <v>41965</v>
      </c>
      <c r="F195" s="31" t="s">
        <v>260</v>
      </c>
      <c r="G195" s="20" t="str">
        <f aca="false">IFERROR(INDEX('Расчет Кплотн'!$C:$C,MATCH(F195,'Расчет Кплотн'!$A:$A,0)),"код не найден")</f>
        <v>г. Алматы</v>
      </c>
      <c r="H195" s="20" t="s">
        <v>846</v>
      </c>
      <c r="I195" s="20" t="s">
        <v>513</v>
      </c>
      <c r="J195" s="41" t="s">
        <v>503</v>
      </c>
      <c r="K195" s="20"/>
    </row>
    <row r="196" customFormat="false" ht="30" hidden="false" customHeight="true" outlineLevel="0" collapsed="false">
      <c r="A196" s="20" t="n">
        <v>193</v>
      </c>
      <c r="B196" s="20" t="s">
        <v>840</v>
      </c>
      <c r="C196" s="20" t="s">
        <v>973</v>
      </c>
      <c r="D196" s="20" t="s">
        <v>974</v>
      </c>
      <c r="E196" s="40" t="n">
        <v>55682</v>
      </c>
      <c r="F196" s="31" t="s">
        <v>260</v>
      </c>
      <c r="G196" s="20" t="str">
        <f aca="false">IFERROR(INDEX('Расчет Кплотн'!$C:$C,MATCH(F196,'Расчет Кплотн'!$A:$A,0)),"код не найден")</f>
        <v>г. Алматы</v>
      </c>
      <c r="H196" s="20" t="s">
        <v>843</v>
      </c>
      <c r="I196" s="20" t="s">
        <v>513</v>
      </c>
      <c r="J196" s="41" t="s">
        <v>503</v>
      </c>
      <c r="K196" s="20"/>
    </row>
    <row r="197" customFormat="false" ht="30" hidden="false" customHeight="true" outlineLevel="0" collapsed="false">
      <c r="A197" s="20" t="n">
        <v>194</v>
      </c>
      <c r="B197" s="20" t="s">
        <v>840</v>
      </c>
      <c r="C197" s="20" t="s">
        <v>975</v>
      </c>
      <c r="D197" s="20" t="s">
        <v>976</v>
      </c>
      <c r="E197" s="40" t="n">
        <v>34687</v>
      </c>
      <c r="F197" s="31" t="s">
        <v>260</v>
      </c>
      <c r="G197" s="20" t="str">
        <f aca="false">IFERROR(INDEX('Расчет Кплотн'!$C:$C,MATCH(F197,'Расчет Кплотн'!$A:$A,0)),"код не найден")</f>
        <v>г. Алматы</v>
      </c>
      <c r="H197" s="20" t="s">
        <v>864</v>
      </c>
      <c r="I197" s="20" t="s">
        <v>513</v>
      </c>
      <c r="J197" s="41" t="s">
        <v>503</v>
      </c>
      <c r="K197" s="20"/>
    </row>
    <row r="198" customFormat="false" ht="30" hidden="false" customHeight="true" outlineLevel="0" collapsed="false">
      <c r="A198" s="20" t="n">
        <v>195</v>
      </c>
      <c r="B198" s="20" t="s">
        <v>840</v>
      </c>
      <c r="C198" s="20" t="s">
        <v>977</v>
      </c>
      <c r="D198" s="20" t="s">
        <v>978</v>
      </c>
      <c r="E198" s="40" t="n">
        <v>28841</v>
      </c>
      <c r="F198" s="31" t="s">
        <v>260</v>
      </c>
      <c r="G198" s="20" t="str">
        <f aca="false">IFERROR(INDEX('Расчет Кплотн'!$C:$C,MATCH(F198,'Расчет Кплотн'!$A:$A,0)),"код не найден")</f>
        <v>г. Алматы</v>
      </c>
      <c r="H198" s="20" t="s">
        <v>859</v>
      </c>
      <c r="I198" s="20" t="s">
        <v>513</v>
      </c>
      <c r="J198" s="41" t="s">
        <v>503</v>
      </c>
      <c r="K198" s="20"/>
    </row>
    <row r="199" customFormat="false" ht="30" hidden="false" customHeight="true" outlineLevel="0" collapsed="false">
      <c r="A199" s="20" t="n">
        <v>196</v>
      </c>
      <c r="B199" s="20" t="s">
        <v>840</v>
      </c>
      <c r="C199" s="20" t="s">
        <v>979</v>
      </c>
      <c r="D199" s="20" t="s">
        <v>980</v>
      </c>
      <c r="E199" s="40" t="n">
        <v>41655</v>
      </c>
      <c r="F199" s="31" t="s">
        <v>260</v>
      </c>
      <c r="G199" s="20" t="str">
        <f aca="false">IFERROR(INDEX('Расчет Кплотн'!$C:$C,MATCH(F199,'Расчет Кплотн'!$A:$A,0)),"код не найден")</f>
        <v>г. Алматы</v>
      </c>
      <c r="H199" s="20" t="s">
        <v>883</v>
      </c>
      <c r="I199" s="20" t="s">
        <v>513</v>
      </c>
      <c r="J199" s="41" t="s">
        <v>503</v>
      </c>
      <c r="K199" s="20"/>
    </row>
    <row r="200" customFormat="false" ht="30" hidden="false" customHeight="true" outlineLevel="0" collapsed="false">
      <c r="A200" s="20" t="n">
        <v>197</v>
      </c>
      <c r="B200" s="20" t="s">
        <v>840</v>
      </c>
      <c r="C200" s="20" t="s">
        <v>981</v>
      </c>
      <c r="D200" s="20" t="s">
        <v>982</v>
      </c>
      <c r="E200" s="40" t="n">
        <v>17590</v>
      </c>
      <c r="F200" s="31" t="s">
        <v>260</v>
      </c>
      <c r="G200" s="20" t="str">
        <f aca="false">IFERROR(INDEX('Расчет Кплотн'!$C:$C,MATCH(F200,'Расчет Кплотн'!$A:$A,0)),"код не найден")</f>
        <v>г. Алматы</v>
      </c>
      <c r="H200" s="20" t="s">
        <v>886</v>
      </c>
      <c r="I200" s="20" t="s">
        <v>513</v>
      </c>
      <c r="J200" s="41" t="s">
        <v>503</v>
      </c>
      <c r="K200" s="20"/>
    </row>
    <row r="201" customFormat="false" ht="30" hidden="false" customHeight="true" outlineLevel="0" collapsed="false">
      <c r="A201" s="20" t="n">
        <v>198</v>
      </c>
      <c r="B201" s="20" t="s">
        <v>840</v>
      </c>
      <c r="C201" s="20" t="s">
        <v>983</v>
      </c>
      <c r="D201" s="20" t="s">
        <v>984</v>
      </c>
      <c r="E201" s="40" t="n">
        <v>46905</v>
      </c>
      <c r="F201" s="31" t="s">
        <v>260</v>
      </c>
      <c r="G201" s="20" t="str">
        <f aca="false">IFERROR(INDEX('Расчет Кплотн'!$C:$C,MATCH(F201,'Расчет Кплотн'!$A:$A,0)),"код не найден")</f>
        <v>г. Алматы</v>
      </c>
      <c r="H201" s="20" t="s">
        <v>886</v>
      </c>
      <c r="I201" s="20" t="s">
        <v>513</v>
      </c>
      <c r="J201" s="41" t="s">
        <v>503</v>
      </c>
      <c r="K201" s="20"/>
    </row>
    <row r="202" customFormat="false" ht="30" hidden="false" customHeight="true" outlineLevel="0" collapsed="false">
      <c r="A202" s="20" t="n">
        <v>199</v>
      </c>
      <c r="B202" s="20" t="s">
        <v>840</v>
      </c>
      <c r="C202" s="20" t="s">
        <v>985</v>
      </c>
      <c r="D202" s="20" t="s">
        <v>986</v>
      </c>
      <c r="E202" s="40" t="n">
        <v>68684</v>
      </c>
      <c r="F202" s="31" t="s">
        <v>260</v>
      </c>
      <c r="G202" s="20" t="str">
        <f aca="false">IFERROR(INDEX('Расчет Кплотн'!$C:$C,MATCH(F202,'Расчет Кплотн'!$A:$A,0)),"код не найден")</f>
        <v>г. Алматы</v>
      </c>
      <c r="H202" s="20" t="s">
        <v>853</v>
      </c>
      <c r="I202" s="20" t="s">
        <v>513</v>
      </c>
      <c r="J202" s="41" t="s">
        <v>503</v>
      </c>
      <c r="K202" s="20"/>
    </row>
    <row r="203" customFormat="false" ht="30" hidden="false" customHeight="true" outlineLevel="0" collapsed="false">
      <c r="A203" s="20" t="n">
        <v>200</v>
      </c>
      <c r="B203" s="20" t="s">
        <v>840</v>
      </c>
      <c r="C203" s="20" t="s">
        <v>987</v>
      </c>
      <c r="D203" s="20" t="s">
        <v>988</v>
      </c>
      <c r="E203" s="40" t="n">
        <v>44235</v>
      </c>
      <c r="F203" s="31" t="s">
        <v>260</v>
      </c>
      <c r="G203" s="20" t="str">
        <f aca="false">IFERROR(INDEX('Расчет Кплотн'!$C:$C,MATCH(F203,'Расчет Кплотн'!$A:$A,0)),"код не найден")</f>
        <v>г. Алматы</v>
      </c>
      <c r="H203" s="20" t="s">
        <v>853</v>
      </c>
      <c r="I203" s="20" t="s">
        <v>513</v>
      </c>
      <c r="J203" s="41" t="s">
        <v>503</v>
      </c>
      <c r="K203" s="20"/>
    </row>
    <row r="204" customFormat="false" ht="30" hidden="false" customHeight="true" outlineLevel="0" collapsed="false">
      <c r="A204" s="20" t="n">
        <v>201</v>
      </c>
      <c r="B204" s="20" t="s">
        <v>840</v>
      </c>
      <c r="C204" s="20" t="s">
        <v>989</v>
      </c>
      <c r="D204" s="20" t="s">
        <v>990</v>
      </c>
      <c r="E204" s="40" t="n">
        <v>29103</v>
      </c>
      <c r="F204" s="31" t="s">
        <v>260</v>
      </c>
      <c r="G204" s="20" t="str">
        <f aca="false">IFERROR(INDEX('Расчет Кплотн'!$C:$C,MATCH(F204,'Расчет Кплотн'!$A:$A,0)),"код не найден")</f>
        <v>г. Алматы</v>
      </c>
      <c r="H204" s="20" t="s">
        <v>856</v>
      </c>
      <c r="I204" s="20" t="s">
        <v>513</v>
      </c>
      <c r="J204" s="41" t="s">
        <v>503</v>
      </c>
      <c r="K204" s="20"/>
    </row>
    <row r="205" customFormat="false" ht="30" hidden="false" customHeight="true" outlineLevel="0" collapsed="false">
      <c r="A205" s="20" t="n">
        <v>202</v>
      </c>
      <c r="B205" s="20" t="s">
        <v>840</v>
      </c>
      <c r="C205" s="20" t="s">
        <v>991</v>
      </c>
      <c r="D205" s="20" t="s">
        <v>992</v>
      </c>
      <c r="E205" s="40" t="n">
        <v>36555</v>
      </c>
      <c r="F205" s="31" t="s">
        <v>260</v>
      </c>
      <c r="G205" s="20" t="str">
        <f aca="false">IFERROR(INDEX('Расчет Кплотн'!$C:$C,MATCH(F205,'Расчет Кплотн'!$A:$A,0)),"код не найден")</f>
        <v>г. Алматы</v>
      </c>
      <c r="H205" s="20" t="s">
        <v>883</v>
      </c>
      <c r="I205" s="20" t="s">
        <v>513</v>
      </c>
      <c r="J205" s="41" t="s">
        <v>503</v>
      </c>
      <c r="K205" s="20"/>
    </row>
    <row r="206" customFormat="false" ht="30" hidden="false" customHeight="true" outlineLevel="0" collapsed="false">
      <c r="A206" s="20" t="n">
        <v>203</v>
      </c>
      <c r="B206" s="20" t="s">
        <v>840</v>
      </c>
      <c r="C206" s="20" t="s">
        <v>993</v>
      </c>
      <c r="D206" s="20" t="s">
        <v>994</v>
      </c>
      <c r="E206" s="40" t="n">
        <v>67419</v>
      </c>
      <c r="F206" s="31" t="s">
        <v>260</v>
      </c>
      <c r="G206" s="20" t="str">
        <f aca="false">IFERROR(INDEX('Расчет Кплотн'!$C:$C,MATCH(F206,'Расчет Кплотн'!$A:$A,0)),"код не найден")</f>
        <v>г. Алматы</v>
      </c>
      <c r="H206" s="20" t="s">
        <v>864</v>
      </c>
      <c r="I206" s="20" t="s">
        <v>513</v>
      </c>
      <c r="J206" s="41" t="s">
        <v>503</v>
      </c>
      <c r="K206" s="20"/>
    </row>
    <row r="207" customFormat="false" ht="30" hidden="false" customHeight="true" outlineLevel="0" collapsed="false">
      <c r="A207" s="20" t="n">
        <v>204</v>
      </c>
      <c r="B207" s="20" t="s">
        <v>840</v>
      </c>
      <c r="C207" s="20" t="s">
        <v>995</v>
      </c>
      <c r="D207" s="20" t="s">
        <v>996</v>
      </c>
      <c r="E207" s="40" t="n">
        <v>34591</v>
      </c>
      <c r="F207" s="31" t="s">
        <v>260</v>
      </c>
      <c r="G207" s="20" t="str">
        <f aca="false">IFERROR(INDEX('Расчет Кплотн'!$C:$C,MATCH(F207,'Расчет Кплотн'!$A:$A,0)),"код не найден")</f>
        <v>г. Алматы</v>
      </c>
      <c r="H207" s="20" t="s">
        <v>883</v>
      </c>
      <c r="I207" s="20" t="s">
        <v>513</v>
      </c>
      <c r="J207" s="41" t="s">
        <v>503</v>
      </c>
      <c r="K207" s="20"/>
    </row>
    <row r="208" customFormat="false" ht="30" hidden="false" customHeight="true" outlineLevel="0" collapsed="false">
      <c r="A208" s="20" t="n">
        <v>205</v>
      </c>
      <c r="B208" s="20" t="s">
        <v>840</v>
      </c>
      <c r="C208" s="20" t="s">
        <v>997</v>
      </c>
      <c r="D208" s="20" t="s">
        <v>998</v>
      </c>
      <c r="E208" s="40" t="n">
        <v>87399</v>
      </c>
      <c r="F208" s="31" t="s">
        <v>260</v>
      </c>
      <c r="G208" s="20" t="str">
        <f aca="false">IFERROR(INDEX('Расчет Кплотн'!$C:$C,MATCH(F208,'Расчет Кплотн'!$A:$A,0)),"код не найден")</f>
        <v>г. Алматы</v>
      </c>
      <c r="H208" s="20" t="s">
        <v>846</v>
      </c>
      <c r="I208" s="20" t="s">
        <v>513</v>
      </c>
      <c r="J208" s="41" t="s">
        <v>503</v>
      </c>
      <c r="K208" s="20"/>
    </row>
    <row r="209" customFormat="false" ht="30" hidden="false" customHeight="true" outlineLevel="0" collapsed="false">
      <c r="A209" s="20" t="n">
        <v>206</v>
      </c>
      <c r="B209" s="20" t="s">
        <v>840</v>
      </c>
      <c r="C209" s="20" t="s">
        <v>999</v>
      </c>
      <c r="D209" s="20" t="s">
        <v>1000</v>
      </c>
      <c r="E209" s="40" t="n">
        <v>45681</v>
      </c>
      <c r="F209" s="31" t="s">
        <v>260</v>
      </c>
      <c r="G209" s="20" t="str">
        <f aca="false">IFERROR(INDEX('Расчет Кплотн'!$C:$C,MATCH(F209,'Расчет Кплотн'!$A:$A,0)),"код не найден")</f>
        <v>г. Алматы</v>
      </c>
      <c r="H209" s="20" t="s">
        <v>853</v>
      </c>
      <c r="I209" s="20" t="s">
        <v>513</v>
      </c>
      <c r="J209" s="41" t="s">
        <v>503</v>
      </c>
      <c r="K209" s="20"/>
    </row>
    <row r="210" customFormat="false" ht="30" hidden="false" customHeight="true" outlineLevel="0" collapsed="false">
      <c r="A210" s="20" t="n">
        <v>207</v>
      </c>
      <c r="B210" s="20" t="s">
        <v>840</v>
      </c>
      <c r="C210" s="20" t="s">
        <v>1001</v>
      </c>
      <c r="D210" s="20" t="s">
        <v>1002</v>
      </c>
      <c r="E210" s="40" t="n">
        <v>35097</v>
      </c>
      <c r="F210" s="31" t="s">
        <v>260</v>
      </c>
      <c r="G210" s="20" t="str">
        <f aca="false">IFERROR(INDEX('Расчет Кплотн'!$C:$C,MATCH(F210,'Расчет Кплотн'!$A:$A,0)),"код не найден")</f>
        <v>г. Алматы</v>
      </c>
      <c r="H210" s="20" t="s">
        <v>853</v>
      </c>
      <c r="I210" s="20" t="s">
        <v>513</v>
      </c>
      <c r="J210" s="41" t="s">
        <v>503</v>
      </c>
      <c r="K210" s="20"/>
    </row>
    <row r="211" customFormat="false" ht="30" hidden="false" customHeight="true" outlineLevel="0" collapsed="false">
      <c r="A211" s="20" t="n">
        <v>208</v>
      </c>
      <c r="B211" s="20" t="s">
        <v>1003</v>
      </c>
      <c r="C211" s="20" t="s">
        <v>1004</v>
      </c>
      <c r="D211" s="20" t="s">
        <v>1005</v>
      </c>
      <c r="E211" s="40" t="n">
        <v>42788</v>
      </c>
      <c r="F211" s="31" t="s">
        <v>259</v>
      </c>
      <c r="G211" s="20" t="str">
        <f aca="false">IFERROR(INDEX('Расчет Кплотн'!$C:$C,MATCH(F211,'Расчет Кплотн'!$A:$A,0)),"код не найден")</f>
        <v>г. Астана</v>
      </c>
      <c r="H211" s="20" t="s">
        <v>1006</v>
      </c>
      <c r="I211" s="20" t="s">
        <v>513</v>
      </c>
      <c r="J211" s="41" t="s">
        <v>503</v>
      </c>
      <c r="K211" s="20"/>
    </row>
    <row r="212" customFormat="false" ht="30" hidden="false" customHeight="true" outlineLevel="0" collapsed="false">
      <c r="A212" s="20" t="n">
        <v>209</v>
      </c>
      <c r="B212" s="20" t="s">
        <v>1003</v>
      </c>
      <c r="C212" s="20" t="s">
        <v>1007</v>
      </c>
      <c r="D212" s="20" t="s">
        <v>1008</v>
      </c>
      <c r="E212" s="40" t="n">
        <v>12166</v>
      </c>
      <c r="F212" s="31" t="s">
        <v>259</v>
      </c>
      <c r="G212" s="20" t="str">
        <f aca="false">IFERROR(INDEX('Расчет Кплотн'!$C:$C,MATCH(F212,'Расчет Кплотн'!$A:$A,0)),"код не найден")</f>
        <v>г. Астана</v>
      </c>
      <c r="H212" s="20" t="s">
        <v>1006</v>
      </c>
      <c r="I212" s="20" t="s">
        <v>513</v>
      </c>
      <c r="J212" s="41" t="s">
        <v>503</v>
      </c>
      <c r="K212" s="20"/>
    </row>
    <row r="213" customFormat="false" ht="30" hidden="false" customHeight="true" outlineLevel="0" collapsed="false">
      <c r="A213" s="20" t="n">
        <v>210</v>
      </c>
      <c r="B213" s="20" t="s">
        <v>1003</v>
      </c>
      <c r="C213" s="20" t="s">
        <v>1009</v>
      </c>
      <c r="D213" s="20" t="s">
        <v>1010</v>
      </c>
      <c r="E213" s="40" t="n">
        <v>21397</v>
      </c>
      <c r="F213" s="31" t="s">
        <v>259</v>
      </c>
      <c r="G213" s="20" t="str">
        <f aca="false">IFERROR(INDEX('Расчет Кплотн'!$C:$C,MATCH(F213,'Расчет Кплотн'!$A:$A,0)),"код не найден")</f>
        <v>г. Астана</v>
      </c>
      <c r="H213" s="20" t="s">
        <v>1011</v>
      </c>
      <c r="I213" s="20" t="s">
        <v>513</v>
      </c>
      <c r="J213" s="41" t="s">
        <v>503</v>
      </c>
      <c r="K213" s="20"/>
    </row>
    <row r="214" customFormat="false" ht="30" hidden="false" customHeight="true" outlineLevel="0" collapsed="false">
      <c r="A214" s="20" t="n">
        <v>211</v>
      </c>
      <c r="B214" s="20" t="s">
        <v>1003</v>
      </c>
      <c r="C214" s="20" t="s">
        <v>1012</v>
      </c>
      <c r="D214" s="20" t="s">
        <v>1013</v>
      </c>
      <c r="E214" s="40" t="n">
        <v>10939</v>
      </c>
      <c r="F214" s="31" t="s">
        <v>259</v>
      </c>
      <c r="G214" s="20" t="str">
        <f aca="false">IFERROR(INDEX('Расчет Кплотн'!$C:$C,MATCH(F214,'Расчет Кплотн'!$A:$A,0)),"код не найден")</f>
        <v>г. Астана</v>
      </c>
      <c r="H214" s="20" t="s">
        <v>1006</v>
      </c>
      <c r="I214" s="20" t="s">
        <v>513</v>
      </c>
      <c r="J214" s="41" t="s">
        <v>503</v>
      </c>
      <c r="K214" s="20"/>
    </row>
    <row r="215" customFormat="false" ht="30" hidden="false" customHeight="true" outlineLevel="0" collapsed="false">
      <c r="A215" s="20" t="n">
        <v>212</v>
      </c>
      <c r="B215" s="20" t="s">
        <v>1003</v>
      </c>
      <c r="C215" s="20" t="s">
        <v>1014</v>
      </c>
      <c r="D215" s="20" t="s">
        <v>1015</v>
      </c>
      <c r="E215" s="40" t="n">
        <v>13377</v>
      </c>
      <c r="F215" s="31" t="s">
        <v>259</v>
      </c>
      <c r="G215" s="20" t="str">
        <f aca="false">IFERROR(INDEX('Расчет Кплотн'!$C:$C,MATCH(F215,'Расчет Кплотн'!$A:$A,0)),"код не найден")</f>
        <v>г. Астана</v>
      </c>
      <c r="H215" s="20" t="s">
        <v>1006</v>
      </c>
      <c r="I215" s="20" t="s">
        <v>513</v>
      </c>
      <c r="J215" s="41" t="s">
        <v>503</v>
      </c>
      <c r="K215" s="20"/>
    </row>
    <row r="216" customFormat="false" ht="30" hidden="false" customHeight="true" outlineLevel="0" collapsed="false">
      <c r="A216" s="20" t="n">
        <v>213</v>
      </c>
      <c r="B216" s="20" t="s">
        <v>1003</v>
      </c>
      <c r="C216" s="20" t="s">
        <v>1016</v>
      </c>
      <c r="D216" s="20" t="s">
        <v>1017</v>
      </c>
      <c r="E216" s="40" t="n">
        <v>12745</v>
      </c>
      <c r="F216" s="31" t="s">
        <v>259</v>
      </c>
      <c r="G216" s="20" t="str">
        <f aca="false">IFERROR(INDEX('Расчет Кплотн'!$C:$C,MATCH(F216,'Расчет Кплотн'!$A:$A,0)),"код не найден")</f>
        <v>г. Астана</v>
      </c>
      <c r="H216" s="20" t="s">
        <v>1018</v>
      </c>
      <c r="I216" s="20" t="s">
        <v>513</v>
      </c>
      <c r="J216" s="41" t="s">
        <v>503</v>
      </c>
      <c r="K216" s="20"/>
    </row>
    <row r="217" customFormat="false" ht="30" hidden="false" customHeight="true" outlineLevel="0" collapsed="false">
      <c r="A217" s="20" t="n">
        <v>214</v>
      </c>
      <c r="B217" s="20" t="s">
        <v>1003</v>
      </c>
      <c r="C217" s="20" t="s">
        <v>1019</v>
      </c>
      <c r="D217" s="20" t="s">
        <v>1020</v>
      </c>
      <c r="E217" s="40" t="n">
        <v>7833</v>
      </c>
      <c r="F217" s="31" t="s">
        <v>259</v>
      </c>
      <c r="G217" s="20" t="str">
        <f aca="false">IFERROR(INDEX('Расчет Кплотн'!$C:$C,MATCH(F217,'Расчет Кплотн'!$A:$A,0)),"код не найден")</f>
        <v>г. Астана</v>
      </c>
      <c r="H217" s="20" t="s">
        <v>1006</v>
      </c>
      <c r="I217" s="20" t="s">
        <v>513</v>
      </c>
      <c r="J217" s="41" t="s">
        <v>503</v>
      </c>
      <c r="K217" s="20"/>
    </row>
    <row r="218" customFormat="false" ht="30" hidden="false" customHeight="true" outlineLevel="0" collapsed="false">
      <c r="A218" s="20" t="n">
        <v>215</v>
      </c>
      <c r="B218" s="20" t="s">
        <v>1003</v>
      </c>
      <c r="C218" s="20" t="s">
        <v>1021</v>
      </c>
      <c r="D218" s="20" t="s">
        <v>1022</v>
      </c>
      <c r="E218" s="40" t="n">
        <v>3498</v>
      </c>
      <c r="F218" s="31" t="s">
        <v>259</v>
      </c>
      <c r="G218" s="20" t="str">
        <f aca="false">IFERROR(INDEX('Расчет Кплотн'!$C:$C,MATCH(F218,'Расчет Кплотн'!$A:$A,0)),"код не найден")</f>
        <v>г. Астана</v>
      </c>
      <c r="H218" s="20" t="s">
        <v>1006</v>
      </c>
      <c r="I218" s="20" t="s">
        <v>513</v>
      </c>
      <c r="J218" s="41" t="s">
        <v>503</v>
      </c>
      <c r="K218" s="20"/>
    </row>
    <row r="219" customFormat="false" ht="30" hidden="false" customHeight="true" outlineLevel="0" collapsed="false">
      <c r="A219" s="20" t="n">
        <v>216</v>
      </c>
      <c r="B219" s="20" t="s">
        <v>1003</v>
      </c>
      <c r="C219" s="20" t="s">
        <v>1023</v>
      </c>
      <c r="D219" s="20" t="s">
        <v>1024</v>
      </c>
      <c r="E219" s="40" t="n">
        <v>24373</v>
      </c>
      <c r="F219" s="31" t="s">
        <v>259</v>
      </c>
      <c r="G219" s="20" t="str">
        <f aca="false">IFERROR(INDEX('Расчет Кплотн'!$C:$C,MATCH(F219,'Расчет Кплотн'!$A:$A,0)),"код не найден")</f>
        <v>г. Астана</v>
      </c>
      <c r="H219" s="20" t="s">
        <v>1011</v>
      </c>
      <c r="I219" s="20" t="s">
        <v>513</v>
      </c>
      <c r="J219" s="41" t="s">
        <v>503</v>
      </c>
      <c r="K219" s="20"/>
    </row>
    <row r="220" customFormat="false" ht="30" hidden="false" customHeight="true" outlineLevel="0" collapsed="false">
      <c r="A220" s="20" t="n">
        <v>217</v>
      </c>
      <c r="B220" s="20" t="s">
        <v>1003</v>
      </c>
      <c r="C220" s="20" t="s">
        <v>1025</v>
      </c>
      <c r="D220" s="20" t="s">
        <v>1026</v>
      </c>
      <c r="E220" s="40" t="n">
        <v>100593</v>
      </c>
      <c r="F220" s="31" t="s">
        <v>259</v>
      </c>
      <c r="G220" s="20" t="str">
        <f aca="false">IFERROR(INDEX('Расчет Кплотн'!$C:$C,MATCH(F220,'Расчет Кплотн'!$A:$A,0)),"код не найден")</f>
        <v>г. Астана</v>
      </c>
      <c r="H220" s="20" t="s">
        <v>1011</v>
      </c>
      <c r="I220" s="20" t="s">
        <v>513</v>
      </c>
      <c r="J220" s="41" t="s">
        <v>503</v>
      </c>
      <c r="K220" s="20"/>
    </row>
    <row r="221" customFormat="false" ht="30" hidden="false" customHeight="true" outlineLevel="0" collapsed="false">
      <c r="A221" s="20" t="n">
        <v>218</v>
      </c>
      <c r="B221" s="20" t="s">
        <v>1003</v>
      </c>
      <c r="C221" s="20" t="s">
        <v>1027</v>
      </c>
      <c r="D221" s="20" t="s">
        <v>1028</v>
      </c>
      <c r="E221" s="40" t="n">
        <v>19989</v>
      </c>
      <c r="F221" s="31" t="s">
        <v>259</v>
      </c>
      <c r="G221" s="20" t="str">
        <f aca="false">IFERROR(INDEX('Расчет Кплотн'!$C:$C,MATCH(F221,'Расчет Кплотн'!$A:$A,0)),"код не найден")</f>
        <v>г. Астана</v>
      </c>
      <c r="H221" s="20" t="s">
        <v>1029</v>
      </c>
      <c r="I221" s="20" t="s">
        <v>513</v>
      </c>
      <c r="J221" s="41" t="s">
        <v>503</v>
      </c>
      <c r="K221" s="20"/>
    </row>
    <row r="222" customFormat="false" ht="30" hidden="false" customHeight="true" outlineLevel="0" collapsed="false">
      <c r="A222" s="20" t="n">
        <v>219</v>
      </c>
      <c r="B222" s="20" t="s">
        <v>1003</v>
      </c>
      <c r="C222" s="20" t="s">
        <v>1030</v>
      </c>
      <c r="D222" s="20" t="s">
        <v>1031</v>
      </c>
      <c r="E222" s="40" t="n">
        <v>11912</v>
      </c>
      <c r="F222" s="31" t="s">
        <v>259</v>
      </c>
      <c r="G222" s="20" t="str">
        <f aca="false">IFERROR(INDEX('Расчет Кплотн'!$C:$C,MATCH(F222,'Расчет Кплотн'!$A:$A,0)),"код не найден")</f>
        <v>г. Астана</v>
      </c>
      <c r="H222" s="20" t="s">
        <v>1018</v>
      </c>
      <c r="I222" s="20" t="s">
        <v>513</v>
      </c>
      <c r="J222" s="41" t="s">
        <v>503</v>
      </c>
      <c r="K222" s="20"/>
    </row>
    <row r="223" customFormat="false" ht="30" hidden="false" customHeight="true" outlineLevel="0" collapsed="false">
      <c r="A223" s="20" t="n">
        <v>220</v>
      </c>
      <c r="B223" s="20" t="s">
        <v>1003</v>
      </c>
      <c r="C223" s="20" t="s">
        <v>1032</v>
      </c>
      <c r="D223" s="20" t="s">
        <v>1033</v>
      </c>
      <c r="E223" s="40" t="n">
        <v>4336</v>
      </c>
      <c r="F223" s="31" t="s">
        <v>259</v>
      </c>
      <c r="G223" s="20" t="str">
        <f aca="false">IFERROR(INDEX('Расчет Кплотн'!$C:$C,MATCH(F223,'Расчет Кплотн'!$A:$A,0)),"код не найден")</f>
        <v>г. Астана</v>
      </c>
      <c r="H223" s="20" t="s">
        <v>1006</v>
      </c>
      <c r="I223" s="20" t="s">
        <v>513</v>
      </c>
      <c r="J223" s="41" t="s">
        <v>503</v>
      </c>
      <c r="K223" s="20"/>
    </row>
    <row r="224" customFormat="false" ht="30" hidden="false" customHeight="true" outlineLevel="0" collapsed="false">
      <c r="A224" s="20" t="n">
        <v>221</v>
      </c>
      <c r="B224" s="20" t="s">
        <v>1003</v>
      </c>
      <c r="C224" s="20" t="s">
        <v>1034</v>
      </c>
      <c r="D224" s="20" t="s">
        <v>1035</v>
      </c>
      <c r="E224" s="40" t="n">
        <v>28621</v>
      </c>
      <c r="F224" s="31" t="s">
        <v>259</v>
      </c>
      <c r="G224" s="20" t="str">
        <f aca="false">IFERROR(INDEX('Расчет Кплотн'!$C:$C,MATCH(F224,'Расчет Кплотн'!$A:$A,0)),"код не найден")</f>
        <v>г. Астана</v>
      </c>
      <c r="H224" s="20" t="s">
        <v>1018</v>
      </c>
      <c r="I224" s="20" t="s">
        <v>513</v>
      </c>
      <c r="J224" s="41" t="s">
        <v>503</v>
      </c>
      <c r="K224" s="20"/>
    </row>
    <row r="225" customFormat="false" ht="30" hidden="false" customHeight="true" outlineLevel="0" collapsed="false">
      <c r="A225" s="20" t="n">
        <v>222</v>
      </c>
      <c r="B225" s="20" t="s">
        <v>1003</v>
      </c>
      <c r="C225" s="20" t="s">
        <v>1036</v>
      </c>
      <c r="D225" s="20" t="s">
        <v>1037</v>
      </c>
      <c r="E225" s="40" t="n">
        <v>106474</v>
      </c>
      <c r="F225" s="31" t="s">
        <v>259</v>
      </c>
      <c r="G225" s="20" t="str">
        <f aca="false">IFERROR(INDEX('Расчет Кплотн'!$C:$C,MATCH(F225,'Расчет Кплотн'!$A:$A,0)),"код не найден")</f>
        <v>г. Астана</v>
      </c>
      <c r="H225" s="20" t="s">
        <v>1011</v>
      </c>
      <c r="I225" s="20" t="s">
        <v>513</v>
      </c>
      <c r="J225" s="41" t="s">
        <v>503</v>
      </c>
      <c r="K225" s="20"/>
    </row>
    <row r="226" customFormat="false" ht="30" hidden="false" customHeight="true" outlineLevel="0" collapsed="false">
      <c r="A226" s="20" t="n">
        <v>223</v>
      </c>
      <c r="B226" s="20" t="s">
        <v>1003</v>
      </c>
      <c r="C226" s="20" t="s">
        <v>1038</v>
      </c>
      <c r="D226" s="20" t="s">
        <v>1039</v>
      </c>
      <c r="E226" s="40" t="n">
        <v>21349</v>
      </c>
      <c r="F226" s="31" t="s">
        <v>259</v>
      </c>
      <c r="G226" s="20" t="str">
        <f aca="false">IFERROR(INDEX('Расчет Кплотн'!$C:$C,MATCH(F226,'Расчет Кплотн'!$A:$A,0)),"код не найден")</f>
        <v>г. Астана</v>
      </c>
      <c r="H226" s="20" t="s">
        <v>1011</v>
      </c>
      <c r="I226" s="20" t="s">
        <v>513</v>
      </c>
      <c r="J226" s="41" t="s">
        <v>503</v>
      </c>
      <c r="K226" s="20"/>
    </row>
    <row r="227" customFormat="false" ht="30" hidden="false" customHeight="true" outlineLevel="0" collapsed="false">
      <c r="A227" s="20" t="n">
        <v>224</v>
      </c>
      <c r="B227" s="20" t="s">
        <v>1003</v>
      </c>
      <c r="C227" s="20" t="s">
        <v>1040</v>
      </c>
      <c r="D227" s="20" t="s">
        <v>1041</v>
      </c>
      <c r="E227" s="40" t="n">
        <v>6374</v>
      </c>
      <c r="F227" s="31" t="s">
        <v>259</v>
      </c>
      <c r="G227" s="20" t="str">
        <f aca="false">IFERROR(INDEX('Расчет Кплотн'!$C:$C,MATCH(F227,'Расчет Кплотн'!$A:$A,0)),"код не найден")</f>
        <v>г. Астана</v>
      </c>
      <c r="H227" s="20" t="s">
        <v>1018</v>
      </c>
      <c r="I227" s="20" t="s">
        <v>513</v>
      </c>
      <c r="J227" s="41" t="s">
        <v>503</v>
      </c>
      <c r="K227" s="20"/>
    </row>
    <row r="228" customFormat="false" ht="30" hidden="false" customHeight="true" outlineLevel="0" collapsed="false">
      <c r="A228" s="20" t="n">
        <v>225</v>
      </c>
      <c r="B228" s="20" t="s">
        <v>1003</v>
      </c>
      <c r="C228" s="20" t="s">
        <v>1042</v>
      </c>
      <c r="D228" s="20" t="s">
        <v>1043</v>
      </c>
      <c r="E228" s="40" t="n">
        <v>119513</v>
      </c>
      <c r="F228" s="31" t="s">
        <v>259</v>
      </c>
      <c r="G228" s="20" t="str">
        <f aca="false">IFERROR(INDEX('Расчет Кплотн'!$C:$C,MATCH(F228,'Расчет Кплотн'!$A:$A,0)),"код не найден")</f>
        <v>г. Астана</v>
      </c>
      <c r="H228" s="20" t="s">
        <v>1011</v>
      </c>
      <c r="I228" s="20" t="s">
        <v>513</v>
      </c>
      <c r="J228" s="41" t="s">
        <v>503</v>
      </c>
      <c r="K228" s="20"/>
    </row>
    <row r="229" customFormat="false" ht="30" hidden="false" customHeight="true" outlineLevel="0" collapsed="false">
      <c r="A229" s="20" t="n">
        <v>226</v>
      </c>
      <c r="B229" s="20" t="s">
        <v>1003</v>
      </c>
      <c r="C229" s="20" t="s">
        <v>1044</v>
      </c>
      <c r="D229" s="20" t="s">
        <v>1045</v>
      </c>
      <c r="E229" s="40" t="n">
        <v>10264</v>
      </c>
      <c r="F229" s="31" t="s">
        <v>259</v>
      </c>
      <c r="G229" s="20" t="str">
        <f aca="false">IFERROR(INDEX('Расчет Кплотн'!$C:$C,MATCH(F229,'Расчет Кплотн'!$A:$A,0)),"код не найден")</f>
        <v>г. Астана</v>
      </c>
      <c r="H229" s="20" t="s">
        <v>1018</v>
      </c>
      <c r="I229" s="20" t="s">
        <v>513</v>
      </c>
      <c r="J229" s="41" t="s">
        <v>503</v>
      </c>
      <c r="K229" s="20"/>
    </row>
    <row r="230" customFormat="false" ht="30" hidden="false" customHeight="true" outlineLevel="0" collapsed="false">
      <c r="A230" s="20" t="n">
        <v>227</v>
      </c>
      <c r="B230" s="20" t="s">
        <v>1003</v>
      </c>
      <c r="C230" s="20" t="s">
        <v>1046</v>
      </c>
      <c r="D230" s="20" t="s">
        <v>1047</v>
      </c>
      <c r="E230" s="40" t="n">
        <v>81365</v>
      </c>
      <c r="F230" s="31" t="s">
        <v>259</v>
      </c>
      <c r="G230" s="20" t="str">
        <f aca="false">IFERROR(INDEX('Расчет Кплотн'!$C:$C,MATCH(F230,'Расчет Кплотн'!$A:$A,0)),"код не найден")</f>
        <v>г. Астана</v>
      </c>
      <c r="H230" s="20" t="s">
        <v>1011</v>
      </c>
      <c r="I230" s="20" t="s">
        <v>513</v>
      </c>
      <c r="J230" s="41" t="s">
        <v>503</v>
      </c>
      <c r="K230" s="20"/>
    </row>
    <row r="231" customFormat="false" ht="30" hidden="false" customHeight="true" outlineLevel="0" collapsed="false">
      <c r="A231" s="20" t="n">
        <v>228</v>
      </c>
      <c r="B231" s="20" t="s">
        <v>1003</v>
      </c>
      <c r="C231" s="20" t="s">
        <v>1048</v>
      </c>
      <c r="D231" s="20" t="s">
        <v>1049</v>
      </c>
      <c r="E231" s="40" t="n">
        <v>18408</v>
      </c>
      <c r="F231" s="31" t="s">
        <v>259</v>
      </c>
      <c r="G231" s="20" t="str">
        <f aca="false">IFERROR(INDEX('Расчет Кплотн'!$C:$C,MATCH(F231,'Расчет Кплотн'!$A:$A,0)),"код не найден")</f>
        <v>г. Астана</v>
      </c>
      <c r="H231" s="20" t="s">
        <v>1018</v>
      </c>
      <c r="I231" s="20" t="s">
        <v>513</v>
      </c>
      <c r="J231" s="41" t="s">
        <v>503</v>
      </c>
      <c r="K231" s="20"/>
    </row>
    <row r="232" customFormat="false" ht="30" hidden="false" customHeight="true" outlineLevel="0" collapsed="false">
      <c r="A232" s="20" t="n">
        <v>229</v>
      </c>
      <c r="B232" s="20" t="s">
        <v>1003</v>
      </c>
      <c r="C232" s="20" t="s">
        <v>1050</v>
      </c>
      <c r="D232" s="20" t="s">
        <v>1051</v>
      </c>
      <c r="E232" s="40" t="n">
        <v>77072</v>
      </c>
      <c r="F232" s="31" t="s">
        <v>259</v>
      </c>
      <c r="G232" s="20" t="str">
        <f aca="false">IFERROR(INDEX('Расчет Кплотн'!$C:$C,MATCH(F232,'Расчет Кплотн'!$A:$A,0)),"код не найден")</f>
        <v>г. Астана</v>
      </c>
      <c r="H232" s="20" t="s">
        <v>1018</v>
      </c>
      <c r="I232" s="20" t="s">
        <v>513</v>
      </c>
      <c r="J232" s="41" t="s">
        <v>503</v>
      </c>
      <c r="K232" s="20"/>
    </row>
    <row r="233" customFormat="false" ht="30" hidden="false" customHeight="true" outlineLevel="0" collapsed="false">
      <c r="A233" s="20" t="n">
        <v>230</v>
      </c>
      <c r="B233" s="20" t="s">
        <v>1003</v>
      </c>
      <c r="C233" s="20" t="s">
        <v>700</v>
      </c>
      <c r="D233" s="20" t="s">
        <v>1052</v>
      </c>
      <c r="E233" s="40" t="n">
        <v>7049</v>
      </c>
      <c r="F233" s="31" t="s">
        <v>259</v>
      </c>
      <c r="G233" s="20" t="str">
        <f aca="false">IFERROR(INDEX('Расчет Кплотн'!$C:$C,MATCH(F233,'Расчет Кплотн'!$A:$A,0)),"код не найден")</f>
        <v>г. Астана</v>
      </c>
      <c r="H233" s="20" t="s">
        <v>1011</v>
      </c>
      <c r="I233" s="20" t="s">
        <v>513</v>
      </c>
      <c r="J233" s="41" t="s">
        <v>503</v>
      </c>
      <c r="K233" s="20"/>
    </row>
    <row r="234" customFormat="false" ht="30" hidden="false" customHeight="true" outlineLevel="0" collapsed="false">
      <c r="A234" s="20" t="n">
        <v>231</v>
      </c>
      <c r="B234" s="20" t="s">
        <v>1003</v>
      </c>
      <c r="C234" s="20" t="s">
        <v>1053</v>
      </c>
      <c r="D234" s="20" t="s">
        <v>1054</v>
      </c>
      <c r="E234" s="40" t="n">
        <v>42562</v>
      </c>
      <c r="F234" s="31" t="s">
        <v>259</v>
      </c>
      <c r="G234" s="20" t="str">
        <f aca="false">IFERROR(INDEX('Расчет Кплотн'!$C:$C,MATCH(F234,'Расчет Кплотн'!$A:$A,0)),"код не найден")</f>
        <v>г. Астана</v>
      </c>
      <c r="H234" s="20" t="s">
        <v>1018</v>
      </c>
      <c r="I234" s="20" t="s">
        <v>513</v>
      </c>
      <c r="J234" s="41" t="s">
        <v>503</v>
      </c>
      <c r="K234" s="20"/>
    </row>
    <row r="235" customFormat="false" ht="30" hidden="false" customHeight="true" outlineLevel="0" collapsed="false">
      <c r="A235" s="20" t="n">
        <v>232</v>
      </c>
      <c r="B235" s="20" t="s">
        <v>1003</v>
      </c>
      <c r="C235" s="20" t="s">
        <v>1055</v>
      </c>
      <c r="D235" s="20" t="s">
        <v>1056</v>
      </c>
      <c r="E235" s="40" t="n">
        <v>52644</v>
      </c>
      <c r="F235" s="31" t="s">
        <v>259</v>
      </c>
      <c r="G235" s="20" t="str">
        <f aca="false">IFERROR(INDEX('Расчет Кплотн'!$C:$C,MATCH(F235,'Расчет Кплотн'!$A:$A,0)),"код не найден")</f>
        <v>г. Астана</v>
      </c>
      <c r="H235" s="20" t="s">
        <v>1006</v>
      </c>
      <c r="I235" s="20" t="s">
        <v>513</v>
      </c>
      <c r="J235" s="41" t="s">
        <v>503</v>
      </c>
      <c r="K235" s="20"/>
    </row>
    <row r="236" customFormat="false" ht="30" hidden="false" customHeight="true" outlineLevel="0" collapsed="false">
      <c r="A236" s="20" t="n">
        <v>233</v>
      </c>
      <c r="B236" s="20" t="s">
        <v>1003</v>
      </c>
      <c r="C236" s="20" t="s">
        <v>1057</v>
      </c>
      <c r="D236" s="20" t="s">
        <v>1058</v>
      </c>
      <c r="E236" s="40" t="n">
        <v>57192</v>
      </c>
      <c r="F236" s="31" t="s">
        <v>259</v>
      </c>
      <c r="G236" s="20" t="str">
        <f aca="false">IFERROR(INDEX('Расчет Кплотн'!$C:$C,MATCH(F236,'Расчет Кплотн'!$A:$A,0)),"код не найден")</f>
        <v>г. Астана</v>
      </c>
      <c r="H236" s="20" t="s">
        <v>1018</v>
      </c>
      <c r="I236" s="20" t="s">
        <v>513</v>
      </c>
      <c r="J236" s="41" t="s">
        <v>503</v>
      </c>
      <c r="K236" s="20"/>
    </row>
    <row r="237" customFormat="false" ht="30" hidden="false" customHeight="true" outlineLevel="0" collapsed="false">
      <c r="A237" s="20" t="n">
        <v>234</v>
      </c>
      <c r="B237" s="20" t="s">
        <v>1003</v>
      </c>
      <c r="C237" s="20" t="s">
        <v>1059</v>
      </c>
      <c r="D237" s="20" t="s">
        <v>1060</v>
      </c>
      <c r="E237" s="40" t="n">
        <v>85128</v>
      </c>
      <c r="F237" s="31" t="s">
        <v>259</v>
      </c>
      <c r="G237" s="20" t="str">
        <f aca="false">IFERROR(INDEX('Расчет Кплотн'!$C:$C,MATCH(F237,'Расчет Кплотн'!$A:$A,0)),"код не найден")</f>
        <v>г. Астана</v>
      </c>
      <c r="H237" s="20" t="s">
        <v>1018</v>
      </c>
      <c r="I237" s="20" t="s">
        <v>513</v>
      </c>
      <c r="J237" s="41" t="s">
        <v>503</v>
      </c>
      <c r="K237" s="20"/>
    </row>
    <row r="238" customFormat="false" ht="30" hidden="false" customHeight="true" outlineLevel="0" collapsed="false">
      <c r="A238" s="20" t="n">
        <v>235</v>
      </c>
      <c r="B238" s="20" t="s">
        <v>1003</v>
      </c>
      <c r="C238" s="20" t="s">
        <v>1061</v>
      </c>
      <c r="D238" s="20" t="s">
        <v>1062</v>
      </c>
      <c r="E238" s="40" t="n">
        <v>44826</v>
      </c>
      <c r="F238" s="31" t="s">
        <v>259</v>
      </c>
      <c r="G238" s="20" t="str">
        <f aca="false">IFERROR(INDEX('Расчет Кплотн'!$C:$C,MATCH(F238,'Расчет Кплотн'!$A:$A,0)),"код не найден")</f>
        <v>г. Астана</v>
      </c>
      <c r="H238" s="20" t="s">
        <v>1011</v>
      </c>
      <c r="I238" s="20" t="s">
        <v>513</v>
      </c>
      <c r="J238" s="41" t="s">
        <v>503</v>
      </c>
      <c r="K238" s="20"/>
    </row>
    <row r="239" customFormat="false" ht="30" hidden="false" customHeight="true" outlineLevel="0" collapsed="false">
      <c r="A239" s="20" t="n">
        <v>236</v>
      </c>
      <c r="B239" s="20" t="s">
        <v>1003</v>
      </c>
      <c r="C239" s="20" t="s">
        <v>1063</v>
      </c>
      <c r="D239" s="20" t="s">
        <v>1064</v>
      </c>
      <c r="E239" s="40" t="n">
        <v>82692</v>
      </c>
      <c r="F239" s="31" t="s">
        <v>259</v>
      </c>
      <c r="G239" s="20" t="str">
        <f aca="false">IFERROR(INDEX('Расчет Кплотн'!$C:$C,MATCH(F239,'Расчет Кплотн'!$A:$A,0)),"код не найден")</f>
        <v>г. Астана</v>
      </c>
      <c r="H239" s="20" t="s">
        <v>1006</v>
      </c>
      <c r="I239" s="20" t="s">
        <v>513</v>
      </c>
      <c r="J239" s="41" t="s">
        <v>503</v>
      </c>
      <c r="K239" s="20"/>
    </row>
    <row r="240" customFormat="false" ht="30" hidden="false" customHeight="true" outlineLevel="0" collapsed="false">
      <c r="A240" s="20" t="n">
        <v>237</v>
      </c>
      <c r="B240" s="20" t="s">
        <v>1003</v>
      </c>
      <c r="C240" s="20" t="s">
        <v>1065</v>
      </c>
      <c r="D240" s="20" t="s">
        <v>1066</v>
      </c>
      <c r="E240" s="40" t="n">
        <v>97635</v>
      </c>
      <c r="F240" s="31" t="s">
        <v>259</v>
      </c>
      <c r="G240" s="20" t="str">
        <f aca="false">IFERROR(INDEX('Расчет Кплотн'!$C:$C,MATCH(F240,'Расчет Кплотн'!$A:$A,0)),"код не найден")</f>
        <v>г. Астана</v>
      </c>
      <c r="H240" s="20" t="s">
        <v>1011</v>
      </c>
      <c r="I240" s="20" t="s">
        <v>513</v>
      </c>
      <c r="J240" s="41" t="s">
        <v>503</v>
      </c>
      <c r="K240" s="20"/>
    </row>
    <row r="241" customFormat="false" ht="30" hidden="false" customHeight="true" outlineLevel="0" collapsed="false">
      <c r="A241" s="20" t="n">
        <v>238</v>
      </c>
      <c r="B241" s="20" t="s">
        <v>1003</v>
      </c>
      <c r="C241" s="20" t="s">
        <v>1067</v>
      </c>
      <c r="D241" s="20" t="s">
        <v>1068</v>
      </c>
      <c r="E241" s="40" t="n">
        <v>39871</v>
      </c>
      <c r="F241" s="31" t="s">
        <v>259</v>
      </c>
      <c r="G241" s="20" t="str">
        <f aca="false">IFERROR(INDEX('Расчет Кплотн'!$C:$C,MATCH(F241,'Расчет Кплотн'!$A:$A,0)),"код не найден")</f>
        <v>г. Астана</v>
      </c>
      <c r="H241" s="20" t="s">
        <v>1006</v>
      </c>
      <c r="I241" s="20" t="s">
        <v>513</v>
      </c>
      <c r="J241" s="41" t="s">
        <v>1069</v>
      </c>
      <c r="K241" s="20"/>
    </row>
    <row r="242" customFormat="false" ht="30" hidden="false" customHeight="true" outlineLevel="0" collapsed="false">
      <c r="A242" s="20" t="n">
        <v>239</v>
      </c>
      <c r="B242" s="20" t="s">
        <v>1003</v>
      </c>
      <c r="C242" s="20" t="s">
        <v>1070</v>
      </c>
      <c r="D242" s="20" t="s">
        <v>1071</v>
      </c>
      <c r="E242" s="40" t="n">
        <v>55593</v>
      </c>
      <c r="F242" s="31" t="s">
        <v>259</v>
      </c>
      <c r="G242" s="20" t="str">
        <f aca="false">IFERROR(INDEX('Расчет Кплотн'!$C:$C,MATCH(F242,'Расчет Кплотн'!$A:$A,0)),"код не найден")</f>
        <v>г. Астана</v>
      </c>
      <c r="H242" s="20" t="s">
        <v>1018</v>
      </c>
      <c r="I242" s="20" t="s">
        <v>513</v>
      </c>
      <c r="J242" s="41" t="s">
        <v>503</v>
      </c>
      <c r="K242" s="20"/>
    </row>
    <row r="243" customFormat="false" ht="30" hidden="false" customHeight="true" outlineLevel="0" collapsed="false">
      <c r="A243" s="20" t="n">
        <v>240</v>
      </c>
      <c r="B243" s="20" t="s">
        <v>1003</v>
      </c>
      <c r="C243" s="20" t="s">
        <v>1072</v>
      </c>
      <c r="D243" s="20" t="s">
        <v>1073</v>
      </c>
      <c r="E243" s="40" t="n">
        <v>97242</v>
      </c>
      <c r="F243" s="31" t="s">
        <v>259</v>
      </c>
      <c r="G243" s="20" t="str">
        <f aca="false">IFERROR(INDEX('Расчет Кплотн'!$C:$C,MATCH(F243,'Расчет Кплотн'!$A:$A,0)),"код не найден")</f>
        <v>г. Астана</v>
      </c>
      <c r="H243" s="20" t="s">
        <v>1006</v>
      </c>
      <c r="I243" s="20" t="s">
        <v>513</v>
      </c>
      <c r="J243" s="41" t="s">
        <v>503</v>
      </c>
      <c r="K243" s="20"/>
    </row>
    <row r="244" customFormat="false" ht="30" hidden="false" customHeight="true" outlineLevel="0" collapsed="false">
      <c r="A244" s="20" t="n">
        <v>241</v>
      </c>
      <c r="B244" s="20" t="s">
        <v>1003</v>
      </c>
      <c r="C244" s="20" t="s">
        <v>1074</v>
      </c>
      <c r="D244" s="20" t="s">
        <v>1075</v>
      </c>
      <c r="E244" s="40" t="n">
        <v>35636</v>
      </c>
      <c r="F244" s="31" t="s">
        <v>259</v>
      </c>
      <c r="G244" s="20" t="str">
        <f aca="false">IFERROR(INDEX('Расчет Кплотн'!$C:$C,MATCH(F244,'Расчет Кплотн'!$A:$A,0)),"код не найден")</f>
        <v>г. Астана</v>
      </c>
      <c r="H244" s="20" t="s">
        <v>1011</v>
      </c>
      <c r="I244" s="20" t="s">
        <v>513</v>
      </c>
      <c r="J244" s="41" t="s">
        <v>503</v>
      </c>
      <c r="K244" s="20"/>
    </row>
    <row r="245" customFormat="false" ht="30" hidden="false" customHeight="true" outlineLevel="0" collapsed="false">
      <c r="A245" s="20" t="n">
        <v>242</v>
      </c>
      <c r="B245" s="20" t="s">
        <v>1003</v>
      </c>
      <c r="C245" s="20" t="s">
        <v>1076</v>
      </c>
      <c r="D245" s="20" t="s">
        <v>1077</v>
      </c>
      <c r="E245" s="40" t="n">
        <v>53108</v>
      </c>
      <c r="F245" s="31" t="s">
        <v>259</v>
      </c>
      <c r="G245" s="20" t="str">
        <f aca="false">IFERROR(INDEX('Расчет Кплотн'!$C:$C,MATCH(F245,'Расчет Кплотн'!$A:$A,0)),"код не найден")</f>
        <v>г. Астана</v>
      </c>
      <c r="H245" s="20" t="s">
        <v>1006</v>
      </c>
      <c r="I245" s="20" t="s">
        <v>513</v>
      </c>
      <c r="J245" s="41" t="s">
        <v>503</v>
      </c>
      <c r="K245" s="20"/>
    </row>
    <row r="246" customFormat="false" ht="30" hidden="false" customHeight="true" outlineLevel="0" collapsed="false">
      <c r="A246" s="20" t="n">
        <v>243</v>
      </c>
      <c r="B246" s="20" t="s">
        <v>1003</v>
      </c>
      <c r="C246" s="20" t="s">
        <v>1078</v>
      </c>
      <c r="D246" s="20" t="s">
        <v>1079</v>
      </c>
      <c r="E246" s="40" t="n">
        <v>9062</v>
      </c>
      <c r="F246" s="31" t="s">
        <v>259</v>
      </c>
      <c r="G246" s="20" t="str">
        <f aca="false">IFERROR(INDEX('Расчет Кплотн'!$C:$C,MATCH(F246,'Расчет Кплотн'!$A:$A,0)),"код не найден")</f>
        <v>г. Астана</v>
      </c>
      <c r="H246" s="20" t="s">
        <v>1006</v>
      </c>
      <c r="I246" s="20" t="s">
        <v>513</v>
      </c>
      <c r="J246" s="41" t="s">
        <v>503</v>
      </c>
      <c r="K246" s="20"/>
    </row>
    <row r="247" customFormat="false" ht="30" hidden="false" customHeight="true" outlineLevel="0" collapsed="false">
      <c r="A247" s="20" t="n">
        <v>244</v>
      </c>
      <c r="B247" s="20" t="s">
        <v>1003</v>
      </c>
      <c r="C247" s="20" t="s">
        <v>1080</v>
      </c>
      <c r="D247" s="20" t="s">
        <v>1081</v>
      </c>
      <c r="E247" s="40" t="n">
        <v>4696</v>
      </c>
      <c r="F247" s="31" t="s">
        <v>259</v>
      </c>
      <c r="G247" s="20" t="str">
        <f aca="false">IFERROR(INDEX('Расчет Кплотн'!$C:$C,MATCH(F247,'Расчет Кплотн'!$A:$A,0)),"код не найден")</f>
        <v>г. Астана</v>
      </c>
      <c r="H247" s="20" t="s">
        <v>1018</v>
      </c>
      <c r="I247" s="20" t="s">
        <v>513</v>
      </c>
      <c r="J247" s="41" t="s">
        <v>503</v>
      </c>
      <c r="K247" s="20"/>
    </row>
    <row r="248" customFormat="false" ht="30" hidden="false" customHeight="true" outlineLevel="0" collapsed="false">
      <c r="A248" s="20" t="n">
        <v>245</v>
      </c>
      <c r="B248" s="20" t="s">
        <v>1003</v>
      </c>
      <c r="C248" s="20" t="s">
        <v>1082</v>
      </c>
      <c r="D248" s="20" t="s">
        <v>1083</v>
      </c>
      <c r="E248" s="40" t="n">
        <v>84128</v>
      </c>
      <c r="F248" s="31" t="s">
        <v>259</v>
      </c>
      <c r="G248" s="20" t="str">
        <f aca="false">IFERROR(INDEX('Расчет Кплотн'!$C:$C,MATCH(F248,'Расчет Кплотн'!$A:$A,0)),"код не найден")</f>
        <v>г. Астана</v>
      </c>
      <c r="H248" s="20" t="s">
        <v>1006</v>
      </c>
      <c r="I248" s="20" t="s">
        <v>513</v>
      </c>
      <c r="J248" s="41" t="s">
        <v>503</v>
      </c>
      <c r="K248" s="20"/>
    </row>
    <row r="249" customFormat="false" ht="30" hidden="false" customHeight="true" outlineLevel="0" collapsed="false">
      <c r="A249" s="20" t="n">
        <v>246</v>
      </c>
      <c r="B249" s="20" t="s">
        <v>1003</v>
      </c>
      <c r="C249" s="20" t="s">
        <v>1084</v>
      </c>
      <c r="D249" s="20" t="s">
        <v>1085</v>
      </c>
      <c r="E249" s="40" t="n">
        <v>4536</v>
      </c>
      <c r="F249" s="31" t="s">
        <v>259</v>
      </c>
      <c r="G249" s="20" t="str">
        <f aca="false">IFERROR(INDEX('Расчет Кплотн'!$C:$C,MATCH(F249,'Расчет Кплотн'!$A:$A,0)),"код не найден")</f>
        <v>г. Астана</v>
      </c>
      <c r="H249" s="20" t="s">
        <v>1011</v>
      </c>
      <c r="I249" s="20" t="s">
        <v>513</v>
      </c>
      <c r="J249" s="41" t="s">
        <v>503</v>
      </c>
      <c r="K249" s="20"/>
    </row>
    <row r="250" customFormat="false" ht="30" hidden="false" customHeight="true" outlineLevel="0" collapsed="false">
      <c r="A250" s="20" t="n">
        <v>247</v>
      </c>
      <c r="B250" s="20" t="s">
        <v>1003</v>
      </c>
      <c r="C250" s="20" t="s">
        <v>1086</v>
      </c>
      <c r="D250" s="20" t="s">
        <v>1087</v>
      </c>
      <c r="E250" s="40" t="n">
        <v>30177</v>
      </c>
      <c r="F250" s="31" t="s">
        <v>259</v>
      </c>
      <c r="G250" s="20" t="str">
        <f aca="false">IFERROR(INDEX('Расчет Кплотн'!$C:$C,MATCH(F250,'Расчет Кплотн'!$A:$A,0)),"код не найден")</f>
        <v>г. Астана</v>
      </c>
      <c r="H250" s="20" t="s">
        <v>1018</v>
      </c>
      <c r="I250" s="20" t="s">
        <v>513</v>
      </c>
      <c r="J250" s="41" t="s">
        <v>503</v>
      </c>
      <c r="K250" s="20"/>
    </row>
    <row r="251" customFormat="false" ht="30" hidden="false" customHeight="true" outlineLevel="0" collapsed="false">
      <c r="A251" s="20" t="n">
        <v>248</v>
      </c>
      <c r="B251" s="20" t="s">
        <v>1003</v>
      </c>
      <c r="C251" s="20" t="s">
        <v>1088</v>
      </c>
      <c r="D251" s="20" t="s">
        <v>1089</v>
      </c>
      <c r="E251" s="40" t="n">
        <v>30607</v>
      </c>
      <c r="F251" s="31" t="s">
        <v>259</v>
      </c>
      <c r="G251" s="20" t="str">
        <f aca="false">IFERROR(INDEX('Расчет Кплотн'!$C:$C,MATCH(F251,'Расчет Кплотн'!$A:$A,0)),"код не найден")</f>
        <v>г. Астана</v>
      </c>
      <c r="H251" s="20" t="s">
        <v>1018</v>
      </c>
      <c r="I251" s="20" t="s">
        <v>513</v>
      </c>
      <c r="J251" s="41" t="s">
        <v>503</v>
      </c>
      <c r="K251" s="20"/>
    </row>
    <row r="252" customFormat="false" ht="30" hidden="false" customHeight="true" outlineLevel="0" collapsed="false">
      <c r="A252" s="20" t="n">
        <v>249</v>
      </c>
      <c r="B252" s="20" t="s">
        <v>1003</v>
      </c>
      <c r="C252" s="20" t="s">
        <v>1090</v>
      </c>
      <c r="D252" s="20" t="s">
        <v>1091</v>
      </c>
      <c r="E252" s="40" t="n">
        <v>12549</v>
      </c>
      <c r="F252" s="31" t="s">
        <v>259</v>
      </c>
      <c r="G252" s="20" t="str">
        <f aca="false">IFERROR(INDEX('Расчет Кплотн'!$C:$C,MATCH(F252,'Расчет Кплотн'!$A:$A,0)),"код не найден")</f>
        <v>г. Астана</v>
      </c>
      <c r="H252" s="20" t="s">
        <v>1011</v>
      </c>
      <c r="I252" s="20" t="s">
        <v>513</v>
      </c>
      <c r="J252" s="41" t="s">
        <v>503</v>
      </c>
      <c r="K252" s="20"/>
    </row>
    <row r="253" customFormat="false" ht="30" hidden="false" customHeight="true" outlineLevel="0" collapsed="false">
      <c r="A253" s="20" t="n">
        <v>250</v>
      </c>
      <c r="B253" s="20" t="s">
        <v>1092</v>
      </c>
      <c r="C253" s="20" t="s">
        <v>1093</v>
      </c>
      <c r="D253" s="20" t="s">
        <v>1094</v>
      </c>
      <c r="E253" s="40" t="n">
        <v>38036</v>
      </c>
      <c r="F253" s="31" t="s">
        <v>106</v>
      </c>
      <c r="G253" s="20" t="str">
        <f aca="false">IFERROR(INDEX('Расчет Кплотн'!$C:$C,MATCH(F253,'Расчет Кплотн'!$A:$A,0)),"код не найден")</f>
        <v>Атырау</v>
      </c>
      <c r="H253" s="20" t="s">
        <v>1095</v>
      </c>
      <c r="I253" s="20" t="s">
        <v>513</v>
      </c>
      <c r="J253" s="41" t="s">
        <v>503</v>
      </c>
      <c r="K253" s="20"/>
    </row>
    <row r="254" customFormat="false" ht="30" hidden="false" customHeight="true" outlineLevel="0" collapsed="false">
      <c r="A254" s="20" t="n">
        <v>251</v>
      </c>
      <c r="B254" s="20" t="s">
        <v>1092</v>
      </c>
      <c r="C254" s="20" t="s">
        <v>1096</v>
      </c>
      <c r="D254" s="20" t="s">
        <v>1097</v>
      </c>
      <c r="E254" s="40" t="n">
        <v>13582</v>
      </c>
      <c r="F254" s="31" t="s">
        <v>106</v>
      </c>
      <c r="G254" s="20" t="str">
        <f aca="false">IFERROR(INDEX('Расчет Кплотн'!$C:$C,MATCH(F254,'Расчет Кплотн'!$A:$A,0)),"код не найден")</f>
        <v>Атырау</v>
      </c>
      <c r="H254" s="20" t="s">
        <v>1098</v>
      </c>
      <c r="I254" s="20" t="s">
        <v>513</v>
      </c>
      <c r="J254" s="41" t="s">
        <v>503</v>
      </c>
      <c r="K254" s="20"/>
    </row>
    <row r="255" customFormat="false" ht="30" hidden="false" customHeight="true" outlineLevel="0" collapsed="false">
      <c r="A255" s="20" t="n">
        <v>252</v>
      </c>
      <c r="B255" s="20" t="s">
        <v>1092</v>
      </c>
      <c r="C255" s="20" t="s">
        <v>1099</v>
      </c>
      <c r="D255" s="20" t="s">
        <v>1100</v>
      </c>
      <c r="E255" s="40" t="n">
        <v>10902</v>
      </c>
      <c r="F255" s="31" t="s">
        <v>106</v>
      </c>
      <c r="G255" s="20" t="str">
        <f aca="false">IFERROR(INDEX('Расчет Кплотн'!$C:$C,MATCH(F255,'Расчет Кплотн'!$A:$A,0)),"код не найден")</f>
        <v>Атырау</v>
      </c>
      <c r="H255" s="20" t="s">
        <v>1095</v>
      </c>
      <c r="I255" s="20" t="s">
        <v>513</v>
      </c>
      <c r="J255" s="41" t="s">
        <v>503</v>
      </c>
      <c r="K255" s="20"/>
    </row>
    <row r="256" customFormat="false" ht="30" hidden="false" customHeight="true" outlineLevel="0" collapsed="false">
      <c r="A256" s="20" t="n">
        <v>253</v>
      </c>
      <c r="B256" s="20" t="s">
        <v>1092</v>
      </c>
      <c r="C256" s="20" t="s">
        <v>1101</v>
      </c>
      <c r="D256" s="20" t="s">
        <v>1102</v>
      </c>
      <c r="E256" s="40" t="n">
        <v>25157</v>
      </c>
      <c r="F256" s="31" t="s">
        <v>106</v>
      </c>
      <c r="G256" s="20" t="str">
        <f aca="false">IFERROR(INDEX('Расчет Кплотн'!$C:$C,MATCH(F256,'Расчет Кплотн'!$A:$A,0)),"код не найден")</f>
        <v>Атырау</v>
      </c>
      <c r="H256" s="20" t="s">
        <v>1095</v>
      </c>
      <c r="I256" s="20" t="s">
        <v>513</v>
      </c>
      <c r="J256" s="41" t="s">
        <v>503</v>
      </c>
      <c r="K256" s="20"/>
    </row>
    <row r="257" customFormat="false" ht="30" hidden="false" customHeight="true" outlineLevel="0" collapsed="false">
      <c r="A257" s="20" t="n">
        <v>254</v>
      </c>
      <c r="B257" s="20" t="s">
        <v>1092</v>
      </c>
      <c r="C257" s="20" t="s">
        <v>1103</v>
      </c>
      <c r="D257" s="20" t="s">
        <v>1104</v>
      </c>
      <c r="E257" s="40" t="n">
        <v>27498</v>
      </c>
      <c r="F257" s="31" t="s">
        <v>106</v>
      </c>
      <c r="G257" s="20" t="str">
        <f aca="false">IFERROR(INDEX('Расчет Кплотн'!$C:$C,MATCH(F257,'Расчет Кплотн'!$A:$A,0)),"код не найден")</f>
        <v>Атырау</v>
      </c>
      <c r="H257" s="20" t="s">
        <v>1095</v>
      </c>
      <c r="I257" s="20" t="s">
        <v>513</v>
      </c>
      <c r="J257" s="41" t="s">
        <v>503</v>
      </c>
      <c r="K257" s="20"/>
    </row>
    <row r="258" customFormat="false" ht="30" hidden="false" customHeight="true" outlineLevel="0" collapsed="false">
      <c r="A258" s="20" t="n">
        <v>255</v>
      </c>
      <c r="B258" s="20" t="s">
        <v>1092</v>
      </c>
      <c r="C258" s="20" t="s">
        <v>1105</v>
      </c>
      <c r="D258" s="20" t="s">
        <v>1106</v>
      </c>
      <c r="E258" s="40" t="n">
        <v>23174</v>
      </c>
      <c r="F258" s="31" t="s">
        <v>106</v>
      </c>
      <c r="G258" s="20" t="str">
        <f aca="false">IFERROR(INDEX('Расчет Кплотн'!$C:$C,MATCH(F258,'Расчет Кплотн'!$A:$A,0)),"код не найден")</f>
        <v>Атырау</v>
      </c>
      <c r="H258" s="20" t="s">
        <v>1095</v>
      </c>
      <c r="I258" s="20" t="s">
        <v>513</v>
      </c>
      <c r="J258" s="41" t="s">
        <v>503</v>
      </c>
      <c r="K258" s="20"/>
    </row>
    <row r="259" customFormat="false" ht="30" hidden="false" customHeight="true" outlineLevel="0" collapsed="false">
      <c r="A259" s="20" t="n">
        <v>256</v>
      </c>
      <c r="B259" s="20" t="s">
        <v>1092</v>
      </c>
      <c r="C259" s="20" t="s">
        <v>1107</v>
      </c>
      <c r="D259" s="20" t="s">
        <v>1108</v>
      </c>
      <c r="E259" s="40" t="n">
        <v>8270</v>
      </c>
      <c r="F259" s="31" t="s">
        <v>106</v>
      </c>
      <c r="G259" s="20" t="str">
        <f aca="false">IFERROR(INDEX('Расчет Кплотн'!$C:$C,MATCH(F259,'Расчет Кплотн'!$A:$A,0)),"код не найден")</f>
        <v>Атырау</v>
      </c>
      <c r="H259" s="20" t="s">
        <v>1095</v>
      </c>
      <c r="I259" s="20" t="s">
        <v>513</v>
      </c>
      <c r="J259" s="41" t="s">
        <v>503</v>
      </c>
      <c r="K259" s="20"/>
    </row>
    <row r="260" customFormat="false" ht="30" hidden="false" customHeight="true" outlineLevel="0" collapsed="false">
      <c r="A260" s="20" t="n">
        <v>257</v>
      </c>
      <c r="B260" s="20" t="s">
        <v>1092</v>
      </c>
      <c r="C260" s="20" t="s">
        <v>1109</v>
      </c>
      <c r="D260" s="20" t="s">
        <v>1110</v>
      </c>
      <c r="E260" s="40" t="n">
        <v>27335</v>
      </c>
      <c r="F260" s="31" t="s">
        <v>111</v>
      </c>
      <c r="G260" s="20" t="str">
        <f aca="false">IFERROR(INDEX('Расчет Кплотн'!$C:$C,MATCH(F260,'Расчет Кплотн'!$A:$A,0)),"код не найден")</f>
        <v>Кзылкогинский район</v>
      </c>
      <c r="H260" s="20" t="s">
        <v>1111</v>
      </c>
      <c r="I260" s="20" t="s">
        <v>502</v>
      </c>
      <c r="J260" s="41" t="s">
        <v>503</v>
      </c>
      <c r="K260" s="20"/>
    </row>
    <row r="261" customFormat="false" ht="30" hidden="false" customHeight="true" outlineLevel="0" collapsed="false">
      <c r="A261" s="20" t="n">
        <v>258</v>
      </c>
      <c r="B261" s="20" t="s">
        <v>1092</v>
      </c>
      <c r="C261" s="20" t="s">
        <v>1112</v>
      </c>
      <c r="D261" s="20" t="s">
        <v>1113</v>
      </c>
      <c r="E261" s="40" t="n">
        <v>25645</v>
      </c>
      <c r="F261" s="31" t="s">
        <v>112</v>
      </c>
      <c r="G261" s="20" t="str">
        <f aca="false">IFERROR(INDEX('Расчет Кплотн'!$C:$C,MATCH(F261,'Расчет Кплотн'!$A:$A,0)),"код не найден")</f>
        <v>Макатский район</v>
      </c>
      <c r="H261" s="20" t="s">
        <v>1114</v>
      </c>
      <c r="I261" s="20" t="s">
        <v>502</v>
      </c>
      <c r="J261" s="41" t="s">
        <v>503</v>
      </c>
      <c r="K261" s="20"/>
    </row>
    <row r="262" customFormat="false" ht="30" hidden="false" customHeight="true" outlineLevel="0" collapsed="false">
      <c r="A262" s="20" t="n">
        <v>259</v>
      </c>
      <c r="B262" s="20" t="s">
        <v>1092</v>
      </c>
      <c r="C262" s="20" t="s">
        <v>1115</v>
      </c>
      <c r="D262" s="20" t="s">
        <v>1116</v>
      </c>
      <c r="E262" s="40" t="n">
        <v>4154</v>
      </c>
      <c r="F262" s="31" t="s">
        <v>106</v>
      </c>
      <c r="G262" s="20" t="str">
        <f aca="false">IFERROR(INDEX('Расчет Кплотн'!$C:$C,MATCH(F262,'Расчет Кплотн'!$A:$A,0)),"код не найден")</f>
        <v>Атырау</v>
      </c>
      <c r="H262" s="20" t="s">
        <v>1095</v>
      </c>
      <c r="I262" s="20" t="s">
        <v>513</v>
      </c>
      <c r="J262" s="41" t="s">
        <v>503</v>
      </c>
      <c r="K262" s="20"/>
    </row>
    <row r="263" customFormat="false" ht="30" hidden="false" customHeight="true" outlineLevel="0" collapsed="false">
      <c r="A263" s="20" t="n">
        <v>260</v>
      </c>
      <c r="B263" s="20" t="s">
        <v>1092</v>
      </c>
      <c r="C263" s="20" t="s">
        <v>1117</v>
      </c>
      <c r="D263" s="20" t="s">
        <v>1118</v>
      </c>
      <c r="E263" s="40" t="n">
        <v>38532</v>
      </c>
      <c r="F263" s="31" t="s">
        <v>106</v>
      </c>
      <c r="G263" s="20" t="str">
        <f aca="false">IFERROR(INDEX('Расчет Кплотн'!$C:$C,MATCH(F263,'Расчет Кплотн'!$A:$A,0)),"код не найден")</f>
        <v>Атырау</v>
      </c>
      <c r="H263" s="20" t="s">
        <v>1095</v>
      </c>
      <c r="I263" s="20" t="s">
        <v>513</v>
      </c>
      <c r="J263" s="41" t="s">
        <v>503</v>
      </c>
      <c r="K263" s="20"/>
    </row>
    <row r="264" customFormat="false" ht="30" hidden="false" customHeight="true" outlineLevel="0" collapsed="false">
      <c r="A264" s="20" t="n">
        <v>261</v>
      </c>
      <c r="B264" s="20" t="s">
        <v>1092</v>
      </c>
      <c r="C264" s="20" t="s">
        <v>1119</v>
      </c>
      <c r="D264" s="20" t="s">
        <v>1120</v>
      </c>
      <c r="E264" s="40" t="n">
        <v>60885</v>
      </c>
      <c r="F264" s="31" t="s">
        <v>106</v>
      </c>
      <c r="G264" s="20" t="str">
        <f aca="false">IFERROR(INDEX('Расчет Кплотн'!$C:$C,MATCH(F264,'Расчет Кплотн'!$A:$A,0)),"код не найден")</f>
        <v>Атырау</v>
      </c>
      <c r="H264" s="20" t="s">
        <v>1095</v>
      </c>
      <c r="I264" s="20" t="s">
        <v>513</v>
      </c>
      <c r="J264" s="41" t="s">
        <v>503</v>
      </c>
      <c r="K264" s="20"/>
    </row>
    <row r="265" customFormat="false" ht="30" hidden="false" customHeight="true" outlineLevel="0" collapsed="false">
      <c r="A265" s="20" t="n">
        <v>262</v>
      </c>
      <c r="B265" s="20" t="s">
        <v>1092</v>
      </c>
      <c r="C265" s="20" t="s">
        <v>1121</v>
      </c>
      <c r="D265" s="20" t="s">
        <v>1122</v>
      </c>
      <c r="E265" s="40" t="n">
        <v>53213</v>
      </c>
      <c r="F265" s="31" t="s">
        <v>106</v>
      </c>
      <c r="G265" s="20" t="str">
        <f aca="false">IFERROR(INDEX('Расчет Кплотн'!$C:$C,MATCH(F265,'Расчет Кплотн'!$A:$A,0)),"код не найден")</f>
        <v>Атырау</v>
      </c>
      <c r="H265" s="20" t="s">
        <v>1095</v>
      </c>
      <c r="I265" s="20" t="s">
        <v>513</v>
      </c>
      <c r="J265" s="41" t="s">
        <v>503</v>
      </c>
      <c r="K265" s="20"/>
    </row>
    <row r="266" customFormat="false" ht="30" hidden="false" customHeight="true" outlineLevel="0" collapsed="false">
      <c r="A266" s="20" t="n">
        <v>263</v>
      </c>
      <c r="B266" s="20" t="s">
        <v>1092</v>
      </c>
      <c r="C266" s="20" t="s">
        <v>1123</v>
      </c>
      <c r="D266" s="20" t="s">
        <v>1124</v>
      </c>
      <c r="E266" s="40" t="n">
        <v>38474</v>
      </c>
      <c r="F266" s="31" t="s">
        <v>106</v>
      </c>
      <c r="G266" s="20" t="str">
        <f aca="false">IFERROR(INDEX('Расчет Кплотн'!$C:$C,MATCH(F266,'Расчет Кплотн'!$A:$A,0)),"код не найден")</f>
        <v>Атырау</v>
      </c>
      <c r="H266" s="20" t="s">
        <v>1095</v>
      </c>
      <c r="I266" s="20" t="s">
        <v>513</v>
      </c>
      <c r="J266" s="41" t="s">
        <v>503</v>
      </c>
      <c r="K266" s="20"/>
    </row>
    <row r="267" customFormat="false" ht="30" hidden="false" customHeight="true" outlineLevel="0" collapsed="false">
      <c r="A267" s="20" t="n">
        <v>264</v>
      </c>
      <c r="B267" s="20" t="s">
        <v>1092</v>
      </c>
      <c r="C267" s="20" t="s">
        <v>1125</v>
      </c>
      <c r="D267" s="20" t="s">
        <v>1126</v>
      </c>
      <c r="E267" s="40" t="n">
        <v>25087</v>
      </c>
      <c r="F267" s="31" t="s">
        <v>113</v>
      </c>
      <c r="G267" s="20" t="str">
        <f aca="false">IFERROR(INDEX('Расчет Кплотн'!$C:$C,MATCH(F267,'Расчет Кплотн'!$A:$A,0)),"код не найден")</f>
        <v>Махамбетский район</v>
      </c>
      <c r="H267" s="20" t="s">
        <v>1127</v>
      </c>
      <c r="I267" s="20" t="s">
        <v>502</v>
      </c>
      <c r="J267" s="41" t="s">
        <v>503</v>
      </c>
      <c r="K267" s="20"/>
    </row>
    <row r="268" customFormat="false" ht="30" hidden="false" customHeight="true" outlineLevel="0" collapsed="false">
      <c r="A268" s="20" t="n">
        <v>265</v>
      </c>
      <c r="B268" s="20" t="s">
        <v>1092</v>
      </c>
      <c r="C268" s="20" t="s">
        <v>1128</v>
      </c>
      <c r="D268" s="20" t="s">
        <v>1129</v>
      </c>
      <c r="E268" s="40" t="n">
        <v>23077</v>
      </c>
      <c r="F268" s="31" t="s">
        <v>109</v>
      </c>
      <c r="G268" s="20" t="str">
        <f aca="false">IFERROR(INDEX('Расчет Кплотн'!$C:$C,MATCH(F268,'Расчет Кплотн'!$A:$A,0)),"код не найден")</f>
        <v>Исатайский район</v>
      </c>
      <c r="H268" s="20" t="s">
        <v>1130</v>
      </c>
      <c r="I268" s="20" t="s">
        <v>502</v>
      </c>
      <c r="J268" s="41" t="s">
        <v>503</v>
      </c>
      <c r="K268" s="20"/>
    </row>
    <row r="269" customFormat="false" ht="30" hidden="false" customHeight="true" outlineLevel="0" collapsed="false">
      <c r="A269" s="20" t="n">
        <v>266</v>
      </c>
      <c r="B269" s="20" t="s">
        <v>1092</v>
      </c>
      <c r="C269" s="20" t="s">
        <v>1131</v>
      </c>
      <c r="D269" s="20" t="s">
        <v>1132</v>
      </c>
      <c r="E269" s="40" t="n">
        <v>15809</v>
      </c>
      <c r="F269" s="31" t="s">
        <v>106</v>
      </c>
      <c r="G269" s="20" t="str">
        <f aca="false">IFERROR(INDEX('Расчет Кплотн'!$C:$C,MATCH(F269,'Расчет Кплотн'!$A:$A,0)),"код не найден")</f>
        <v>Атырау</v>
      </c>
      <c r="H269" s="20" t="s">
        <v>1095</v>
      </c>
      <c r="I269" s="20" t="s">
        <v>513</v>
      </c>
      <c r="J269" s="41" t="s">
        <v>503</v>
      </c>
      <c r="K269" s="20"/>
    </row>
    <row r="270" customFormat="false" ht="30" hidden="false" customHeight="true" outlineLevel="0" collapsed="false">
      <c r="A270" s="20" t="n">
        <v>267</v>
      </c>
      <c r="B270" s="20" t="s">
        <v>1092</v>
      </c>
      <c r="C270" s="20" t="s">
        <v>1133</v>
      </c>
      <c r="D270" s="20" t="s">
        <v>1134</v>
      </c>
      <c r="E270" s="40" t="n">
        <v>48087</v>
      </c>
      <c r="F270" s="31" t="s">
        <v>110</v>
      </c>
      <c r="G270" s="20" t="str">
        <f aca="false">IFERROR(INDEX('Расчет Кплотн'!$C:$C,MATCH(F270,'Расчет Кплотн'!$A:$A,0)),"код не найден")</f>
        <v>Курмангазинский район</v>
      </c>
      <c r="H270" s="20" t="s">
        <v>1135</v>
      </c>
      <c r="I270" s="20" t="s">
        <v>502</v>
      </c>
      <c r="J270" s="41" t="s">
        <v>503</v>
      </c>
      <c r="K270" s="20"/>
    </row>
    <row r="271" customFormat="false" ht="30" hidden="false" customHeight="true" outlineLevel="0" collapsed="false">
      <c r="A271" s="20" t="n">
        <v>268</v>
      </c>
      <c r="B271" s="20" t="s">
        <v>1092</v>
      </c>
      <c r="C271" s="20" t="s">
        <v>1136</v>
      </c>
      <c r="D271" s="20" t="s">
        <v>1137</v>
      </c>
      <c r="E271" s="40" t="n">
        <v>29219</v>
      </c>
      <c r="F271" s="31" t="s">
        <v>108</v>
      </c>
      <c r="G271" s="20" t="str">
        <f aca="false">IFERROR(INDEX('Расчет Кплотн'!$C:$C,MATCH(F271,'Расчет Кплотн'!$A:$A,0)),"код не найден")</f>
        <v>Индерский район</v>
      </c>
      <c r="H271" s="20" t="s">
        <v>1138</v>
      </c>
      <c r="I271" s="20" t="s">
        <v>502</v>
      </c>
      <c r="J271" s="41" t="s">
        <v>503</v>
      </c>
      <c r="K271" s="20"/>
    </row>
    <row r="272" customFormat="false" ht="30" hidden="false" customHeight="true" outlineLevel="0" collapsed="false">
      <c r="A272" s="20" t="n">
        <v>269</v>
      </c>
      <c r="B272" s="20" t="s">
        <v>1092</v>
      </c>
      <c r="C272" s="20" t="s">
        <v>1139</v>
      </c>
      <c r="D272" s="20" t="s">
        <v>1140</v>
      </c>
      <c r="E272" s="40" t="n">
        <v>70414</v>
      </c>
      <c r="F272" s="31" t="s">
        <v>107</v>
      </c>
      <c r="G272" s="20" t="str">
        <f aca="false">IFERROR(INDEX('Расчет Кплотн'!$C:$C,MATCH(F272,'Расчет Кплотн'!$A:$A,0)),"код не найден")</f>
        <v>Жылыойский район</v>
      </c>
      <c r="H272" s="20" t="s">
        <v>1141</v>
      </c>
      <c r="I272" s="20" t="s">
        <v>502</v>
      </c>
      <c r="J272" s="41" t="s">
        <v>503</v>
      </c>
      <c r="K272" s="20"/>
    </row>
    <row r="273" customFormat="false" ht="30" hidden="false" customHeight="true" outlineLevel="0" collapsed="false">
      <c r="A273" s="20" t="n">
        <v>270</v>
      </c>
      <c r="B273" s="20" t="s">
        <v>1092</v>
      </c>
      <c r="C273" s="20" t="s">
        <v>1142</v>
      </c>
      <c r="D273" s="20" t="s">
        <v>1143</v>
      </c>
      <c r="E273" s="40" t="n">
        <v>55119</v>
      </c>
      <c r="F273" s="31" t="s">
        <v>106</v>
      </c>
      <c r="G273" s="20" t="str">
        <f aca="false">IFERROR(INDEX('Расчет Кплотн'!$C:$C,MATCH(F273,'Расчет Кплотн'!$A:$A,0)),"код не найден")</f>
        <v>Атырау</v>
      </c>
      <c r="H273" s="20" t="s">
        <v>1095</v>
      </c>
      <c r="I273" s="20" t="s">
        <v>513</v>
      </c>
      <c r="J273" s="41" t="s">
        <v>503</v>
      </c>
      <c r="K273" s="20"/>
    </row>
    <row r="274" customFormat="false" ht="30" hidden="false" customHeight="true" outlineLevel="0" collapsed="false">
      <c r="A274" s="20" t="n">
        <v>271</v>
      </c>
      <c r="B274" s="20" t="s">
        <v>1092</v>
      </c>
      <c r="C274" s="20" t="s">
        <v>1144</v>
      </c>
      <c r="D274" s="20" t="s">
        <v>1145</v>
      </c>
      <c r="E274" s="40" t="n">
        <v>44137</v>
      </c>
      <c r="F274" s="31" t="s">
        <v>106</v>
      </c>
      <c r="G274" s="20" t="str">
        <f aca="false">IFERROR(INDEX('Расчет Кплотн'!$C:$C,MATCH(F274,'Расчет Кплотн'!$A:$A,0)),"код не найден")</f>
        <v>Атырау</v>
      </c>
      <c r="H274" s="20" t="s">
        <v>1095</v>
      </c>
      <c r="I274" s="20" t="s">
        <v>513</v>
      </c>
      <c r="J274" s="41" t="s">
        <v>503</v>
      </c>
      <c r="K274" s="20"/>
    </row>
    <row r="275" customFormat="false" ht="30" hidden="false" customHeight="true" outlineLevel="0" collapsed="false">
      <c r="A275" s="20" t="n">
        <v>272</v>
      </c>
      <c r="B275" s="20" t="s">
        <v>1146</v>
      </c>
      <c r="C275" s="20" t="s">
        <v>1147</v>
      </c>
      <c r="D275" s="20" t="s">
        <v>1148</v>
      </c>
      <c r="E275" s="40" t="n">
        <v>2882</v>
      </c>
      <c r="F275" s="31" t="s">
        <v>246</v>
      </c>
      <c r="G275" s="20" t="str">
        <f aca="false">IFERROR(INDEX('Расчет Кплотн'!$C:$C,MATCH(F275,'Расчет Кплотн'!$A:$A,0)),"код не найден")</f>
        <v>Усть-Каменогорск</v>
      </c>
      <c r="H275" s="20" t="s">
        <v>1149</v>
      </c>
      <c r="I275" s="20" t="s">
        <v>513</v>
      </c>
      <c r="J275" s="41" t="s">
        <v>503</v>
      </c>
      <c r="K275" s="20"/>
    </row>
    <row r="276" customFormat="false" ht="30" hidden="false" customHeight="true" outlineLevel="0" collapsed="false">
      <c r="A276" s="20" t="n">
        <v>273</v>
      </c>
      <c r="B276" s="20" t="s">
        <v>1146</v>
      </c>
      <c r="C276" s="20" t="s">
        <v>1150</v>
      </c>
      <c r="D276" s="20" t="s">
        <v>1151</v>
      </c>
      <c r="E276" s="40" t="n">
        <v>2526</v>
      </c>
      <c r="F276" s="31" t="s">
        <v>246</v>
      </c>
      <c r="G276" s="20" t="str">
        <f aca="false">IFERROR(INDEX('Расчет Кплотн'!$C:$C,MATCH(F276,'Расчет Кплотн'!$A:$A,0)),"код не найден")</f>
        <v>Усть-Каменогорск</v>
      </c>
      <c r="H276" s="20" t="s">
        <v>1149</v>
      </c>
      <c r="I276" s="20" t="s">
        <v>513</v>
      </c>
      <c r="J276" s="41" t="s">
        <v>503</v>
      </c>
      <c r="K276" s="20"/>
    </row>
    <row r="277" customFormat="false" ht="30" hidden="false" customHeight="true" outlineLevel="0" collapsed="false">
      <c r="A277" s="20" t="n">
        <v>274</v>
      </c>
      <c r="B277" s="20" t="s">
        <v>1146</v>
      </c>
      <c r="C277" s="20" t="s">
        <v>1152</v>
      </c>
      <c r="D277" s="20" t="s">
        <v>1153</v>
      </c>
      <c r="E277" s="40" t="n">
        <v>12834</v>
      </c>
      <c r="F277" s="31" t="s">
        <v>246</v>
      </c>
      <c r="G277" s="20" t="str">
        <f aca="false">IFERROR(INDEX('Расчет Кплотн'!$C:$C,MATCH(F277,'Расчет Кплотн'!$A:$A,0)),"код не найден")</f>
        <v>Усть-Каменогорск</v>
      </c>
      <c r="H277" s="20" t="s">
        <v>1149</v>
      </c>
      <c r="I277" s="20" t="s">
        <v>513</v>
      </c>
      <c r="J277" s="41" t="s">
        <v>503</v>
      </c>
      <c r="K277" s="20"/>
    </row>
    <row r="278" customFormat="false" ht="30" hidden="false" customHeight="true" outlineLevel="0" collapsed="false">
      <c r="A278" s="20" t="n">
        <v>275</v>
      </c>
      <c r="B278" s="20" t="s">
        <v>1146</v>
      </c>
      <c r="C278" s="20" t="s">
        <v>1154</v>
      </c>
      <c r="D278" s="20" t="s">
        <v>1155</v>
      </c>
      <c r="E278" s="40" t="n">
        <v>37322</v>
      </c>
      <c r="F278" s="31" t="s">
        <v>246</v>
      </c>
      <c r="G278" s="20" t="str">
        <f aca="false">IFERROR(INDEX('Расчет Кплотн'!$C:$C,MATCH(F278,'Расчет Кплотн'!$A:$A,0)),"код не найден")</f>
        <v>Усть-Каменогорск</v>
      </c>
      <c r="H278" s="20" t="s">
        <v>1149</v>
      </c>
      <c r="I278" s="20" t="s">
        <v>513</v>
      </c>
      <c r="J278" s="41" t="s">
        <v>503</v>
      </c>
      <c r="K278" s="20"/>
    </row>
    <row r="279" customFormat="false" ht="30" hidden="false" customHeight="true" outlineLevel="0" collapsed="false">
      <c r="A279" s="20" t="n">
        <v>276</v>
      </c>
      <c r="B279" s="20" t="s">
        <v>1146</v>
      </c>
      <c r="C279" s="20" t="s">
        <v>1156</v>
      </c>
      <c r="D279" s="20" t="s">
        <v>1157</v>
      </c>
      <c r="E279" s="40" t="n">
        <v>24964</v>
      </c>
      <c r="F279" s="31" t="s">
        <v>246</v>
      </c>
      <c r="G279" s="20" t="str">
        <f aca="false">IFERROR(INDEX('Расчет Кплотн'!$C:$C,MATCH(F279,'Расчет Кплотн'!$A:$A,0)),"код не найден")</f>
        <v>Усть-Каменогорск</v>
      </c>
      <c r="H279" s="20" t="s">
        <v>1149</v>
      </c>
      <c r="I279" s="20" t="s">
        <v>513</v>
      </c>
      <c r="J279" s="41" t="s">
        <v>503</v>
      </c>
      <c r="K279" s="20"/>
    </row>
    <row r="280" customFormat="false" ht="30" hidden="false" customHeight="true" outlineLevel="0" collapsed="false">
      <c r="A280" s="20" t="n">
        <v>277</v>
      </c>
      <c r="B280" s="20" t="s">
        <v>1146</v>
      </c>
      <c r="C280" s="20" t="s">
        <v>1158</v>
      </c>
      <c r="D280" s="20" t="s">
        <v>1159</v>
      </c>
      <c r="E280" s="40" t="n">
        <v>18759</v>
      </c>
      <c r="F280" s="31" t="s">
        <v>246</v>
      </c>
      <c r="G280" s="20" t="str">
        <f aca="false">IFERROR(INDEX('Расчет Кплотн'!$C:$C,MATCH(F280,'Расчет Кплотн'!$A:$A,0)),"код не найден")</f>
        <v>Усть-Каменогорск</v>
      </c>
      <c r="H280" s="20" t="s">
        <v>1149</v>
      </c>
      <c r="I280" s="20" t="s">
        <v>513</v>
      </c>
      <c r="J280" s="41" t="s">
        <v>503</v>
      </c>
      <c r="K280" s="20"/>
    </row>
    <row r="281" customFormat="false" ht="30" hidden="false" customHeight="true" outlineLevel="0" collapsed="false">
      <c r="A281" s="20" t="n">
        <v>278</v>
      </c>
      <c r="B281" s="20" t="s">
        <v>1146</v>
      </c>
      <c r="C281" s="20" t="s">
        <v>1160</v>
      </c>
      <c r="D281" s="20" t="s">
        <v>1161</v>
      </c>
      <c r="E281" s="40" t="n">
        <v>30088</v>
      </c>
      <c r="F281" s="31" t="s">
        <v>246</v>
      </c>
      <c r="G281" s="20" t="str">
        <f aca="false">IFERROR(INDEX('Расчет Кплотн'!$C:$C,MATCH(F281,'Расчет Кплотн'!$A:$A,0)),"код не найден")</f>
        <v>Усть-Каменогорск</v>
      </c>
      <c r="H281" s="20" t="s">
        <v>1149</v>
      </c>
      <c r="I281" s="20" t="s">
        <v>513</v>
      </c>
      <c r="J281" s="41" t="s">
        <v>503</v>
      </c>
      <c r="K281" s="20"/>
    </row>
    <row r="282" customFormat="false" ht="30" hidden="false" customHeight="true" outlineLevel="0" collapsed="false">
      <c r="A282" s="20" t="n">
        <v>279</v>
      </c>
      <c r="B282" s="20" t="s">
        <v>1146</v>
      </c>
      <c r="C282" s="20" t="s">
        <v>1162</v>
      </c>
      <c r="D282" s="20" t="s">
        <v>1163</v>
      </c>
      <c r="E282" s="40" t="n">
        <v>14808</v>
      </c>
      <c r="F282" s="31" t="s">
        <v>246</v>
      </c>
      <c r="G282" s="20" t="str">
        <f aca="false">IFERROR(INDEX('Расчет Кплотн'!$C:$C,MATCH(F282,'Расчет Кплотн'!$A:$A,0)),"код не найден")</f>
        <v>Усть-Каменогорск</v>
      </c>
      <c r="H282" s="20" t="s">
        <v>1149</v>
      </c>
      <c r="I282" s="20" t="s">
        <v>513</v>
      </c>
      <c r="J282" s="41" t="s">
        <v>503</v>
      </c>
      <c r="K282" s="20"/>
    </row>
    <row r="283" customFormat="false" ht="30" hidden="false" customHeight="true" outlineLevel="0" collapsed="false">
      <c r="A283" s="20" t="n">
        <v>280</v>
      </c>
      <c r="B283" s="20" t="s">
        <v>1146</v>
      </c>
      <c r="C283" s="20" t="s">
        <v>1164</v>
      </c>
      <c r="D283" s="20" t="s">
        <v>1165</v>
      </c>
      <c r="E283" s="40" t="n">
        <v>22850</v>
      </c>
      <c r="F283" s="31" t="s">
        <v>246</v>
      </c>
      <c r="G283" s="20" t="str">
        <f aca="false">IFERROR(INDEX('Расчет Кплотн'!$C:$C,MATCH(F283,'Расчет Кплотн'!$A:$A,0)),"код не найден")</f>
        <v>Усть-Каменогорск</v>
      </c>
      <c r="H283" s="20" t="s">
        <v>1149</v>
      </c>
      <c r="I283" s="20" t="s">
        <v>513</v>
      </c>
      <c r="J283" s="41" t="s">
        <v>503</v>
      </c>
      <c r="K283" s="20"/>
    </row>
    <row r="284" customFormat="false" ht="30" hidden="false" customHeight="true" outlineLevel="0" collapsed="false">
      <c r="A284" s="20" t="n">
        <v>281</v>
      </c>
      <c r="B284" s="20" t="s">
        <v>1146</v>
      </c>
      <c r="C284" s="20" t="s">
        <v>1166</v>
      </c>
      <c r="D284" s="20" t="s">
        <v>1167</v>
      </c>
      <c r="E284" s="40" t="n">
        <v>36164</v>
      </c>
      <c r="F284" s="31" t="s">
        <v>246</v>
      </c>
      <c r="G284" s="20" t="str">
        <f aca="false">IFERROR(INDEX('Расчет Кплотн'!$C:$C,MATCH(F284,'Расчет Кплотн'!$A:$A,0)),"код не найден")</f>
        <v>Усть-Каменогорск</v>
      </c>
      <c r="H284" s="20" t="s">
        <v>1149</v>
      </c>
      <c r="I284" s="20" t="s">
        <v>513</v>
      </c>
      <c r="J284" s="41" t="s">
        <v>503</v>
      </c>
      <c r="K284" s="20"/>
    </row>
    <row r="285" customFormat="false" ht="30" hidden="false" customHeight="true" outlineLevel="0" collapsed="false">
      <c r="A285" s="20" t="n">
        <v>282</v>
      </c>
      <c r="B285" s="20" t="s">
        <v>1146</v>
      </c>
      <c r="C285" s="20" t="s">
        <v>1168</v>
      </c>
      <c r="D285" s="20" t="s">
        <v>1169</v>
      </c>
      <c r="E285" s="40" t="n">
        <v>9530</v>
      </c>
      <c r="F285" s="31" t="s">
        <v>257</v>
      </c>
      <c r="G285" s="20" t="str">
        <f aca="false">IFERROR(INDEX('Расчет Кплотн'!$C:$C,MATCH(F285,'Расчет Кплотн'!$A:$A,0)),"код не найден")</f>
        <v>район Үлкен Нарын</v>
      </c>
      <c r="H285" s="20" t="s">
        <v>1170</v>
      </c>
      <c r="I285" s="20" t="s">
        <v>502</v>
      </c>
      <c r="J285" s="41" t="s">
        <v>1171</v>
      </c>
      <c r="K285" s="20"/>
    </row>
    <row r="286" customFormat="false" ht="30" hidden="false" customHeight="true" outlineLevel="0" collapsed="false">
      <c r="A286" s="20" t="n">
        <v>283</v>
      </c>
      <c r="B286" s="20" t="s">
        <v>1146</v>
      </c>
      <c r="C286" s="20" t="s">
        <v>1172</v>
      </c>
      <c r="D286" s="20" t="s">
        <v>1173</v>
      </c>
      <c r="E286" s="40" t="n">
        <v>19022</v>
      </c>
      <c r="F286" s="31" t="s">
        <v>246</v>
      </c>
      <c r="G286" s="20" t="str">
        <f aca="false">IFERROR(INDEX('Расчет Кплотн'!$C:$C,MATCH(F286,'Расчет Кплотн'!$A:$A,0)),"код не найден")</f>
        <v>Усть-Каменогорск</v>
      </c>
      <c r="H286" s="20" t="s">
        <v>1149</v>
      </c>
      <c r="I286" s="20" t="s">
        <v>513</v>
      </c>
      <c r="J286" s="41" t="s">
        <v>503</v>
      </c>
      <c r="K286" s="20"/>
    </row>
    <row r="287" customFormat="false" ht="30" hidden="false" customHeight="true" outlineLevel="0" collapsed="false">
      <c r="A287" s="20" t="n">
        <v>284</v>
      </c>
      <c r="B287" s="20" t="s">
        <v>1146</v>
      </c>
      <c r="C287" s="20" t="s">
        <v>1174</v>
      </c>
      <c r="D287" s="20" t="s">
        <v>1175</v>
      </c>
      <c r="E287" s="40" t="n">
        <v>8639</v>
      </c>
      <c r="F287" s="31" t="s">
        <v>252</v>
      </c>
      <c r="G287" s="20" t="str">
        <f aca="false">IFERROR(INDEX('Расчет Кплотн'!$C:$C,MATCH(F287,'Расчет Кплотн'!$A:$A,0)),"код не найден")</f>
        <v>Катон-Карагайский район</v>
      </c>
      <c r="H287" s="20" t="s">
        <v>1176</v>
      </c>
      <c r="I287" s="20" t="s">
        <v>502</v>
      </c>
      <c r="J287" s="41" t="s">
        <v>1177</v>
      </c>
      <c r="K287" s="20"/>
    </row>
    <row r="288" customFormat="false" ht="30" hidden="false" customHeight="true" outlineLevel="0" collapsed="false">
      <c r="A288" s="20" t="n">
        <v>285</v>
      </c>
      <c r="B288" s="20" t="s">
        <v>1146</v>
      </c>
      <c r="C288" s="20" t="s">
        <v>1178</v>
      </c>
      <c r="D288" s="20" t="s">
        <v>1179</v>
      </c>
      <c r="E288" s="40" t="n">
        <v>28227</v>
      </c>
      <c r="F288" s="31" t="s">
        <v>256</v>
      </c>
      <c r="G288" s="20" t="str">
        <f aca="false">IFERROR(INDEX('Расчет Кплотн'!$C:$C,MATCH(F288,'Расчет Кплотн'!$A:$A,0)),"код не найден")</f>
        <v>Уланский район</v>
      </c>
      <c r="H288" s="20" t="s">
        <v>1180</v>
      </c>
      <c r="I288" s="20" t="s">
        <v>502</v>
      </c>
      <c r="J288" s="41" t="s">
        <v>503</v>
      </c>
      <c r="K288" s="20"/>
    </row>
    <row r="289" customFormat="false" ht="30" hidden="false" customHeight="true" outlineLevel="0" collapsed="false">
      <c r="A289" s="20" t="n">
        <v>286</v>
      </c>
      <c r="B289" s="20" t="s">
        <v>1146</v>
      </c>
      <c r="C289" s="20" t="s">
        <v>1181</v>
      </c>
      <c r="D289" s="20" t="s">
        <v>1182</v>
      </c>
      <c r="E289" s="40" t="n">
        <v>43516</v>
      </c>
      <c r="F289" s="31" t="s">
        <v>250</v>
      </c>
      <c r="G289" s="20" t="str">
        <f aca="false">IFERROR(INDEX('Расчет Кплотн'!$C:$C,MATCH(F289,'Расчет Кплотн'!$A:$A,0)),"код не найден")</f>
        <v>район Алтай</v>
      </c>
      <c r="H289" s="20" t="s">
        <v>1183</v>
      </c>
      <c r="I289" s="20" t="s">
        <v>502</v>
      </c>
      <c r="J289" s="41" t="s">
        <v>503</v>
      </c>
      <c r="K289" s="20"/>
    </row>
    <row r="290" customFormat="false" ht="30" hidden="false" customHeight="true" outlineLevel="0" collapsed="false">
      <c r="A290" s="20" t="n">
        <v>287</v>
      </c>
      <c r="B290" s="20" t="s">
        <v>1146</v>
      </c>
      <c r="C290" s="20" t="s">
        <v>1184</v>
      </c>
      <c r="D290" s="20" t="s">
        <v>1185</v>
      </c>
      <c r="E290" s="40" t="n">
        <v>65740</v>
      </c>
      <c r="F290" s="31" t="s">
        <v>246</v>
      </c>
      <c r="G290" s="20" t="str">
        <f aca="false">IFERROR(INDEX('Расчет Кплотн'!$C:$C,MATCH(F290,'Расчет Кплотн'!$A:$A,0)),"код не найден")</f>
        <v>Усть-Каменогорск</v>
      </c>
      <c r="H290" s="20" t="s">
        <v>1149</v>
      </c>
      <c r="I290" s="20" t="s">
        <v>513</v>
      </c>
      <c r="J290" s="41" t="s">
        <v>503</v>
      </c>
      <c r="K290" s="20"/>
    </row>
    <row r="291" customFormat="false" ht="30" hidden="false" customHeight="true" outlineLevel="0" collapsed="false">
      <c r="A291" s="20" t="n">
        <v>288</v>
      </c>
      <c r="B291" s="20" t="s">
        <v>1146</v>
      </c>
      <c r="C291" s="20" t="s">
        <v>1186</v>
      </c>
      <c r="D291" s="20" t="s">
        <v>1187</v>
      </c>
      <c r="E291" s="40" t="n">
        <v>53378</v>
      </c>
      <c r="F291" s="31" t="s">
        <v>246</v>
      </c>
      <c r="G291" s="20" t="str">
        <f aca="false">IFERROR(INDEX('Расчет Кплотн'!$C:$C,MATCH(F291,'Расчет Кплотн'!$A:$A,0)),"код не найден")</f>
        <v>Усть-Каменогорск</v>
      </c>
      <c r="H291" s="20" t="s">
        <v>1149</v>
      </c>
      <c r="I291" s="20" t="s">
        <v>513</v>
      </c>
      <c r="J291" s="41" t="s">
        <v>503</v>
      </c>
      <c r="K291" s="20"/>
    </row>
    <row r="292" customFormat="false" ht="30" hidden="false" customHeight="true" outlineLevel="0" collapsed="false">
      <c r="A292" s="20" t="n">
        <v>289</v>
      </c>
      <c r="B292" s="20" t="s">
        <v>1146</v>
      </c>
      <c r="C292" s="20" t="s">
        <v>1188</v>
      </c>
      <c r="D292" s="20" t="s">
        <v>1189</v>
      </c>
      <c r="E292" s="40" t="n">
        <v>26803</v>
      </c>
      <c r="F292" s="31" t="s">
        <v>246</v>
      </c>
      <c r="G292" s="20" t="str">
        <f aca="false">IFERROR(INDEX('Расчет Кплотн'!$C:$C,MATCH(F292,'Расчет Кплотн'!$A:$A,0)),"код не найден")</f>
        <v>Усть-Каменогорск</v>
      </c>
      <c r="H292" s="20" t="s">
        <v>1190</v>
      </c>
      <c r="I292" s="20" t="s">
        <v>513</v>
      </c>
      <c r="J292" s="41" t="s">
        <v>503</v>
      </c>
      <c r="K292" s="20"/>
    </row>
    <row r="293" customFormat="false" ht="30" hidden="false" customHeight="true" outlineLevel="0" collapsed="false">
      <c r="A293" s="20" t="n">
        <v>290</v>
      </c>
      <c r="B293" s="20" t="s">
        <v>1146</v>
      </c>
      <c r="C293" s="20" t="s">
        <v>1191</v>
      </c>
      <c r="D293" s="20" t="s">
        <v>1192</v>
      </c>
      <c r="E293" s="40" t="n">
        <v>26626</v>
      </c>
      <c r="F293" s="31" t="s">
        <v>246</v>
      </c>
      <c r="G293" s="20" t="str">
        <f aca="false">IFERROR(INDEX('Расчет Кплотн'!$C:$C,MATCH(F293,'Расчет Кплотн'!$A:$A,0)),"код не найден")</f>
        <v>Усть-Каменогорск</v>
      </c>
      <c r="H293" s="20" t="s">
        <v>1149</v>
      </c>
      <c r="I293" s="20" t="s">
        <v>513</v>
      </c>
      <c r="J293" s="41" t="s">
        <v>503</v>
      </c>
      <c r="K293" s="20"/>
    </row>
    <row r="294" customFormat="false" ht="30" hidden="false" customHeight="true" outlineLevel="0" collapsed="false">
      <c r="A294" s="20" t="n">
        <v>291</v>
      </c>
      <c r="B294" s="20" t="s">
        <v>1146</v>
      </c>
      <c r="C294" s="20" t="s">
        <v>1193</v>
      </c>
      <c r="D294" s="20" t="s">
        <v>1194</v>
      </c>
      <c r="E294" s="40" t="n">
        <v>40494</v>
      </c>
      <c r="F294" s="31" t="s">
        <v>258</v>
      </c>
      <c r="G294" s="20" t="str">
        <f aca="false">IFERROR(INDEX('Расчет Кплотн'!$C:$C,MATCH(F294,'Расчет Кплотн'!$A:$A,0)),"код не найден")</f>
        <v>Шемонаихинский район</v>
      </c>
      <c r="H294" s="20" t="s">
        <v>1195</v>
      </c>
      <c r="I294" s="20" t="s">
        <v>502</v>
      </c>
      <c r="J294" s="41" t="s">
        <v>503</v>
      </c>
      <c r="K294" s="20"/>
    </row>
    <row r="295" customFormat="false" ht="30" hidden="false" customHeight="true" outlineLevel="0" collapsed="false">
      <c r="A295" s="20" t="n">
        <v>292</v>
      </c>
      <c r="B295" s="20" t="s">
        <v>1146</v>
      </c>
      <c r="C295" s="20" t="s">
        <v>1196</v>
      </c>
      <c r="D295" s="20" t="s">
        <v>1197</v>
      </c>
      <c r="E295" s="40" t="n">
        <v>16946</v>
      </c>
      <c r="F295" s="31" t="s">
        <v>255</v>
      </c>
      <c r="G295" s="20" t="str">
        <f aca="false">IFERROR(INDEX('Расчет Кплотн'!$C:$C,MATCH(F295,'Расчет Кплотн'!$A:$A,0)),"код не найден")</f>
        <v>Тарбагатайский район</v>
      </c>
      <c r="H295" s="20" t="s">
        <v>1198</v>
      </c>
      <c r="I295" s="20" t="s">
        <v>502</v>
      </c>
      <c r="J295" s="41" t="s">
        <v>503</v>
      </c>
      <c r="K295" s="20"/>
    </row>
    <row r="296" customFormat="false" ht="30" hidden="false" customHeight="true" outlineLevel="0" collapsed="false">
      <c r="A296" s="20" t="n">
        <v>293</v>
      </c>
      <c r="B296" s="20" t="s">
        <v>1146</v>
      </c>
      <c r="C296" s="20" t="s">
        <v>1199</v>
      </c>
      <c r="D296" s="20" t="s">
        <v>1200</v>
      </c>
      <c r="E296" s="40" t="n">
        <v>10645</v>
      </c>
      <c r="F296" s="31" t="s">
        <v>254</v>
      </c>
      <c r="G296" s="20" t="str">
        <f aca="false">IFERROR(INDEX('Расчет Кплотн'!$C:$C,MATCH(F296,'Расчет Кплотн'!$A:$A,0)),"код не найден")</f>
        <v>район Самар</v>
      </c>
      <c r="H296" s="20" t="s">
        <v>1201</v>
      </c>
      <c r="I296" s="20" t="s">
        <v>502</v>
      </c>
      <c r="J296" s="41" t="s">
        <v>503</v>
      </c>
      <c r="K296" s="20"/>
    </row>
    <row r="297" customFormat="false" ht="30" hidden="false" customHeight="true" outlineLevel="0" collapsed="false">
      <c r="A297" s="20" t="n">
        <v>294</v>
      </c>
      <c r="B297" s="20" t="s">
        <v>1146</v>
      </c>
      <c r="C297" s="20" t="s">
        <v>1202</v>
      </c>
      <c r="D297" s="20" t="s">
        <v>1203</v>
      </c>
      <c r="E297" s="40" t="n">
        <v>19655</v>
      </c>
      <c r="F297" s="31" t="s">
        <v>251</v>
      </c>
      <c r="G297" s="20" t="str">
        <f aca="false">IFERROR(INDEX('Расчет Кплотн'!$C:$C,MATCH(F297,'Расчет Кплотн'!$A:$A,0)),"код не найден")</f>
        <v>Курчумский район</v>
      </c>
      <c r="H297" s="20" t="s">
        <v>1204</v>
      </c>
      <c r="I297" s="20" t="s">
        <v>502</v>
      </c>
      <c r="J297" s="41" t="s">
        <v>503</v>
      </c>
      <c r="K297" s="20"/>
    </row>
    <row r="298" customFormat="false" ht="30" hidden="false" customHeight="true" outlineLevel="0" collapsed="false">
      <c r="A298" s="20" t="n">
        <v>295</v>
      </c>
      <c r="B298" s="20" t="s">
        <v>1146</v>
      </c>
      <c r="C298" s="20" t="s">
        <v>1205</v>
      </c>
      <c r="D298" s="20" t="s">
        <v>1206</v>
      </c>
      <c r="E298" s="40" t="n">
        <v>14003</v>
      </c>
      <c r="F298" s="31" t="s">
        <v>250</v>
      </c>
      <c r="G298" s="20" t="str">
        <f aca="false">IFERROR(INDEX('Расчет Кплотн'!$C:$C,MATCH(F298,'Расчет Кплотн'!$A:$A,0)),"код не найден")</f>
        <v>район Алтай</v>
      </c>
      <c r="H298" s="20" t="s">
        <v>1207</v>
      </c>
      <c r="I298" s="20" t="s">
        <v>502</v>
      </c>
      <c r="J298" s="41" t="s">
        <v>503</v>
      </c>
      <c r="K298" s="20"/>
    </row>
    <row r="299" customFormat="false" ht="30" hidden="false" customHeight="true" outlineLevel="0" collapsed="false">
      <c r="A299" s="20" t="n">
        <v>296</v>
      </c>
      <c r="B299" s="20" t="s">
        <v>1146</v>
      </c>
      <c r="C299" s="20" t="s">
        <v>1208</v>
      </c>
      <c r="D299" s="20" t="s">
        <v>1209</v>
      </c>
      <c r="E299" s="40" t="n">
        <v>51913</v>
      </c>
      <c r="F299" s="31" t="s">
        <v>247</v>
      </c>
      <c r="G299" s="20" t="str">
        <f aca="false">IFERROR(INDEX('Расчет Кплотн'!$C:$C,MATCH(F299,'Расчет Кплотн'!$A:$A,0)),"код не найден")</f>
        <v>Риддер</v>
      </c>
      <c r="H299" s="20" t="s">
        <v>1210</v>
      </c>
      <c r="I299" s="20" t="s">
        <v>513</v>
      </c>
      <c r="J299" s="41" t="s">
        <v>503</v>
      </c>
      <c r="K299" s="20"/>
    </row>
    <row r="300" customFormat="false" ht="30" hidden="false" customHeight="true" outlineLevel="0" collapsed="false">
      <c r="A300" s="20" t="n">
        <v>297</v>
      </c>
      <c r="B300" s="20" t="s">
        <v>1146</v>
      </c>
      <c r="C300" s="20" t="s">
        <v>1211</v>
      </c>
      <c r="D300" s="20" t="s">
        <v>1212</v>
      </c>
      <c r="E300" s="40" t="n">
        <v>32639</v>
      </c>
      <c r="F300" s="31" t="s">
        <v>249</v>
      </c>
      <c r="G300" s="20" t="str">
        <f aca="false">IFERROR(INDEX('Расчет Кплотн'!$C:$C,MATCH(F300,'Расчет Кплотн'!$A:$A,0)),"код не найден")</f>
        <v>Зайсанский район</v>
      </c>
      <c r="H300" s="20" t="s">
        <v>1213</v>
      </c>
      <c r="I300" s="20" t="s">
        <v>502</v>
      </c>
      <c r="J300" s="41" t="s">
        <v>503</v>
      </c>
      <c r="K300" s="20"/>
    </row>
    <row r="301" customFormat="false" ht="30" hidden="false" customHeight="true" outlineLevel="0" collapsed="false">
      <c r="A301" s="20" t="n">
        <v>298</v>
      </c>
      <c r="B301" s="20" t="s">
        <v>1146</v>
      </c>
      <c r="C301" s="20" t="s">
        <v>1214</v>
      </c>
      <c r="D301" s="20" t="s">
        <v>1215</v>
      </c>
      <c r="E301" s="40" t="n">
        <v>48107</v>
      </c>
      <c r="F301" s="31" t="s">
        <v>248</v>
      </c>
      <c r="G301" s="20" t="str">
        <f aca="false">IFERROR(INDEX('Расчет Кплотн'!$C:$C,MATCH(F301,'Расчет Кплотн'!$A:$A,0)),"код не найден")</f>
        <v>Глубоковский район</v>
      </c>
      <c r="H301" s="20" t="s">
        <v>1216</v>
      </c>
      <c r="I301" s="20" t="s">
        <v>502</v>
      </c>
      <c r="J301" s="41" t="s">
        <v>503</v>
      </c>
      <c r="K301" s="20"/>
    </row>
    <row r="302" customFormat="false" ht="30" hidden="false" customHeight="true" outlineLevel="0" collapsed="false">
      <c r="A302" s="20" t="n">
        <v>299</v>
      </c>
      <c r="B302" s="20" t="s">
        <v>1217</v>
      </c>
      <c r="C302" s="20" t="s">
        <v>1218</v>
      </c>
      <c r="D302" s="20" t="s">
        <v>1219</v>
      </c>
      <c r="E302" s="40" t="n">
        <v>3222</v>
      </c>
      <c r="F302" s="31" t="s">
        <v>133</v>
      </c>
      <c r="G302" s="20" t="str">
        <f aca="false">IFERROR(INDEX('Расчет Кплотн'!$C:$C,MATCH(F302,'Расчет Кплотн'!$A:$A,0)),"код не найден")</f>
        <v>Меркенский район</v>
      </c>
      <c r="H302" s="20" t="s">
        <v>1220</v>
      </c>
      <c r="I302" s="20" t="s">
        <v>502</v>
      </c>
      <c r="J302" s="41" t="s">
        <v>503</v>
      </c>
      <c r="K302" s="20"/>
    </row>
    <row r="303" customFormat="false" ht="30" hidden="false" customHeight="true" outlineLevel="0" collapsed="false">
      <c r="A303" s="20" t="n">
        <v>300</v>
      </c>
      <c r="B303" s="20" t="s">
        <v>1217</v>
      </c>
      <c r="C303" s="20" t="s">
        <v>1221</v>
      </c>
      <c r="D303" s="20" t="s">
        <v>1222</v>
      </c>
      <c r="E303" s="40" t="n">
        <v>7304</v>
      </c>
      <c r="F303" s="31" t="s">
        <v>127</v>
      </c>
      <c r="G303" s="20" t="str">
        <f aca="false">IFERROR(INDEX('Расчет Кплотн'!$C:$C,MATCH(F303,'Расчет Кплотн'!$A:$A,0)),"код не найден")</f>
        <v>Тараз</v>
      </c>
      <c r="H303" s="20" t="s">
        <v>1223</v>
      </c>
      <c r="I303" s="20" t="s">
        <v>513</v>
      </c>
      <c r="J303" s="41" t="s">
        <v>503</v>
      </c>
      <c r="K303" s="20"/>
    </row>
    <row r="304" customFormat="false" ht="30" hidden="false" customHeight="true" outlineLevel="0" collapsed="false">
      <c r="A304" s="20" t="n">
        <v>301</v>
      </c>
      <c r="B304" s="20" t="s">
        <v>1217</v>
      </c>
      <c r="C304" s="20" t="s">
        <v>1224</v>
      </c>
      <c r="D304" s="20" t="s">
        <v>1225</v>
      </c>
      <c r="E304" s="40" t="n">
        <v>56603</v>
      </c>
      <c r="F304" s="31" t="s">
        <v>127</v>
      </c>
      <c r="G304" s="20" t="str">
        <f aca="false">IFERROR(INDEX('Расчет Кплотн'!$C:$C,MATCH(F304,'Расчет Кплотн'!$A:$A,0)),"код не найден")</f>
        <v>Тараз</v>
      </c>
      <c r="H304" s="20" t="s">
        <v>1223</v>
      </c>
      <c r="I304" s="20" t="s">
        <v>513</v>
      </c>
      <c r="J304" s="41" t="s">
        <v>503</v>
      </c>
      <c r="K304" s="20"/>
    </row>
    <row r="305" customFormat="false" ht="30" hidden="false" customHeight="true" outlineLevel="0" collapsed="false">
      <c r="A305" s="20" t="n">
        <v>302</v>
      </c>
      <c r="B305" s="20" t="s">
        <v>1217</v>
      </c>
      <c r="C305" s="20" t="s">
        <v>1226</v>
      </c>
      <c r="D305" s="20" t="s">
        <v>1227</v>
      </c>
      <c r="E305" s="40" t="n">
        <v>48223</v>
      </c>
      <c r="F305" s="31" t="s">
        <v>127</v>
      </c>
      <c r="G305" s="20" t="str">
        <f aca="false">IFERROR(INDEX('Расчет Кплотн'!$C:$C,MATCH(F305,'Расчет Кплотн'!$A:$A,0)),"код не найден")</f>
        <v>Тараз</v>
      </c>
      <c r="H305" s="20" t="s">
        <v>1223</v>
      </c>
      <c r="I305" s="20" t="s">
        <v>513</v>
      </c>
      <c r="J305" s="41" t="s">
        <v>503</v>
      </c>
      <c r="K305" s="20"/>
    </row>
    <row r="306" customFormat="false" ht="30" hidden="false" customHeight="true" outlineLevel="0" collapsed="false">
      <c r="A306" s="20" t="n">
        <v>303</v>
      </c>
      <c r="B306" s="20" t="s">
        <v>1217</v>
      </c>
      <c r="C306" s="20" t="s">
        <v>1228</v>
      </c>
      <c r="D306" s="20" t="s">
        <v>1229</v>
      </c>
      <c r="E306" s="40" t="n">
        <v>33708</v>
      </c>
      <c r="F306" s="31" t="s">
        <v>127</v>
      </c>
      <c r="G306" s="20" t="str">
        <f aca="false">IFERROR(INDEX('Расчет Кплотн'!$C:$C,MATCH(F306,'Расчет Кплотн'!$A:$A,0)),"код не найден")</f>
        <v>Тараз</v>
      </c>
      <c r="H306" s="20" t="s">
        <v>1223</v>
      </c>
      <c r="I306" s="20" t="s">
        <v>513</v>
      </c>
      <c r="J306" s="41" t="s">
        <v>503</v>
      </c>
      <c r="K306" s="20"/>
    </row>
    <row r="307" customFormat="false" ht="30" hidden="false" customHeight="true" outlineLevel="0" collapsed="false">
      <c r="A307" s="20" t="n">
        <v>304</v>
      </c>
      <c r="B307" s="20" t="s">
        <v>1217</v>
      </c>
      <c r="C307" s="20" t="s">
        <v>1230</v>
      </c>
      <c r="D307" s="20" t="s">
        <v>1231</v>
      </c>
      <c r="E307" s="40" t="n">
        <v>5051</v>
      </c>
      <c r="F307" s="31" t="s">
        <v>127</v>
      </c>
      <c r="G307" s="20" t="str">
        <f aca="false">IFERROR(INDEX('Расчет Кплотн'!$C:$C,MATCH(F307,'Расчет Кплотн'!$A:$A,0)),"код не найден")</f>
        <v>Тараз</v>
      </c>
      <c r="H307" s="20" t="s">
        <v>1223</v>
      </c>
      <c r="I307" s="20" t="s">
        <v>513</v>
      </c>
      <c r="J307" s="41" t="s">
        <v>503</v>
      </c>
      <c r="K307" s="20"/>
    </row>
    <row r="308" customFormat="false" ht="30" hidden="false" customHeight="true" outlineLevel="0" collapsed="false">
      <c r="A308" s="20" t="n">
        <v>305</v>
      </c>
      <c r="B308" s="20" t="s">
        <v>1217</v>
      </c>
      <c r="C308" s="20" t="s">
        <v>1232</v>
      </c>
      <c r="D308" s="20" t="s">
        <v>1233</v>
      </c>
      <c r="E308" s="40" t="n">
        <v>6656</v>
      </c>
      <c r="F308" s="31" t="s">
        <v>129</v>
      </c>
      <c r="G308" s="20" t="str">
        <f aca="false">IFERROR(INDEX('Расчет Кплотн'!$C:$C,MATCH(F308,'Расчет Кплотн'!$A:$A,0)),"код не найден")</f>
        <v>Жамбылский район</v>
      </c>
      <c r="H308" s="20" t="s">
        <v>1234</v>
      </c>
      <c r="I308" s="20" t="s">
        <v>502</v>
      </c>
      <c r="J308" s="41" t="s">
        <v>1235</v>
      </c>
      <c r="K308" s="20"/>
    </row>
    <row r="309" customFormat="false" ht="30" hidden="false" customHeight="true" outlineLevel="0" collapsed="false">
      <c r="A309" s="20" t="n">
        <v>306</v>
      </c>
      <c r="B309" s="20" t="s">
        <v>1217</v>
      </c>
      <c r="C309" s="20" t="s">
        <v>1236</v>
      </c>
      <c r="D309" s="20" t="s">
        <v>1237</v>
      </c>
      <c r="E309" s="40" t="n">
        <v>13428</v>
      </c>
      <c r="F309" s="31" t="s">
        <v>127</v>
      </c>
      <c r="G309" s="20" t="str">
        <f aca="false">IFERROR(INDEX('Расчет Кплотн'!$C:$C,MATCH(F309,'Расчет Кплотн'!$A:$A,0)),"код не найден")</f>
        <v>Тараз</v>
      </c>
      <c r="H309" s="20" t="s">
        <v>1223</v>
      </c>
      <c r="I309" s="20" t="s">
        <v>513</v>
      </c>
      <c r="J309" s="41" t="s">
        <v>503</v>
      </c>
      <c r="K309" s="20"/>
    </row>
    <row r="310" customFormat="false" ht="30" hidden="false" customHeight="true" outlineLevel="0" collapsed="false">
      <c r="A310" s="20" t="n">
        <v>307</v>
      </c>
      <c r="B310" s="20" t="s">
        <v>1217</v>
      </c>
      <c r="C310" s="20" t="s">
        <v>1238</v>
      </c>
      <c r="D310" s="20" t="s">
        <v>1239</v>
      </c>
      <c r="E310" s="40" t="n">
        <v>3410</v>
      </c>
      <c r="F310" s="31" t="s">
        <v>127</v>
      </c>
      <c r="G310" s="20" t="str">
        <f aca="false">IFERROR(INDEX('Расчет Кплотн'!$C:$C,MATCH(F310,'Расчет Кплотн'!$A:$A,0)),"код не найден")</f>
        <v>Тараз</v>
      </c>
      <c r="H310" s="20" t="s">
        <v>1223</v>
      </c>
      <c r="I310" s="20" t="s">
        <v>513</v>
      </c>
      <c r="J310" s="41" t="s">
        <v>503</v>
      </c>
      <c r="K310" s="20"/>
    </row>
    <row r="311" customFormat="false" ht="30" hidden="false" customHeight="true" outlineLevel="0" collapsed="false">
      <c r="A311" s="20" t="n">
        <v>308</v>
      </c>
      <c r="B311" s="20" t="s">
        <v>1217</v>
      </c>
      <c r="C311" s="20" t="s">
        <v>1240</v>
      </c>
      <c r="D311" s="20" t="s">
        <v>1241</v>
      </c>
      <c r="E311" s="40" t="n">
        <v>9189</v>
      </c>
      <c r="F311" s="31" t="s">
        <v>133</v>
      </c>
      <c r="G311" s="20" t="str">
        <f aca="false">IFERROR(INDEX('Расчет Кплотн'!$C:$C,MATCH(F311,'Расчет Кплотн'!$A:$A,0)),"код не найден")</f>
        <v>Меркенский район</v>
      </c>
      <c r="H311" s="20" t="s">
        <v>1242</v>
      </c>
      <c r="I311" s="20" t="s">
        <v>502</v>
      </c>
      <c r="J311" s="41" t="s">
        <v>503</v>
      </c>
      <c r="K311" s="20"/>
    </row>
    <row r="312" customFormat="false" ht="30" hidden="false" customHeight="true" outlineLevel="0" collapsed="false">
      <c r="A312" s="20" t="n">
        <v>309</v>
      </c>
      <c r="B312" s="20" t="s">
        <v>1217</v>
      </c>
      <c r="C312" s="20" t="s">
        <v>1243</v>
      </c>
      <c r="D312" s="20" t="s">
        <v>1244</v>
      </c>
      <c r="E312" s="40" t="n">
        <v>13839</v>
      </c>
      <c r="F312" s="31" t="s">
        <v>127</v>
      </c>
      <c r="G312" s="20" t="str">
        <f aca="false">IFERROR(INDEX('Расчет Кплотн'!$C:$C,MATCH(F312,'Расчет Кплотн'!$A:$A,0)),"код не найден")</f>
        <v>Тараз</v>
      </c>
      <c r="H312" s="20" t="s">
        <v>1223</v>
      </c>
      <c r="I312" s="20" t="s">
        <v>513</v>
      </c>
      <c r="J312" s="41" t="s">
        <v>503</v>
      </c>
      <c r="K312" s="20"/>
    </row>
    <row r="313" customFormat="false" ht="30" hidden="false" customHeight="true" outlineLevel="0" collapsed="false">
      <c r="A313" s="20" t="n">
        <v>310</v>
      </c>
      <c r="B313" s="20" t="s">
        <v>1217</v>
      </c>
      <c r="C313" s="20" t="s">
        <v>1245</v>
      </c>
      <c r="D313" s="20" t="s">
        <v>1246</v>
      </c>
      <c r="E313" s="40" t="n">
        <v>48015</v>
      </c>
      <c r="F313" s="31" t="s">
        <v>127</v>
      </c>
      <c r="G313" s="20" t="str">
        <f aca="false">IFERROR(INDEX('Расчет Кплотн'!$C:$C,MATCH(F313,'Расчет Кплотн'!$A:$A,0)),"код не найден")</f>
        <v>Тараз</v>
      </c>
      <c r="H313" s="20" t="s">
        <v>1223</v>
      </c>
      <c r="I313" s="20" t="s">
        <v>513</v>
      </c>
      <c r="J313" s="41" t="s">
        <v>503</v>
      </c>
      <c r="K313" s="20"/>
    </row>
    <row r="314" customFormat="false" ht="30" hidden="false" customHeight="true" outlineLevel="0" collapsed="false">
      <c r="A314" s="20" t="n">
        <v>311</v>
      </c>
      <c r="B314" s="20" t="s">
        <v>1217</v>
      </c>
      <c r="C314" s="20" t="s">
        <v>1247</v>
      </c>
      <c r="D314" s="20" t="s">
        <v>1248</v>
      </c>
      <c r="E314" s="40" t="n">
        <v>7564</v>
      </c>
      <c r="F314" s="31" t="s">
        <v>127</v>
      </c>
      <c r="G314" s="20" t="str">
        <f aca="false">IFERROR(INDEX('Расчет Кплотн'!$C:$C,MATCH(F314,'Расчет Кплотн'!$A:$A,0)),"код не найден")</f>
        <v>Тараз</v>
      </c>
      <c r="H314" s="20" t="s">
        <v>1223</v>
      </c>
      <c r="I314" s="20" t="s">
        <v>513</v>
      </c>
      <c r="J314" s="41" t="s">
        <v>503</v>
      </c>
      <c r="K314" s="20"/>
    </row>
    <row r="315" customFormat="false" ht="30" hidden="false" customHeight="true" outlineLevel="0" collapsed="false">
      <c r="A315" s="20" t="n">
        <v>312</v>
      </c>
      <c r="B315" s="20" t="s">
        <v>1217</v>
      </c>
      <c r="C315" s="20" t="s">
        <v>1249</v>
      </c>
      <c r="D315" s="20" t="s">
        <v>1250</v>
      </c>
      <c r="E315" s="40" t="n">
        <v>50553</v>
      </c>
      <c r="F315" s="31" t="s">
        <v>127</v>
      </c>
      <c r="G315" s="20" t="str">
        <f aca="false">IFERROR(INDEX('Расчет Кплотн'!$C:$C,MATCH(F315,'Расчет Кплотн'!$A:$A,0)),"код не найден")</f>
        <v>Тараз</v>
      </c>
      <c r="H315" s="20" t="s">
        <v>1223</v>
      </c>
      <c r="I315" s="20" t="s">
        <v>513</v>
      </c>
      <c r="J315" s="41" t="s">
        <v>503</v>
      </c>
      <c r="K315" s="20"/>
    </row>
    <row r="316" customFormat="false" ht="30" hidden="false" customHeight="true" outlineLevel="0" collapsed="false">
      <c r="A316" s="20" t="n">
        <v>313</v>
      </c>
      <c r="B316" s="20" t="s">
        <v>1217</v>
      </c>
      <c r="C316" s="20" t="s">
        <v>1251</v>
      </c>
      <c r="D316" s="20" t="s">
        <v>1252</v>
      </c>
      <c r="E316" s="40" t="n">
        <v>57783</v>
      </c>
      <c r="F316" s="31" t="s">
        <v>132</v>
      </c>
      <c r="G316" s="20" t="str">
        <f aca="false">IFERROR(INDEX('Расчет Кплотн'!$C:$C,MATCH(F316,'Расчет Кплотн'!$A:$A,0)),"код не найден")</f>
        <v>район Турара Рыскулова</v>
      </c>
      <c r="H316" s="20" t="s">
        <v>1253</v>
      </c>
      <c r="I316" s="20" t="s">
        <v>502</v>
      </c>
      <c r="J316" s="41" t="s">
        <v>503</v>
      </c>
      <c r="K316" s="20"/>
    </row>
    <row r="317" customFormat="false" ht="30" hidden="false" customHeight="true" outlineLevel="0" collapsed="false">
      <c r="A317" s="20" t="n">
        <v>314</v>
      </c>
      <c r="B317" s="20" t="s">
        <v>1217</v>
      </c>
      <c r="C317" s="20" t="s">
        <v>1254</v>
      </c>
      <c r="D317" s="20" t="s">
        <v>1255</v>
      </c>
      <c r="E317" s="40" t="n">
        <v>40969</v>
      </c>
      <c r="F317" s="31" t="s">
        <v>129</v>
      </c>
      <c r="G317" s="20" t="str">
        <f aca="false">IFERROR(INDEX('Расчет Кплотн'!$C:$C,MATCH(F317,'Расчет Кплотн'!$A:$A,0)),"код не найден")</f>
        <v>Жамбылский район</v>
      </c>
      <c r="H317" s="20" t="s">
        <v>1256</v>
      </c>
      <c r="I317" s="20" t="s">
        <v>502</v>
      </c>
      <c r="J317" s="41" t="s">
        <v>503</v>
      </c>
      <c r="K317" s="20"/>
    </row>
    <row r="318" customFormat="false" ht="30" hidden="false" customHeight="true" outlineLevel="0" collapsed="false">
      <c r="A318" s="20" t="n">
        <v>315</v>
      </c>
      <c r="B318" s="20" t="s">
        <v>1217</v>
      </c>
      <c r="C318" s="20" t="s">
        <v>1257</v>
      </c>
      <c r="D318" s="20" t="s">
        <v>1258</v>
      </c>
      <c r="E318" s="40" t="n">
        <v>38502</v>
      </c>
      <c r="F318" s="31" t="s">
        <v>136</v>
      </c>
      <c r="G318" s="20" t="str">
        <f aca="false">IFERROR(INDEX('Расчет Кплотн'!$C:$C,MATCH(F318,'Расчет Кплотн'!$A:$A,0)),"код не найден")</f>
        <v>Таласский район</v>
      </c>
      <c r="H318" s="20" t="s">
        <v>1259</v>
      </c>
      <c r="I318" s="20" t="s">
        <v>502</v>
      </c>
      <c r="J318" s="41" t="s">
        <v>503</v>
      </c>
      <c r="K318" s="20"/>
    </row>
    <row r="319" customFormat="false" ht="30" hidden="false" customHeight="true" outlineLevel="0" collapsed="false">
      <c r="A319" s="20" t="n">
        <v>316</v>
      </c>
      <c r="B319" s="20" t="s">
        <v>1217</v>
      </c>
      <c r="C319" s="20" t="s">
        <v>1260</v>
      </c>
      <c r="D319" s="20" t="s">
        <v>1261</v>
      </c>
      <c r="E319" s="40" t="n">
        <v>67536</v>
      </c>
      <c r="F319" s="31" t="s">
        <v>133</v>
      </c>
      <c r="G319" s="20" t="str">
        <f aca="false">IFERROR(INDEX('Расчет Кплотн'!$C:$C,MATCH(F319,'Расчет Кплотн'!$A:$A,0)),"код не найден")</f>
        <v>Меркенский район</v>
      </c>
      <c r="H319" s="20" t="s">
        <v>1220</v>
      </c>
      <c r="I319" s="20" t="s">
        <v>502</v>
      </c>
      <c r="J319" s="41" t="s">
        <v>503</v>
      </c>
      <c r="K319" s="20"/>
    </row>
    <row r="320" customFormat="false" ht="30" hidden="false" customHeight="true" outlineLevel="0" collapsed="false">
      <c r="A320" s="20" t="n">
        <v>317</v>
      </c>
      <c r="B320" s="20" t="s">
        <v>1217</v>
      </c>
      <c r="C320" s="20" t="s">
        <v>1262</v>
      </c>
      <c r="D320" s="20" t="s">
        <v>1263</v>
      </c>
      <c r="E320" s="40" t="n">
        <v>142751</v>
      </c>
      <c r="F320" s="31" t="s">
        <v>131</v>
      </c>
      <c r="G320" s="20" t="str">
        <f aca="false">IFERROR(INDEX('Расчет Кплотн'!$C:$C,MATCH(F320,'Расчет Кплотн'!$A:$A,0)),"код не найден")</f>
        <v>Кордайский район</v>
      </c>
      <c r="H320" s="20" t="s">
        <v>1264</v>
      </c>
      <c r="I320" s="20" t="s">
        <v>502</v>
      </c>
      <c r="J320" s="41" t="s">
        <v>503</v>
      </c>
      <c r="K320" s="20"/>
    </row>
    <row r="321" customFormat="false" ht="30" hidden="false" customHeight="true" outlineLevel="0" collapsed="false">
      <c r="A321" s="20" t="n">
        <v>318</v>
      </c>
      <c r="B321" s="20" t="s">
        <v>1217</v>
      </c>
      <c r="C321" s="20" t="s">
        <v>1265</v>
      </c>
      <c r="D321" s="20" t="s">
        <v>1266</v>
      </c>
      <c r="E321" s="40" t="n">
        <v>65004</v>
      </c>
      <c r="F321" s="31" t="s">
        <v>127</v>
      </c>
      <c r="G321" s="20" t="str">
        <f aca="false">IFERROR(INDEX('Расчет Кплотн'!$C:$C,MATCH(F321,'Расчет Кплотн'!$A:$A,0)),"код не найден")</f>
        <v>Тараз</v>
      </c>
      <c r="H321" s="20" t="s">
        <v>1223</v>
      </c>
      <c r="I321" s="20" t="s">
        <v>513</v>
      </c>
      <c r="J321" s="41" t="s">
        <v>503</v>
      </c>
      <c r="K321" s="20"/>
    </row>
    <row r="322" customFormat="false" ht="30" hidden="false" customHeight="true" outlineLevel="0" collapsed="false">
      <c r="A322" s="20" t="n">
        <v>319</v>
      </c>
      <c r="B322" s="20" t="s">
        <v>1217</v>
      </c>
      <c r="C322" s="20" t="s">
        <v>1267</v>
      </c>
      <c r="D322" s="20" t="s">
        <v>1268</v>
      </c>
      <c r="E322" s="40" t="n">
        <v>35463</v>
      </c>
      <c r="F322" s="31" t="s">
        <v>127</v>
      </c>
      <c r="G322" s="20" t="str">
        <f aca="false">IFERROR(INDEX('Расчет Кплотн'!$C:$C,MATCH(F322,'Расчет Кплотн'!$A:$A,0)),"код не найден")</f>
        <v>Тараз</v>
      </c>
      <c r="H322" s="20" t="s">
        <v>1223</v>
      </c>
      <c r="I322" s="20" t="s">
        <v>513</v>
      </c>
      <c r="J322" s="41" t="s">
        <v>503</v>
      </c>
      <c r="K322" s="20"/>
    </row>
    <row r="323" customFormat="false" ht="30" hidden="false" customHeight="true" outlineLevel="0" collapsed="false">
      <c r="A323" s="20" t="n">
        <v>320</v>
      </c>
      <c r="B323" s="20" t="s">
        <v>1217</v>
      </c>
      <c r="C323" s="20" t="s">
        <v>1269</v>
      </c>
      <c r="D323" s="20" t="s">
        <v>1270</v>
      </c>
      <c r="E323" s="40" t="n">
        <v>66806</v>
      </c>
      <c r="F323" s="31" t="s">
        <v>127</v>
      </c>
      <c r="G323" s="20" t="str">
        <f aca="false">IFERROR(INDEX('Расчет Кплотн'!$C:$C,MATCH(F323,'Расчет Кплотн'!$A:$A,0)),"код не найден")</f>
        <v>Тараз</v>
      </c>
      <c r="H323" s="20" t="s">
        <v>1223</v>
      </c>
      <c r="I323" s="20" t="s">
        <v>513</v>
      </c>
      <c r="J323" s="41" t="s">
        <v>503</v>
      </c>
      <c r="K323" s="20"/>
    </row>
    <row r="324" customFormat="false" ht="30" hidden="false" customHeight="true" outlineLevel="0" collapsed="false">
      <c r="A324" s="20" t="n">
        <v>321</v>
      </c>
      <c r="B324" s="20" t="s">
        <v>1217</v>
      </c>
      <c r="C324" s="20" t="s">
        <v>1271</v>
      </c>
      <c r="D324" s="20" t="s">
        <v>1272</v>
      </c>
      <c r="E324" s="40" t="n">
        <v>42997</v>
      </c>
      <c r="F324" s="31" t="s">
        <v>130</v>
      </c>
      <c r="G324" s="20" t="str">
        <f aca="false">IFERROR(INDEX('Расчет Кплотн'!$C:$C,MATCH(F324,'Расчет Кплотн'!$A:$A,0)),"код не найден")</f>
        <v>Жуалынский район</v>
      </c>
      <c r="H324" s="20" t="s">
        <v>1273</v>
      </c>
      <c r="I324" s="20" t="s">
        <v>502</v>
      </c>
      <c r="J324" s="41" t="s">
        <v>503</v>
      </c>
      <c r="K324" s="20"/>
    </row>
    <row r="325" customFormat="false" ht="30" hidden="false" customHeight="true" outlineLevel="0" collapsed="false">
      <c r="A325" s="20" t="n">
        <v>322</v>
      </c>
      <c r="B325" s="20" t="s">
        <v>1217</v>
      </c>
      <c r="C325" s="20" t="s">
        <v>1274</v>
      </c>
      <c r="D325" s="20" t="s">
        <v>1275</v>
      </c>
      <c r="E325" s="40" t="n">
        <v>36960</v>
      </c>
      <c r="F325" s="31" t="s">
        <v>135</v>
      </c>
      <c r="G325" s="20" t="str">
        <f aca="false">IFERROR(INDEX('Расчет Кплотн'!$C:$C,MATCH(F325,'Расчет Кплотн'!$A:$A,0)),"код не найден")</f>
        <v>Сарысуский район</v>
      </c>
      <c r="H325" s="20" t="s">
        <v>1276</v>
      </c>
      <c r="I325" s="20" t="s">
        <v>502</v>
      </c>
      <c r="J325" s="41" t="s">
        <v>503</v>
      </c>
      <c r="K325" s="20"/>
    </row>
    <row r="326" customFormat="false" ht="30" hidden="false" customHeight="true" outlineLevel="0" collapsed="false">
      <c r="A326" s="20" t="n">
        <v>323</v>
      </c>
      <c r="B326" s="20" t="s">
        <v>1217</v>
      </c>
      <c r="C326" s="20" t="s">
        <v>1277</v>
      </c>
      <c r="D326" s="20" t="s">
        <v>1278</v>
      </c>
      <c r="E326" s="40" t="n">
        <v>68178</v>
      </c>
      <c r="F326" s="31" t="s">
        <v>127</v>
      </c>
      <c r="G326" s="20" t="str">
        <f aca="false">IFERROR(INDEX('Расчет Кплотн'!$C:$C,MATCH(F326,'Расчет Кплотн'!$A:$A,0)),"код не найден")</f>
        <v>Тараз</v>
      </c>
      <c r="H326" s="20" t="s">
        <v>1223</v>
      </c>
      <c r="I326" s="20" t="s">
        <v>513</v>
      </c>
      <c r="J326" s="41" t="s">
        <v>503</v>
      </c>
      <c r="K326" s="20"/>
    </row>
    <row r="327" customFormat="false" ht="30" hidden="false" customHeight="true" outlineLevel="0" collapsed="false">
      <c r="A327" s="20" t="n">
        <v>324</v>
      </c>
      <c r="B327" s="20" t="s">
        <v>1217</v>
      </c>
      <c r="C327" s="20" t="s">
        <v>1279</v>
      </c>
      <c r="D327" s="20" t="s">
        <v>1280</v>
      </c>
      <c r="E327" s="40" t="n">
        <v>23946</v>
      </c>
      <c r="F327" s="31" t="s">
        <v>134</v>
      </c>
      <c r="G327" s="20" t="str">
        <f aca="false">IFERROR(INDEX('Расчет Кплотн'!$C:$C,MATCH(F327,'Расчет Кплотн'!$A:$A,0)),"код не найден")</f>
        <v>Мойынкумский район</v>
      </c>
      <c r="H327" s="20" t="s">
        <v>1281</v>
      </c>
      <c r="I327" s="20" t="s">
        <v>502</v>
      </c>
      <c r="J327" s="41" t="s">
        <v>503</v>
      </c>
      <c r="K327" s="20"/>
    </row>
    <row r="328" customFormat="false" ht="30" hidden="false" customHeight="true" outlineLevel="0" collapsed="false">
      <c r="A328" s="20" t="n">
        <v>325</v>
      </c>
      <c r="B328" s="20" t="s">
        <v>1217</v>
      </c>
      <c r="C328" s="20" t="s">
        <v>1282</v>
      </c>
      <c r="D328" s="20" t="s">
        <v>1283</v>
      </c>
      <c r="E328" s="40" t="n">
        <v>54776</v>
      </c>
      <c r="F328" s="31" t="s">
        <v>137</v>
      </c>
      <c r="G328" s="20" t="str">
        <f aca="false">IFERROR(INDEX('Расчет Кплотн'!$C:$C,MATCH(F328,'Расчет Кплотн'!$A:$A,0)),"код не найден")</f>
        <v>Шуский район</v>
      </c>
      <c r="H328" s="20" t="s">
        <v>1284</v>
      </c>
      <c r="I328" s="20" t="s">
        <v>502</v>
      </c>
      <c r="J328" s="41" t="s">
        <v>503</v>
      </c>
      <c r="K328" s="20"/>
    </row>
    <row r="329" customFormat="false" ht="30" hidden="false" customHeight="true" outlineLevel="0" collapsed="false">
      <c r="A329" s="20" t="n">
        <v>326</v>
      </c>
      <c r="B329" s="20" t="s">
        <v>1217</v>
      </c>
      <c r="C329" s="20" t="s">
        <v>1285</v>
      </c>
      <c r="D329" s="20" t="s">
        <v>1286</v>
      </c>
      <c r="E329" s="40" t="n">
        <v>40044</v>
      </c>
      <c r="F329" s="31" t="s">
        <v>137</v>
      </c>
      <c r="G329" s="20" t="str">
        <f aca="false">IFERROR(INDEX('Расчет Кплотн'!$C:$C,MATCH(F329,'Расчет Кплотн'!$A:$A,0)),"код не найден")</f>
        <v>Шуский район</v>
      </c>
      <c r="H329" s="20" t="s">
        <v>1287</v>
      </c>
      <c r="I329" s="20" t="s">
        <v>502</v>
      </c>
      <c r="J329" s="41" t="s">
        <v>503</v>
      </c>
      <c r="K329" s="20"/>
    </row>
    <row r="330" customFormat="false" ht="30" hidden="false" customHeight="true" outlineLevel="0" collapsed="false">
      <c r="A330" s="20" t="n">
        <v>327</v>
      </c>
      <c r="B330" s="20" t="s">
        <v>1217</v>
      </c>
      <c r="C330" s="20" t="s">
        <v>1288</v>
      </c>
      <c r="D330" s="20" t="s">
        <v>1289</v>
      </c>
      <c r="E330" s="40" t="n">
        <v>83142</v>
      </c>
      <c r="F330" s="31" t="s">
        <v>128</v>
      </c>
      <c r="G330" s="20" t="str">
        <f aca="false">IFERROR(INDEX('Расчет Кплотн'!$C:$C,MATCH(F330,'Расчет Кплотн'!$A:$A,0)),"код не найден")</f>
        <v>Байзакский район</v>
      </c>
      <c r="H330" s="20" t="s">
        <v>1290</v>
      </c>
      <c r="I330" s="20" t="s">
        <v>502</v>
      </c>
      <c r="J330" s="41" t="s">
        <v>503</v>
      </c>
      <c r="K330" s="20"/>
    </row>
    <row r="331" customFormat="false" ht="30" hidden="false" customHeight="true" outlineLevel="0" collapsed="false">
      <c r="A331" s="20" t="n">
        <v>328</v>
      </c>
      <c r="B331" s="20" t="s">
        <v>1291</v>
      </c>
      <c r="C331" s="20" t="s">
        <v>1292</v>
      </c>
      <c r="D331" s="20" t="s">
        <v>1293</v>
      </c>
      <c r="E331" s="40" t="n">
        <v>27336</v>
      </c>
      <c r="F331" s="31" t="s">
        <v>139</v>
      </c>
      <c r="G331" s="20" t="str">
        <f aca="false">IFERROR(INDEX('Расчет Кплотн'!$C:$C,MATCH(F331,'Расчет Кплотн'!$A:$A,0)),"код не найден")</f>
        <v>Текели</v>
      </c>
      <c r="H331" s="20" t="s">
        <v>1294</v>
      </c>
      <c r="I331" s="20" t="s">
        <v>513</v>
      </c>
      <c r="J331" s="41" t="s">
        <v>503</v>
      </c>
      <c r="K331" s="20"/>
    </row>
    <row r="332" customFormat="false" ht="30" hidden="false" customHeight="true" outlineLevel="0" collapsed="false">
      <c r="A332" s="20" t="n">
        <v>329</v>
      </c>
      <c r="B332" s="20" t="s">
        <v>1291</v>
      </c>
      <c r="C332" s="20" t="s">
        <v>907</v>
      </c>
      <c r="D332" s="20"/>
      <c r="E332" s="40" t="n">
        <v>16180</v>
      </c>
      <c r="F332" s="31" t="s">
        <v>138</v>
      </c>
      <c r="G332" s="20" t="str">
        <f aca="false">IFERROR(INDEX('Расчет Кплотн'!$C:$C,MATCH(F332,'Расчет Кплотн'!$A:$A,0)),"код не найден")</f>
        <v>Талдыкорган</v>
      </c>
      <c r="H332" s="20" t="s">
        <v>1295</v>
      </c>
      <c r="I332" s="20" t="s">
        <v>513</v>
      </c>
      <c r="J332" s="41" t="s">
        <v>503</v>
      </c>
      <c r="K332" s="20"/>
    </row>
    <row r="333" customFormat="false" ht="30" hidden="false" customHeight="true" outlineLevel="0" collapsed="false">
      <c r="A333" s="20" t="n">
        <v>330</v>
      </c>
      <c r="B333" s="20" t="s">
        <v>1291</v>
      </c>
      <c r="C333" s="20" t="s">
        <v>1296</v>
      </c>
      <c r="D333" s="20" t="s">
        <v>1297</v>
      </c>
      <c r="E333" s="40" t="n">
        <v>8511</v>
      </c>
      <c r="F333" s="31" t="s">
        <v>138</v>
      </c>
      <c r="G333" s="20" t="str">
        <f aca="false">IFERROR(INDEX('Расчет Кплотн'!$C:$C,MATCH(F333,'Расчет Кплотн'!$A:$A,0)),"код не найден")</f>
        <v>Талдыкорган</v>
      </c>
      <c r="H333" s="20" t="s">
        <v>1295</v>
      </c>
      <c r="I333" s="20" t="s">
        <v>513</v>
      </c>
      <c r="J333" s="41" t="s">
        <v>503</v>
      </c>
      <c r="K333" s="20"/>
    </row>
    <row r="334" customFormat="false" ht="30" hidden="false" customHeight="true" outlineLevel="0" collapsed="false">
      <c r="A334" s="20" t="n">
        <v>331</v>
      </c>
      <c r="B334" s="20" t="s">
        <v>1291</v>
      </c>
      <c r="C334" s="20" t="s">
        <v>1298</v>
      </c>
      <c r="D334" s="20" t="s">
        <v>1299</v>
      </c>
      <c r="E334" s="40" t="n">
        <v>127299</v>
      </c>
      <c r="F334" s="31" t="s">
        <v>146</v>
      </c>
      <c r="G334" s="20" t="str">
        <f aca="false">IFERROR(INDEX('Расчет Кплотн'!$C:$C,MATCH(F334,'Расчет Кплотн'!$A:$A,0)),"код не найден")</f>
        <v>Панфиловский район</v>
      </c>
      <c r="H334" s="20" t="s">
        <v>1300</v>
      </c>
      <c r="I334" s="20" t="s">
        <v>502</v>
      </c>
      <c r="J334" s="41" t="s">
        <v>503</v>
      </c>
      <c r="K334" s="20"/>
    </row>
    <row r="335" customFormat="false" ht="30" hidden="false" customHeight="true" outlineLevel="0" collapsed="false">
      <c r="A335" s="20" t="n">
        <v>332</v>
      </c>
      <c r="B335" s="20" t="s">
        <v>1291</v>
      </c>
      <c r="C335" s="20" t="s">
        <v>1301</v>
      </c>
      <c r="D335" s="20" t="s">
        <v>1302</v>
      </c>
      <c r="E335" s="40" t="n">
        <v>34890</v>
      </c>
      <c r="F335" s="31" t="s">
        <v>147</v>
      </c>
      <c r="G335" s="20" t="str">
        <f aca="false">IFERROR(INDEX('Расчет Кплотн'!$C:$C,MATCH(F335,'Расчет Кплотн'!$A:$A,0)),"код не найден")</f>
        <v>Сарканский район</v>
      </c>
      <c r="H335" s="20" t="s">
        <v>1303</v>
      </c>
      <c r="I335" s="20" t="s">
        <v>502</v>
      </c>
      <c r="J335" s="41" t="s">
        <v>503</v>
      </c>
      <c r="K335" s="20"/>
    </row>
    <row r="336" customFormat="false" ht="30" hidden="false" customHeight="true" outlineLevel="0" collapsed="false">
      <c r="A336" s="20" t="n">
        <v>333</v>
      </c>
      <c r="B336" s="20" t="s">
        <v>1291</v>
      </c>
      <c r="C336" s="20" t="s">
        <v>1304</v>
      </c>
      <c r="D336" s="20" t="s">
        <v>1305</v>
      </c>
      <c r="E336" s="40" t="n">
        <v>40032</v>
      </c>
      <c r="F336" s="31" t="s">
        <v>145</v>
      </c>
      <c r="G336" s="20" t="str">
        <f aca="false">IFERROR(INDEX('Расчет Кплотн'!$C:$C,MATCH(F336,'Расчет Кплотн'!$A:$A,0)),"код не найден")</f>
        <v>Каратальский район</v>
      </c>
      <c r="H336" s="20" t="s">
        <v>1306</v>
      </c>
      <c r="I336" s="20" t="s">
        <v>502</v>
      </c>
      <c r="J336" s="41" t="s">
        <v>503</v>
      </c>
      <c r="K336" s="20"/>
    </row>
    <row r="337" customFormat="false" ht="30" hidden="false" customHeight="true" outlineLevel="0" collapsed="false">
      <c r="A337" s="20" t="n">
        <v>334</v>
      </c>
      <c r="B337" s="20" t="s">
        <v>1291</v>
      </c>
      <c r="C337" s="20" t="s">
        <v>1307</v>
      </c>
      <c r="D337" s="20" t="s">
        <v>1308</v>
      </c>
      <c r="E337" s="40" t="n">
        <v>62844</v>
      </c>
      <c r="F337" s="31" t="s">
        <v>141</v>
      </c>
      <c r="G337" s="20" t="str">
        <f aca="false">IFERROR(INDEX('Расчет Кплотн'!$C:$C,MATCH(F337,'Расчет Кплотн'!$A:$A,0)),"код не найден")</f>
        <v>Алакольский район</v>
      </c>
      <c r="H337" s="20" t="s">
        <v>1309</v>
      </c>
      <c r="I337" s="20" t="s">
        <v>502</v>
      </c>
      <c r="J337" s="41" t="s">
        <v>503</v>
      </c>
      <c r="K337" s="20"/>
    </row>
    <row r="338" customFormat="false" ht="30" hidden="false" customHeight="true" outlineLevel="0" collapsed="false">
      <c r="A338" s="20" t="n">
        <v>335</v>
      </c>
      <c r="B338" s="20" t="s">
        <v>1291</v>
      </c>
      <c r="C338" s="20" t="s">
        <v>1310</v>
      </c>
      <c r="D338" s="20" t="s">
        <v>1311</v>
      </c>
      <c r="E338" s="40" t="n">
        <v>117793</v>
      </c>
      <c r="F338" s="31" t="s">
        <v>138</v>
      </c>
      <c r="G338" s="20" t="str">
        <f aca="false">IFERROR(INDEX('Расчет Кплотн'!$C:$C,MATCH(F338,'Расчет Кплотн'!$A:$A,0)),"код не найден")</f>
        <v>Талдыкорган</v>
      </c>
      <c r="H338" s="20" t="s">
        <v>1295</v>
      </c>
      <c r="I338" s="20" t="s">
        <v>513</v>
      </c>
      <c r="J338" s="41" t="s">
        <v>503</v>
      </c>
      <c r="K338" s="20"/>
    </row>
    <row r="339" customFormat="false" ht="30" hidden="false" customHeight="true" outlineLevel="0" collapsed="false">
      <c r="A339" s="20" t="n">
        <v>336</v>
      </c>
      <c r="B339" s="20" t="s">
        <v>1291</v>
      </c>
      <c r="C339" s="20" t="s">
        <v>1312</v>
      </c>
      <c r="D339" s="20" t="s">
        <v>1313</v>
      </c>
      <c r="E339" s="40" t="n">
        <v>60595</v>
      </c>
      <c r="F339" s="31" t="s">
        <v>138</v>
      </c>
      <c r="G339" s="20" t="str">
        <f aca="false">IFERROR(INDEX('Расчет Кплотн'!$C:$C,MATCH(F339,'Расчет Кплотн'!$A:$A,0)),"код не найден")</f>
        <v>Талдыкорган</v>
      </c>
      <c r="H339" s="20" t="s">
        <v>1295</v>
      </c>
      <c r="I339" s="20" t="s">
        <v>513</v>
      </c>
      <c r="J339" s="41" t="s">
        <v>503</v>
      </c>
      <c r="K339" s="20"/>
    </row>
    <row r="340" customFormat="false" ht="30" hidden="false" customHeight="true" outlineLevel="0" collapsed="false">
      <c r="A340" s="20" t="n">
        <v>337</v>
      </c>
      <c r="B340" s="20" t="s">
        <v>1291</v>
      </c>
      <c r="C340" s="20" t="s">
        <v>1314</v>
      </c>
      <c r="D340" s="20" t="s">
        <v>1315</v>
      </c>
      <c r="E340" s="40" t="n">
        <v>38927</v>
      </c>
      <c r="F340" s="31" t="s">
        <v>144</v>
      </c>
      <c r="G340" s="20" t="str">
        <f aca="false">IFERROR(INDEX('Расчет Кплотн'!$C:$C,MATCH(F340,'Расчет Кплотн'!$A:$A,0)),"код не найден")</f>
        <v>Коксуский район</v>
      </c>
      <c r="H340" s="20" t="s">
        <v>1316</v>
      </c>
      <c r="I340" s="20" t="s">
        <v>502</v>
      </c>
      <c r="J340" s="41" t="s">
        <v>503</v>
      </c>
      <c r="K340" s="20"/>
    </row>
    <row r="341" customFormat="false" ht="30" hidden="false" customHeight="true" outlineLevel="0" collapsed="false">
      <c r="A341" s="20" t="n">
        <v>338</v>
      </c>
      <c r="B341" s="20" t="s">
        <v>1291</v>
      </c>
      <c r="C341" s="20" t="s">
        <v>1317</v>
      </c>
      <c r="D341" s="20" t="s">
        <v>1318</v>
      </c>
      <c r="E341" s="40" t="n">
        <v>37267</v>
      </c>
      <c r="F341" s="31" t="s">
        <v>143</v>
      </c>
      <c r="G341" s="20" t="str">
        <f aca="false">IFERROR(INDEX('Расчет Кплотн'!$C:$C,MATCH(F341,'Расчет Кплотн'!$A:$A,0)),"код не найден")</f>
        <v>Кербулакский район</v>
      </c>
      <c r="H341" s="20" t="s">
        <v>1319</v>
      </c>
      <c r="I341" s="20" t="s">
        <v>502</v>
      </c>
      <c r="J341" s="41" t="s">
        <v>503</v>
      </c>
      <c r="K341" s="20"/>
    </row>
    <row r="342" customFormat="false" ht="30" hidden="false" customHeight="true" outlineLevel="0" collapsed="false">
      <c r="A342" s="20" t="n">
        <v>339</v>
      </c>
      <c r="B342" s="20" t="s">
        <v>1291</v>
      </c>
      <c r="C342" s="20" t="s">
        <v>1320</v>
      </c>
      <c r="D342" s="20" t="s">
        <v>1321</v>
      </c>
      <c r="E342" s="40" t="n">
        <v>31661</v>
      </c>
      <c r="F342" s="31" t="s">
        <v>140</v>
      </c>
      <c r="G342" s="20" t="str">
        <f aca="false">IFERROR(INDEX('Расчет Кплотн'!$C:$C,MATCH(F342,'Расчет Кплотн'!$A:$A,0)),"код не найден")</f>
        <v>Аксуский район</v>
      </c>
      <c r="H342" s="20" t="s">
        <v>1322</v>
      </c>
      <c r="I342" s="20" t="s">
        <v>502</v>
      </c>
      <c r="J342" s="41" t="s">
        <v>503</v>
      </c>
      <c r="K342" s="20"/>
    </row>
    <row r="343" customFormat="false" ht="30" hidden="false" customHeight="true" outlineLevel="0" collapsed="false">
      <c r="A343" s="20" t="n">
        <v>340</v>
      </c>
      <c r="B343" s="20" t="s">
        <v>1291</v>
      </c>
      <c r="C343" s="20" t="s">
        <v>1323</v>
      </c>
      <c r="D343" s="20" t="s">
        <v>1324</v>
      </c>
      <c r="E343" s="40" t="n">
        <v>48356</v>
      </c>
      <c r="F343" s="31" t="s">
        <v>142</v>
      </c>
      <c r="G343" s="20" t="str">
        <f aca="false">IFERROR(INDEX('Расчет Кплотн'!$C:$C,MATCH(F343,'Расчет Кплотн'!$A:$A,0)),"код не найден")</f>
        <v>Ескельдинский район</v>
      </c>
      <c r="H343" s="20" t="s">
        <v>1325</v>
      </c>
      <c r="I343" s="20" t="s">
        <v>502</v>
      </c>
      <c r="J343" s="41" t="s">
        <v>503</v>
      </c>
      <c r="K343" s="20"/>
    </row>
    <row r="344" customFormat="false" ht="30" hidden="false" customHeight="true" outlineLevel="0" collapsed="false">
      <c r="A344" s="20" t="n">
        <v>341</v>
      </c>
      <c r="B344" s="20" t="s">
        <v>1326</v>
      </c>
      <c r="C344" s="20" t="s">
        <v>1327</v>
      </c>
      <c r="D344" s="20" t="s">
        <v>1328</v>
      </c>
      <c r="E344" s="40" t="n">
        <v>11189</v>
      </c>
      <c r="F344" s="31" t="s">
        <v>126</v>
      </c>
      <c r="G344" s="20" t="str">
        <f aca="false">IFERROR(INDEX('Расчет Кплотн'!$C:$C,MATCH(F344,'Расчет Кплотн'!$A:$A,0)),"код не найден")</f>
        <v>Чингирлауский район</v>
      </c>
      <c r="H344" s="20" t="s">
        <v>1329</v>
      </c>
      <c r="I344" s="20" t="s">
        <v>502</v>
      </c>
      <c r="J344" s="41" t="s">
        <v>503</v>
      </c>
      <c r="K344" s="20"/>
    </row>
    <row r="345" customFormat="false" ht="30" hidden="false" customHeight="true" outlineLevel="0" collapsed="false">
      <c r="A345" s="20" t="n">
        <v>342</v>
      </c>
      <c r="B345" s="20" t="s">
        <v>1326</v>
      </c>
      <c r="C345" s="20" t="s">
        <v>1330</v>
      </c>
      <c r="D345" s="20" t="s">
        <v>1331</v>
      </c>
      <c r="E345" s="40" t="n">
        <v>19150</v>
      </c>
      <c r="F345" s="31" t="s">
        <v>117</v>
      </c>
      <c r="G345" s="20" t="str">
        <f aca="false">IFERROR(INDEX('Расчет Кплотн'!$C:$C,MATCH(F345,'Расчет Кплотн'!$A:$A,0)),"код не найден")</f>
        <v>Жангалинский район</v>
      </c>
      <c r="H345" s="20" t="s">
        <v>1332</v>
      </c>
      <c r="I345" s="20" t="s">
        <v>502</v>
      </c>
      <c r="J345" s="41" t="s">
        <v>503</v>
      </c>
      <c r="K345" s="20"/>
    </row>
    <row r="346" customFormat="false" ht="30" hidden="false" customHeight="true" outlineLevel="0" collapsed="false">
      <c r="A346" s="20" t="n">
        <v>343</v>
      </c>
      <c r="B346" s="20" t="s">
        <v>1326</v>
      </c>
      <c r="C346" s="20" t="s">
        <v>1333</v>
      </c>
      <c r="D346" s="20" t="s">
        <v>1334</v>
      </c>
      <c r="E346" s="40" t="n">
        <v>11359</v>
      </c>
      <c r="F346" s="31" t="s">
        <v>120</v>
      </c>
      <c r="G346" s="20" t="str">
        <f aca="false">IFERROR(INDEX('Расчет Кплотн'!$C:$C,MATCH(F346,'Расчет Кплотн'!$A:$A,0)),"код не найден")</f>
        <v>Казталовский район</v>
      </c>
      <c r="H346" s="20" t="s">
        <v>1335</v>
      </c>
      <c r="I346" s="20" t="s">
        <v>502</v>
      </c>
      <c r="J346" s="41" t="s">
        <v>503</v>
      </c>
      <c r="K346" s="20"/>
    </row>
    <row r="347" customFormat="false" ht="30" hidden="false" customHeight="true" outlineLevel="0" collapsed="false">
      <c r="A347" s="20" t="n">
        <v>344</v>
      </c>
      <c r="B347" s="20" t="s">
        <v>1326</v>
      </c>
      <c r="C347" s="20" t="s">
        <v>1336</v>
      </c>
      <c r="D347" s="20" t="s">
        <v>1337</v>
      </c>
      <c r="E347" s="40" t="n">
        <v>12487</v>
      </c>
      <c r="F347" s="31" t="s">
        <v>120</v>
      </c>
      <c r="G347" s="20" t="str">
        <f aca="false">IFERROR(INDEX('Расчет Кплотн'!$C:$C,MATCH(F347,'Расчет Кплотн'!$A:$A,0)),"код не найден")</f>
        <v>Казталовский район</v>
      </c>
      <c r="H347" s="20" t="s">
        <v>1338</v>
      </c>
      <c r="I347" s="20" t="s">
        <v>502</v>
      </c>
      <c r="J347" s="41" t="s">
        <v>503</v>
      </c>
      <c r="K347" s="20"/>
    </row>
    <row r="348" customFormat="false" ht="30" hidden="false" customHeight="true" outlineLevel="0" collapsed="false">
      <c r="A348" s="20" t="n">
        <v>345</v>
      </c>
      <c r="B348" s="20" t="s">
        <v>1326</v>
      </c>
      <c r="C348" s="20" t="s">
        <v>1339</v>
      </c>
      <c r="D348" s="20" t="s">
        <v>1340</v>
      </c>
      <c r="E348" s="40" t="n">
        <v>30020</v>
      </c>
      <c r="F348" s="31" t="s">
        <v>115</v>
      </c>
      <c r="G348" s="20" t="str">
        <f aca="false">IFERROR(INDEX('Расчет Кплотн'!$C:$C,MATCH(F348,'Расчет Кплотн'!$A:$A,0)),"код не найден")</f>
        <v>Акжаикский район</v>
      </c>
      <c r="H348" s="20" t="s">
        <v>1341</v>
      </c>
      <c r="I348" s="20" t="s">
        <v>502</v>
      </c>
      <c r="J348" s="41" t="s">
        <v>503</v>
      </c>
      <c r="K348" s="20"/>
    </row>
    <row r="349" customFormat="false" ht="30" hidden="false" customHeight="true" outlineLevel="0" collapsed="false">
      <c r="A349" s="20" t="n">
        <v>346</v>
      </c>
      <c r="B349" s="20" t="s">
        <v>1326</v>
      </c>
      <c r="C349" s="20" t="s">
        <v>1342</v>
      </c>
      <c r="D349" s="20" t="s">
        <v>1343</v>
      </c>
      <c r="E349" s="40" t="n">
        <v>10891</v>
      </c>
      <c r="F349" s="31" t="s">
        <v>114</v>
      </c>
      <c r="G349" s="20" t="str">
        <f aca="false">IFERROR(INDEX('Расчет Кплотн'!$C:$C,MATCH(F349,'Расчет Кплотн'!$A:$A,0)),"код не найден")</f>
        <v>Уральск</v>
      </c>
      <c r="H349" s="20" t="s">
        <v>1344</v>
      </c>
      <c r="I349" s="20" t="s">
        <v>513</v>
      </c>
      <c r="J349" s="41" t="s">
        <v>503</v>
      </c>
      <c r="K349" s="20"/>
    </row>
    <row r="350" customFormat="false" ht="30" hidden="false" customHeight="true" outlineLevel="0" collapsed="false">
      <c r="A350" s="20" t="n">
        <v>347</v>
      </c>
      <c r="B350" s="20" t="s">
        <v>1326</v>
      </c>
      <c r="C350" s="20" t="s">
        <v>1345</v>
      </c>
      <c r="D350" s="20" t="s">
        <v>1346</v>
      </c>
      <c r="E350" s="40" t="n">
        <v>14221</v>
      </c>
      <c r="F350" s="31" t="s">
        <v>114</v>
      </c>
      <c r="G350" s="20" t="str">
        <f aca="false">IFERROR(INDEX('Расчет Кплотн'!$C:$C,MATCH(F350,'Расчет Кплотн'!$A:$A,0)),"код не найден")</f>
        <v>Уральск</v>
      </c>
      <c r="H350" s="20" t="s">
        <v>1344</v>
      </c>
      <c r="I350" s="20" t="s">
        <v>513</v>
      </c>
      <c r="J350" s="41" t="s">
        <v>503</v>
      </c>
      <c r="K350" s="20"/>
    </row>
    <row r="351" customFormat="false" ht="30" hidden="false" customHeight="true" outlineLevel="0" collapsed="false">
      <c r="A351" s="20" t="n">
        <v>348</v>
      </c>
      <c r="B351" s="20" t="s">
        <v>1326</v>
      </c>
      <c r="C351" s="20" t="s">
        <v>1347</v>
      </c>
      <c r="D351" s="20" t="s">
        <v>1348</v>
      </c>
      <c r="E351" s="40" t="n">
        <v>3929</v>
      </c>
      <c r="F351" s="31" t="s">
        <v>114</v>
      </c>
      <c r="G351" s="20" t="str">
        <f aca="false">IFERROR(INDEX('Расчет Кплотн'!$C:$C,MATCH(F351,'Расчет Кплотн'!$A:$A,0)),"код не найден")</f>
        <v>Уральск</v>
      </c>
      <c r="H351" s="20" t="s">
        <v>1344</v>
      </c>
      <c r="I351" s="20" t="s">
        <v>513</v>
      </c>
      <c r="J351" s="41" t="s">
        <v>503</v>
      </c>
      <c r="K351" s="20"/>
    </row>
    <row r="352" customFormat="false" ht="30" hidden="false" customHeight="true" outlineLevel="0" collapsed="false">
      <c r="A352" s="20" t="n">
        <v>349</v>
      </c>
      <c r="B352" s="20" t="s">
        <v>1326</v>
      </c>
      <c r="C352" s="20" t="s">
        <v>1349</v>
      </c>
      <c r="D352" s="20" t="s">
        <v>1350</v>
      </c>
      <c r="E352" s="40" t="n">
        <v>20245</v>
      </c>
      <c r="F352" s="31" t="s">
        <v>114</v>
      </c>
      <c r="G352" s="20" t="str">
        <f aca="false">IFERROR(INDEX('Расчет Кплотн'!$C:$C,MATCH(F352,'Расчет Кплотн'!$A:$A,0)),"код не найден")</f>
        <v>Уральск</v>
      </c>
      <c r="H352" s="20" t="s">
        <v>1344</v>
      </c>
      <c r="I352" s="20" t="s">
        <v>513</v>
      </c>
      <c r="J352" s="41" t="s">
        <v>503</v>
      </c>
      <c r="K352" s="20"/>
    </row>
    <row r="353" customFormat="false" ht="30" hidden="false" customHeight="true" outlineLevel="0" collapsed="false">
      <c r="A353" s="20" t="n">
        <v>350</v>
      </c>
      <c r="B353" s="20" t="s">
        <v>1326</v>
      </c>
      <c r="C353" s="20" t="s">
        <v>1351</v>
      </c>
      <c r="D353" s="20" t="s">
        <v>1352</v>
      </c>
      <c r="E353" s="40" t="n">
        <v>3326</v>
      </c>
      <c r="F353" s="31" t="s">
        <v>116</v>
      </c>
      <c r="G353" s="20" t="str">
        <f aca="false">IFERROR(INDEX('Расчет Кплотн'!$C:$C,MATCH(F353,'Расчет Кплотн'!$A:$A,0)),"код не найден")</f>
        <v>Бурлинский район</v>
      </c>
      <c r="H353" s="20" t="s">
        <v>1353</v>
      </c>
      <c r="I353" s="20" t="s">
        <v>502</v>
      </c>
      <c r="J353" s="41" t="s">
        <v>503</v>
      </c>
      <c r="K353" s="20"/>
    </row>
    <row r="354" customFormat="false" ht="30" hidden="false" customHeight="true" outlineLevel="0" collapsed="false">
      <c r="A354" s="20" t="n">
        <v>351</v>
      </c>
      <c r="B354" s="20" t="s">
        <v>1326</v>
      </c>
      <c r="C354" s="20" t="s">
        <v>1354</v>
      </c>
      <c r="D354" s="20" t="s">
        <v>1355</v>
      </c>
      <c r="E354" s="40" t="n">
        <v>33518</v>
      </c>
      <c r="F354" s="31" t="s">
        <v>125</v>
      </c>
      <c r="G354" s="20" t="str">
        <f aca="false">IFERROR(INDEX('Расчет Кплотн'!$C:$C,MATCH(F354,'Расчет Кплотн'!$A:$A,0)),"код не найден")</f>
        <v>Теректинский район</v>
      </c>
      <c r="H354" s="20" t="s">
        <v>1356</v>
      </c>
      <c r="I354" s="20" t="s">
        <v>502</v>
      </c>
      <c r="J354" s="41" t="s">
        <v>503</v>
      </c>
      <c r="K354" s="20"/>
    </row>
    <row r="355" customFormat="false" ht="30" hidden="false" customHeight="true" outlineLevel="0" collapsed="false">
      <c r="A355" s="20" t="n">
        <v>352</v>
      </c>
      <c r="B355" s="20" t="s">
        <v>1326</v>
      </c>
      <c r="C355" s="20" t="s">
        <v>1357</v>
      </c>
      <c r="D355" s="20" t="s">
        <v>1358</v>
      </c>
      <c r="E355" s="40" t="n">
        <v>20634</v>
      </c>
      <c r="F355" s="31" t="s">
        <v>114</v>
      </c>
      <c r="G355" s="20" t="str">
        <f aca="false">IFERROR(INDEX('Расчет Кплотн'!$C:$C,MATCH(F355,'Расчет Кплотн'!$A:$A,0)),"код не найден")</f>
        <v>Уральск</v>
      </c>
      <c r="H355" s="20" t="s">
        <v>1344</v>
      </c>
      <c r="I355" s="20" t="s">
        <v>513</v>
      </c>
      <c r="J355" s="41" t="s">
        <v>503</v>
      </c>
      <c r="K355" s="20"/>
    </row>
    <row r="356" customFormat="false" ht="30" hidden="false" customHeight="true" outlineLevel="0" collapsed="false">
      <c r="A356" s="20" t="n">
        <v>353</v>
      </c>
      <c r="B356" s="20" t="s">
        <v>1326</v>
      </c>
      <c r="C356" s="20" t="s">
        <v>1359</v>
      </c>
      <c r="D356" s="20" t="s">
        <v>1360</v>
      </c>
      <c r="E356" s="40" t="n">
        <v>77268</v>
      </c>
      <c r="F356" s="31" t="s">
        <v>114</v>
      </c>
      <c r="G356" s="20" t="str">
        <f aca="false">IFERROR(INDEX('Расчет Кплотн'!$C:$C,MATCH(F356,'Расчет Кплотн'!$A:$A,0)),"код не найден")</f>
        <v>Уральск</v>
      </c>
      <c r="H356" s="20" t="s">
        <v>1361</v>
      </c>
      <c r="I356" s="20" t="s">
        <v>513</v>
      </c>
      <c r="J356" s="41" t="s">
        <v>503</v>
      </c>
      <c r="K356" s="20"/>
    </row>
    <row r="357" customFormat="false" ht="30" hidden="false" customHeight="true" outlineLevel="0" collapsed="false">
      <c r="A357" s="20" t="n">
        <v>354</v>
      </c>
      <c r="B357" s="20" t="s">
        <v>1326</v>
      </c>
      <c r="C357" s="20" t="s">
        <v>1362</v>
      </c>
      <c r="D357" s="20" t="s">
        <v>1363</v>
      </c>
      <c r="E357" s="40" t="n">
        <v>48309</v>
      </c>
      <c r="F357" s="31" t="s">
        <v>114</v>
      </c>
      <c r="G357" s="20" t="str">
        <f aca="false">IFERROR(INDEX('Расчет Кплотн'!$C:$C,MATCH(F357,'Расчет Кплотн'!$A:$A,0)),"код не найден")</f>
        <v>Уральск</v>
      </c>
      <c r="H357" s="20" t="s">
        <v>1344</v>
      </c>
      <c r="I357" s="20" t="s">
        <v>513</v>
      </c>
      <c r="J357" s="41" t="s">
        <v>503</v>
      </c>
      <c r="K357" s="20"/>
    </row>
    <row r="358" customFormat="false" ht="30" hidden="false" customHeight="true" outlineLevel="0" collapsed="false">
      <c r="A358" s="20" t="n">
        <v>355</v>
      </c>
      <c r="B358" s="20" t="s">
        <v>1326</v>
      </c>
      <c r="C358" s="20" t="s">
        <v>1364</v>
      </c>
      <c r="D358" s="20" t="s">
        <v>1365</v>
      </c>
      <c r="E358" s="40" t="n">
        <v>64375</v>
      </c>
      <c r="F358" s="31" t="s">
        <v>114</v>
      </c>
      <c r="G358" s="20" t="str">
        <f aca="false">IFERROR(INDEX('Расчет Кплотн'!$C:$C,MATCH(F358,'Расчет Кплотн'!$A:$A,0)),"код не найден")</f>
        <v>Уральск</v>
      </c>
      <c r="H358" s="20" t="s">
        <v>1344</v>
      </c>
      <c r="I358" s="20" t="s">
        <v>513</v>
      </c>
      <c r="J358" s="41" t="s">
        <v>503</v>
      </c>
      <c r="K358" s="20"/>
    </row>
    <row r="359" customFormat="false" ht="30" hidden="false" customHeight="true" outlineLevel="0" collapsed="false">
      <c r="A359" s="20" t="n">
        <v>356</v>
      </c>
      <c r="B359" s="20" t="s">
        <v>1326</v>
      </c>
      <c r="C359" s="20" t="s">
        <v>1366</v>
      </c>
      <c r="D359" s="20" t="s">
        <v>1367</v>
      </c>
      <c r="E359" s="40" t="n">
        <v>48139</v>
      </c>
      <c r="F359" s="31" t="s">
        <v>114</v>
      </c>
      <c r="G359" s="20" t="str">
        <f aca="false">IFERROR(INDEX('Расчет Кплотн'!$C:$C,MATCH(F359,'Расчет Кплотн'!$A:$A,0)),"код не найден")</f>
        <v>Уральск</v>
      </c>
      <c r="H359" s="20" t="s">
        <v>1344</v>
      </c>
      <c r="I359" s="20" t="s">
        <v>513</v>
      </c>
      <c r="J359" s="41" t="s">
        <v>503</v>
      </c>
      <c r="K359" s="20"/>
    </row>
    <row r="360" customFormat="false" ht="30" hidden="false" customHeight="true" outlineLevel="0" collapsed="false">
      <c r="A360" s="20" t="n">
        <v>357</v>
      </c>
      <c r="B360" s="20" t="s">
        <v>1326</v>
      </c>
      <c r="C360" s="20" t="s">
        <v>1368</v>
      </c>
      <c r="D360" s="20" t="s">
        <v>1369</v>
      </c>
      <c r="E360" s="40" t="n">
        <v>38297</v>
      </c>
      <c r="F360" s="31" t="s">
        <v>114</v>
      </c>
      <c r="G360" s="20" t="str">
        <f aca="false">IFERROR(INDEX('Расчет Кплотн'!$C:$C,MATCH(F360,'Расчет Кплотн'!$A:$A,0)),"код не найден")</f>
        <v>Уральск</v>
      </c>
      <c r="H360" s="20" t="s">
        <v>1344</v>
      </c>
      <c r="I360" s="20" t="s">
        <v>513</v>
      </c>
      <c r="J360" s="41" t="s">
        <v>503</v>
      </c>
      <c r="K360" s="20"/>
    </row>
    <row r="361" customFormat="false" ht="30" hidden="false" customHeight="true" outlineLevel="0" collapsed="false">
      <c r="A361" s="20" t="n">
        <v>358</v>
      </c>
      <c r="B361" s="20" t="s">
        <v>1326</v>
      </c>
      <c r="C361" s="20" t="s">
        <v>1370</v>
      </c>
      <c r="D361" s="20" t="s">
        <v>1371</v>
      </c>
      <c r="E361" s="40" t="n">
        <v>63348</v>
      </c>
      <c r="F361" s="31" t="s">
        <v>114</v>
      </c>
      <c r="G361" s="20" t="str">
        <f aca="false">IFERROR(INDEX('Расчет Кплотн'!$C:$C,MATCH(F361,'Расчет Кплотн'!$A:$A,0)),"код не найден")</f>
        <v>Уральск</v>
      </c>
      <c r="H361" s="20" t="s">
        <v>1344</v>
      </c>
      <c r="I361" s="20" t="s">
        <v>513</v>
      </c>
      <c r="J361" s="41" t="s">
        <v>503</v>
      </c>
      <c r="K361" s="20"/>
    </row>
    <row r="362" customFormat="false" ht="30" hidden="false" customHeight="true" outlineLevel="0" collapsed="false">
      <c r="A362" s="20" t="n">
        <v>359</v>
      </c>
      <c r="B362" s="20" t="s">
        <v>1326</v>
      </c>
      <c r="C362" s="20" t="s">
        <v>1372</v>
      </c>
      <c r="D362" s="20" t="s">
        <v>1373</v>
      </c>
      <c r="E362" s="40" t="n">
        <v>12232</v>
      </c>
      <c r="F362" s="31" t="s">
        <v>118</v>
      </c>
      <c r="G362" s="20" t="str">
        <f aca="false">IFERROR(INDEX('Расчет Кплотн'!$C:$C,MATCH(F362,'Расчет Кплотн'!$A:$A,0)),"код не найден")</f>
        <v>Жанибекский район</v>
      </c>
      <c r="H362" s="20" t="s">
        <v>1374</v>
      </c>
      <c r="I362" s="20" t="s">
        <v>502</v>
      </c>
      <c r="J362" s="41" t="s">
        <v>503</v>
      </c>
      <c r="K362" s="20"/>
    </row>
    <row r="363" customFormat="false" ht="30" hidden="false" customHeight="true" outlineLevel="0" collapsed="false">
      <c r="A363" s="20" t="n">
        <v>360</v>
      </c>
      <c r="B363" s="20" t="s">
        <v>1326</v>
      </c>
      <c r="C363" s="20" t="s">
        <v>1375</v>
      </c>
      <c r="D363" s="20" t="s">
        <v>1376</v>
      </c>
      <c r="E363" s="40" t="n">
        <v>15005</v>
      </c>
      <c r="F363" s="31" t="s">
        <v>123</v>
      </c>
      <c r="G363" s="20" t="str">
        <f aca="false">IFERROR(INDEX('Расчет Кплотн'!$C:$C,MATCH(F363,'Расчет Кплотн'!$A:$A,0)),"код не найден")</f>
        <v>Сырымский район</v>
      </c>
      <c r="H363" s="20" t="s">
        <v>1377</v>
      </c>
      <c r="I363" s="20" t="s">
        <v>502</v>
      </c>
      <c r="J363" s="41" t="s">
        <v>503</v>
      </c>
      <c r="K363" s="20"/>
    </row>
    <row r="364" customFormat="false" ht="30" hidden="false" customHeight="true" outlineLevel="0" collapsed="false">
      <c r="A364" s="20" t="n">
        <v>361</v>
      </c>
      <c r="B364" s="20" t="s">
        <v>1326</v>
      </c>
      <c r="C364" s="20" t="s">
        <v>1378</v>
      </c>
      <c r="D364" s="20" t="s">
        <v>1379</v>
      </c>
      <c r="E364" s="40" t="n">
        <v>12127</v>
      </c>
      <c r="F364" s="31" t="s">
        <v>122</v>
      </c>
      <c r="G364" s="20" t="str">
        <f aca="false">IFERROR(INDEX('Расчет Кплотн'!$C:$C,MATCH(F364,'Расчет Кплотн'!$A:$A,0)),"код не найден")</f>
        <v>Бокейординский район</v>
      </c>
      <c r="H364" s="20" t="s">
        <v>1380</v>
      </c>
      <c r="I364" s="20" t="s">
        <v>502</v>
      </c>
      <c r="J364" s="41" t="s">
        <v>503</v>
      </c>
      <c r="K364" s="20"/>
    </row>
    <row r="365" customFormat="false" ht="30" hidden="false" customHeight="true" outlineLevel="0" collapsed="false">
      <c r="A365" s="20" t="n">
        <v>362</v>
      </c>
      <c r="B365" s="20" t="s">
        <v>1326</v>
      </c>
      <c r="C365" s="20" t="s">
        <v>1381</v>
      </c>
      <c r="D365" s="20" t="s">
        <v>1382</v>
      </c>
      <c r="E365" s="40" t="n">
        <v>11388</v>
      </c>
      <c r="F365" s="31" t="s">
        <v>121</v>
      </c>
      <c r="G365" s="20" t="str">
        <f aca="false">IFERROR(INDEX('Расчет Кплотн'!$C:$C,MATCH(F365,'Расчет Кплотн'!$A:$A,0)),"код не найден")</f>
        <v>Каратобинский район</v>
      </c>
      <c r="H365" s="20" t="s">
        <v>1383</v>
      </c>
      <c r="I365" s="20" t="s">
        <v>502</v>
      </c>
      <c r="J365" s="41" t="s">
        <v>503</v>
      </c>
      <c r="K365" s="20"/>
    </row>
    <row r="366" customFormat="false" ht="30" hidden="false" customHeight="true" outlineLevel="0" collapsed="false">
      <c r="A366" s="20" t="n">
        <v>363</v>
      </c>
      <c r="B366" s="20" t="s">
        <v>1326</v>
      </c>
      <c r="C366" s="20" t="s">
        <v>1384</v>
      </c>
      <c r="D366" s="20" t="s">
        <v>1385</v>
      </c>
      <c r="E366" s="40" t="n">
        <v>28458</v>
      </c>
      <c r="F366" s="31" t="s">
        <v>119</v>
      </c>
      <c r="G366" s="20" t="str">
        <f aca="false">IFERROR(INDEX('Расчет Кплотн'!$C:$C,MATCH(F366,'Расчет Кплотн'!$A:$A,0)),"код не найден")</f>
        <v>район Бәйтерек</v>
      </c>
      <c r="H366" s="20" t="s">
        <v>1386</v>
      </c>
      <c r="I366" s="20" t="s">
        <v>502</v>
      </c>
      <c r="J366" s="41" t="s">
        <v>503</v>
      </c>
      <c r="K366" s="20"/>
    </row>
    <row r="367" customFormat="false" ht="30" hidden="false" customHeight="true" outlineLevel="0" collapsed="false">
      <c r="A367" s="20" t="n">
        <v>364</v>
      </c>
      <c r="B367" s="20" t="s">
        <v>1326</v>
      </c>
      <c r="C367" s="20" t="s">
        <v>1387</v>
      </c>
      <c r="D367" s="20" t="s">
        <v>1388</v>
      </c>
      <c r="E367" s="40" t="n">
        <v>18333</v>
      </c>
      <c r="F367" s="31" t="s">
        <v>119</v>
      </c>
      <c r="G367" s="20" t="str">
        <f aca="false">IFERROR(INDEX('Расчет Кплотн'!$C:$C,MATCH(F367,'Расчет Кплотн'!$A:$A,0)),"код не найден")</f>
        <v>район Бәйтерек</v>
      </c>
      <c r="H367" s="20" t="s">
        <v>1389</v>
      </c>
      <c r="I367" s="20" t="s">
        <v>502</v>
      </c>
      <c r="J367" s="41" t="s">
        <v>503</v>
      </c>
      <c r="K367" s="20"/>
    </row>
    <row r="368" customFormat="false" ht="30" hidden="false" customHeight="true" outlineLevel="0" collapsed="false">
      <c r="A368" s="20" t="n">
        <v>365</v>
      </c>
      <c r="B368" s="20" t="s">
        <v>1326</v>
      </c>
      <c r="C368" s="20" t="s">
        <v>1390</v>
      </c>
      <c r="D368" s="20" t="s">
        <v>1391</v>
      </c>
      <c r="E368" s="40" t="n">
        <v>49577</v>
      </c>
      <c r="F368" s="31" t="s">
        <v>116</v>
      </c>
      <c r="G368" s="20" t="str">
        <f aca="false">IFERROR(INDEX('Расчет Кплотн'!$C:$C,MATCH(F368,'Расчет Кплотн'!$A:$A,0)),"код не найден")</f>
        <v>Бурлинский район</v>
      </c>
      <c r="H368" s="20" t="s">
        <v>1353</v>
      </c>
      <c r="I368" s="20" t="s">
        <v>502</v>
      </c>
      <c r="J368" s="41" t="s">
        <v>503</v>
      </c>
      <c r="K368" s="20"/>
    </row>
    <row r="369" customFormat="false" ht="30" hidden="false" customHeight="true" outlineLevel="0" collapsed="false">
      <c r="A369" s="20" t="n">
        <v>366</v>
      </c>
      <c r="B369" s="20" t="s">
        <v>1326</v>
      </c>
      <c r="C369" s="20" t="s">
        <v>1392</v>
      </c>
      <c r="D369" s="20" t="s">
        <v>1393</v>
      </c>
      <c r="E369" s="40" t="n">
        <v>14148</v>
      </c>
      <c r="F369" s="31" t="s">
        <v>124</v>
      </c>
      <c r="G369" s="20" t="str">
        <f aca="false">IFERROR(INDEX('Расчет Кплотн'!$C:$C,MATCH(F369,'Расчет Кплотн'!$A:$A,0)),"код не найден")</f>
        <v>Таскалинский район</v>
      </c>
      <c r="H369" s="20" t="s">
        <v>1394</v>
      </c>
      <c r="I369" s="20" t="s">
        <v>502</v>
      </c>
      <c r="J369" s="41" t="s">
        <v>503</v>
      </c>
      <c r="K369" s="20"/>
    </row>
    <row r="370" customFormat="false" ht="30" hidden="false" customHeight="true" outlineLevel="0" collapsed="false">
      <c r="A370" s="20" t="n">
        <v>367</v>
      </c>
      <c r="B370" s="20" t="s">
        <v>1395</v>
      </c>
      <c r="C370" s="20" t="s">
        <v>1396</v>
      </c>
      <c r="D370" s="20" t="s">
        <v>1397</v>
      </c>
      <c r="E370" s="40" t="n">
        <v>24761</v>
      </c>
      <c r="F370" s="31" t="s">
        <v>148</v>
      </c>
      <c r="G370" s="20" t="str">
        <f aca="false">IFERROR(INDEX('Расчет Кплотн'!$C:$C,MATCH(F370,'Расчет Кплотн'!$A:$A,0)),"код не найден")</f>
        <v>Караганда</v>
      </c>
      <c r="H370" s="20" t="s">
        <v>1398</v>
      </c>
      <c r="I370" s="20" t="s">
        <v>513</v>
      </c>
      <c r="J370" s="41" t="s">
        <v>503</v>
      </c>
      <c r="K370" s="20"/>
    </row>
    <row r="371" customFormat="false" ht="30" hidden="false" customHeight="true" outlineLevel="0" collapsed="false">
      <c r="A371" s="20" t="n">
        <v>368</v>
      </c>
      <c r="B371" s="20" t="s">
        <v>1395</v>
      </c>
      <c r="C371" s="20" t="s">
        <v>1399</v>
      </c>
      <c r="D371" s="20" t="s">
        <v>1400</v>
      </c>
      <c r="E371" s="40" t="n">
        <v>33014</v>
      </c>
      <c r="F371" s="31" t="s">
        <v>148</v>
      </c>
      <c r="G371" s="20" t="str">
        <f aca="false">IFERROR(INDEX('Расчет Кплотн'!$C:$C,MATCH(F371,'Расчет Кплотн'!$A:$A,0)),"код не найден")</f>
        <v>Караганда</v>
      </c>
      <c r="H371" s="20" t="s">
        <v>1401</v>
      </c>
      <c r="I371" s="20" t="s">
        <v>513</v>
      </c>
      <c r="J371" s="41" t="s">
        <v>503</v>
      </c>
      <c r="K371" s="20"/>
    </row>
    <row r="372" customFormat="false" ht="30" hidden="false" customHeight="true" outlineLevel="0" collapsed="false">
      <c r="A372" s="20" t="n">
        <v>369</v>
      </c>
      <c r="B372" s="20" t="s">
        <v>1395</v>
      </c>
      <c r="C372" s="20" t="s">
        <v>1402</v>
      </c>
      <c r="D372" s="20" t="s">
        <v>1403</v>
      </c>
      <c r="E372" s="40" t="n">
        <v>26147</v>
      </c>
      <c r="F372" s="31" t="s">
        <v>148</v>
      </c>
      <c r="G372" s="20" t="str">
        <f aca="false">IFERROR(INDEX('Расчет Кплотн'!$C:$C,MATCH(F372,'Расчет Кплотн'!$A:$A,0)),"код не найден")</f>
        <v>Караганда</v>
      </c>
      <c r="H372" s="20" t="s">
        <v>1398</v>
      </c>
      <c r="I372" s="20" t="s">
        <v>513</v>
      </c>
      <c r="J372" s="41" t="s">
        <v>503</v>
      </c>
      <c r="K372" s="20"/>
    </row>
    <row r="373" customFormat="false" ht="30" hidden="false" customHeight="true" outlineLevel="0" collapsed="false">
      <c r="A373" s="20" t="n">
        <v>370</v>
      </c>
      <c r="B373" s="20" t="s">
        <v>1395</v>
      </c>
      <c r="C373" s="20" t="s">
        <v>1404</v>
      </c>
      <c r="D373" s="20" t="s">
        <v>1405</v>
      </c>
      <c r="E373" s="40" t="n">
        <v>24291</v>
      </c>
      <c r="F373" s="31" t="s">
        <v>148</v>
      </c>
      <c r="G373" s="20" t="str">
        <f aca="false">IFERROR(INDEX('Расчет Кплотн'!$C:$C,MATCH(F373,'Расчет Кплотн'!$A:$A,0)),"код не найден")</f>
        <v>Караганда</v>
      </c>
      <c r="H373" s="20" t="s">
        <v>1401</v>
      </c>
      <c r="I373" s="20" t="s">
        <v>513</v>
      </c>
      <c r="J373" s="41" t="s">
        <v>503</v>
      </c>
      <c r="K373" s="20"/>
    </row>
    <row r="374" customFormat="false" ht="30" hidden="false" customHeight="true" outlineLevel="0" collapsed="false">
      <c r="A374" s="20" t="n">
        <v>371</v>
      </c>
      <c r="B374" s="20" t="s">
        <v>1395</v>
      </c>
      <c r="C374" s="20" t="s">
        <v>1406</v>
      </c>
      <c r="D374" s="20" t="s">
        <v>1407</v>
      </c>
      <c r="E374" s="40" t="n">
        <v>19598</v>
      </c>
      <c r="F374" s="31" t="s">
        <v>149</v>
      </c>
      <c r="G374" s="20" t="str">
        <f aca="false">IFERROR(INDEX('Расчет Кплотн'!$C:$C,MATCH(F374,'Расчет Кплотн'!$A:$A,0)),"код не найден")</f>
        <v>Балхаш</v>
      </c>
      <c r="H374" s="20" t="s">
        <v>1408</v>
      </c>
      <c r="I374" s="20" t="s">
        <v>513</v>
      </c>
      <c r="J374" s="41" t="s">
        <v>503</v>
      </c>
      <c r="K374" s="20"/>
    </row>
    <row r="375" customFormat="false" ht="30" hidden="false" customHeight="true" outlineLevel="0" collapsed="false">
      <c r="A375" s="20" t="n">
        <v>372</v>
      </c>
      <c r="B375" s="20" t="s">
        <v>1395</v>
      </c>
      <c r="C375" s="20" t="s">
        <v>1409</v>
      </c>
      <c r="D375" s="20" t="s">
        <v>1410</v>
      </c>
      <c r="E375" s="40" t="n">
        <v>71103</v>
      </c>
      <c r="F375" s="31" t="s">
        <v>148</v>
      </c>
      <c r="G375" s="20" t="str">
        <f aca="false">IFERROR(INDEX('Расчет Кплотн'!$C:$C,MATCH(F375,'Расчет Кплотн'!$A:$A,0)),"код не найден")</f>
        <v>Караганда</v>
      </c>
      <c r="H375" s="20" t="s">
        <v>1401</v>
      </c>
      <c r="I375" s="20" t="s">
        <v>513</v>
      </c>
      <c r="J375" s="41" t="s">
        <v>503</v>
      </c>
      <c r="K375" s="20"/>
    </row>
    <row r="376" customFormat="false" ht="30" hidden="false" customHeight="true" outlineLevel="0" collapsed="false">
      <c r="A376" s="20" t="n">
        <v>373</v>
      </c>
      <c r="B376" s="20" t="s">
        <v>1395</v>
      </c>
      <c r="C376" s="20" t="s">
        <v>1411</v>
      </c>
      <c r="D376" s="20" t="s">
        <v>1412</v>
      </c>
      <c r="E376" s="40" t="n">
        <v>20175</v>
      </c>
      <c r="F376" s="31" t="s">
        <v>148</v>
      </c>
      <c r="G376" s="20" t="str">
        <f aca="false">IFERROR(INDEX('Расчет Кплотн'!$C:$C,MATCH(F376,'Расчет Кплотн'!$A:$A,0)),"код не найден")</f>
        <v>Караганда</v>
      </c>
      <c r="H376" s="20" t="s">
        <v>1398</v>
      </c>
      <c r="I376" s="20" t="s">
        <v>513</v>
      </c>
      <c r="J376" s="41" t="s">
        <v>503</v>
      </c>
      <c r="K376" s="20"/>
    </row>
    <row r="377" customFormat="false" ht="30" hidden="false" customHeight="true" outlineLevel="0" collapsed="false">
      <c r="A377" s="20" t="n">
        <v>374</v>
      </c>
      <c r="B377" s="20" t="s">
        <v>1395</v>
      </c>
      <c r="C377" s="20" t="s">
        <v>1413</v>
      </c>
      <c r="D377" s="20" t="s">
        <v>1414</v>
      </c>
      <c r="E377" s="40" t="n">
        <v>27997</v>
      </c>
      <c r="F377" s="31" t="s">
        <v>153</v>
      </c>
      <c r="G377" s="20" t="str">
        <f aca="false">IFERROR(INDEX('Расчет Кплотн'!$C:$C,MATCH(F377,'Расчет Кплотн'!$A:$A,0)),"код не найден")</f>
        <v>Шахтинск</v>
      </c>
      <c r="H377" s="20" t="s">
        <v>1415</v>
      </c>
      <c r="I377" s="20" t="s">
        <v>513</v>
      </c>
      <c r="J377" s="41" t="s">
        <v>503</v>
      </c>
      <c r="K377" s="20"/>
    </row>
    <row r="378" customFormat="false" ht="30" hidden="false" customHeight="true" outlineLevel="0" collapsed="false">
      <c r="A378" s="20" t="n">
        <v>375</v>
      </c>
      <c r="B378" s="20" t="s">
        <v>1395</v>
      </c>
      <c r="C378" s="20" t="s">
        <v>1416</v>
      </c>
      <c r="D378" s="20" t="s">
        <v>1417</v>
      </c>
      <c r="E378" s="40" t="n">
        <v>21454</v>
      </c>
      <c r="F378" s="31" t="s">
        <v>148</v>
      </c>
      <c r="G378" s="20" t="str">
        <f aca="false">IFERROR(INDEX('Расчет Кплотн'!$C:$C,MATCH(F378,'Расчет Кплотн'!$A:$A,0)),"код не найден")</f>
        <v>Караганда</v>
      </c>
      <c r="H378" s="20" t="s">
        <v>1401</v>
      </c>
      <c r="I378" s="20" t="s">
        <v>513</v>
      </c>
      <c r="J378" s="41" t="s">
        <v>503</v>
      </c>
      <c r="K378" s="20"/>
    </row>
    <row r="379" customFormat="false" ht="30" hidden="false" customHeight="true" outlineLevel="0" collapsed="false">
      <c r="A379" s="20" t="n">
        <v>376</v>
      </c>
      <c r="B379" s="20" t="s">
        <v>1395</v>
      </c>
      <c r="C379" s="20" t="s">
        <v>1418</v>
      </c>
      <c r="D379" s="20" t="s">
        <v>1419</v>
      </c>
      <c r="E379" s="40" t="n">
        <v>10634</v>
      </c>
      <c r="F379" s="31" t="s">
        <v>152</v>
      </c>
      <c r="G379" s="20" t="str">
        <f aca="false">IFERROR(INDEX('Расчет Кплотн'!$C:$C,MATCH(F379,'Расчет Кплотн'!$A:$A,0)),"код не найден")</f>
        <v>Темиртау</v>
      </c>
      <c r="H379" s="20" t="s">
        <v>1420</v>
      </c>
      <c r="I379" s="20" t="s">
        <v>513</v>
      </c>
      <c r="J379" s="41" t="s">
        <v>503</v>
      </c>
      <c r="K379" s="20"/>
    </row>
    <row r="380" customFormat="false" ht="30" hidden="false" customHeight="true" outlineLevel="0" collapsed="false">
      <c r="A380" s="20" t="n">
        <v>377</v>
      </c>
      <c r="B380" s="20" t="s">
        <v>1395</v>
      </c>
      <c r="C380" s="20" t="s">
        <v>1421</v>
      </c>
      <c r="D380" s="20"/>
      <c r="E380" s="40" t="n">
        <v>7679</v>
      </c>
      <c r="F380" s="31" t="s">
        <v>149</v>
      </c>
      <c r="G380" s="20" t="str">
        <f aca="false">IFERROR(INDEX('Расчет Кплотн'!$C:$C,MATCH(F380,'Расчет Кплотн'!$A:$A,0)),"код не найден")</f>
        <v>Балхаш</v>
      </c>
      <c r="H380" s="20" t="s">
        <v>1422</v>
      </c>
      <c r="I380" s="20" t="s">
        <v>513</v>
      </c>
      <c r="J380" s="41" t="s">
        <v>503</v>
      </c>
      <c r="K380" s="20"/>
    </row>
    <row r="381" customFormat="false" ht="30" hidden="false" customHeight="true" outlineLevel="0" collapsed="false">
      <c r="A381" s="20" t="n">
        <v>378</v>
      </c>
      <c r="B381" s="20" t="s">
        <v>1395</v>
      </c>
      <c r="C381" s="20" t="s">
        <v>1423</v>
      </c>
      <c r="D381" s="20" t="s">
        <v>1424</v>
      </c>
      <c r="E381" s="40" t="n">
        <v>59135</v>
      </c>
      <c r="F381" s="31" t="s">
        <v>148</v>
      </c>
      <c r="G381" s="20" t="str">
        <f aca="false">IFERROR(INDEX('Расчет Кплотн'!$C:$C,MATCH(F381,'Расчет Кплотн'!$A:$A,0)),"код не найден")</f>
        <v>Караганда</v>
      </c>
      <c r="H381" s="20" t="s">
        <v>1398</v>
      </c>
      <c r="I381" s="20" t="s">
        <v>513</v>
      </c>
      <c r="J381" s="41" t="s">
        <v>503</v>
      </c>
      <c r="K381" s="20"/>
    </row>
    <row r="382" customFormat="false" ht="30" hidden="false" customHeight="true" outlineLevel="0" collapsed="false">
      <c r="A382" s="20" t="n">
        <v>379</v>
      </c>
      <c r="B382" s="20" t="s">
        <v>1395</v>
      </c>
      <c r="C382" s="20" t="s">
        <v>1425</v>
      </c>
      <c r="D382" s="20" t="s">
        <v>1426</v>
      </c>
      <c r="E382" s="40" t="n">
        <v>49025</v>
      </c>
      <c r="F382" s="31" t="s">
        <v>148</v>
      </c>
      <c r="G382" s="20" t="str">
        <f aca="false">IFERROR(INDEX('Расчет Кплотн'!$C:$C,MATCH(F382,'Расчет Кплотн'!$A:$A,0)),"код не найден")</f>
        <v>Караганда</v>
      </c>
      <c r="H382" s="20" t="s">
        <v>1401</v>
      </c>
      <c r="I382" s="20" t="s">
        <v>513</v>
      </c>
      <c r="J382" s="41" t="s">
        <v>503</v>
      </c>
      <c r="K382" s="20"/>
    </row>
    <row r="383" customFormat="false" ht="30" hidden="false" customHeight="true" outlineLevel="0" collapsed="false">
      <c r="A383" s="20" t="n">
        <v>380</v>
      </c>
      <c r="B383" s="20" t="s">
        <v>1395</v>
      </c>
      <c r="C383" s="20" t="s">
        <v>1427</v>
      </c>
      <c r="D383" s="20" t="s">
        <v>1428</v>
      </c>
      <c r="E383" s="40" t="n">
        <v>5358</v>
      </c>
      <c r="F383" s="31" t="s">
        <v>148</v>
      </c>
      <c r="G383" s="20" t="str">
        <f aca="false">IFERROR(INDEX('Расчет Кплотн'!$C:$C,MATCH(F383,'Расчет Кплотн'!$A:$A,0)),"код не найден")</f>
        <v>Караганда</v>
      </c>
      <c r="H383" s="20" t="s">
        <v>1401</v>
      </c>
      <c r="I383" s="20" t="s">
        <v>513</v>
      </c>
      <c r="J383" s="41" t="s">
        <v>503</v>
      </c>
      <c r="K383" s="20"/>
    </row>
    <row r="384" customFormat="false" ht="30" hidden="false" customHeight="true" outlineLevel="0" collapsed="false">
      <c r="A384" s="20" t="n">
        <v>381</v>
      </c>
      <c r="B384" s="20" t="s">
        <v>1395</v>
      </c>
      <c r="C384" s="20" t="s">
        <v>1429</v>
      </c>
      <c r="D384" s="20" t="s">
        <v>1430</v>
      </c>
      <c r="E384" s="40" t="n">
        <v>13506</v>
      </c>
      <c r="F384" s="31" t="s">
        <v>148</v>
      </c>
      <c r="G384" s="20" t="str">
        <f aca="false">IFERROR(INDEX('Расчет Кплотн'!$C:$C,MATCH(F384,'Расчет Кплотн'!$A:$A,0)),"код не найден")</f>
        <v>Караганда</v>
      </c>
      <c r="H384" s="20" t="s">
        <v>1401</v>
      </c>
      <c r="I384" s="20" t="s">
        <v>513</v>
      </c>
      <c r="J384" s="41" t="s">
        <v>503</v>
      </c>
      <c r="K384" s="20"/>
    </row>
    <row r="385" customFormat="false" ht="30" hidden="false" customHeight="true" outlineLevel="0" collapsed="false">
      <c r="A385" s="20" t="n">
        <v>382</v>
      </c>
      <c r="B385" s="20" t="s">
        <v>1395</v>
      </c>
      <c r="C385" s="20" t="s">
        <v>1431</v>
      </c>
      <c r="D385" s="20" t="s">
        <v>1432</v>
      </c>
      <c r="E385" s="40" t="n">
        <v>19819</v>
      </c>
      <c r="F385" s="31" t="s">
        <v>152</v>
      </c>
      <c r="G385" s="20" t="str">
        <f aca="false">IFERROR(INDEX('Расчет Кплотн'!$C:$C,MATCH(F385,'Расчет Кплотн'!$A:$A,0)),"код не найден")</f>
        <v>Темиртау</v>
      </c>
      <c r="H385" s="20" t="s">
        <v>1420</v>
      </c>
      <c r="I385" s="20" t="s">
        <v>513</v>
      </c>
      <c r="J385" s="41" t="s">
        <v>503</v>
      </c>
      <c r="K385" s="20"/>
    </row>
    <row r="386" customFormat="false" ht="30" hidden="false" customHeight="true" outlineLevel="0" collapsed="false">
      <c r="A386" s="20" t="n">
        <v>383</v>
      </c>
      <c r="B386" s="20" t="s">
        <v>1395</v>
      </c>
      <c r="C386" s="20" t="s">
        <v>1433</v>
      </c>
      <c r="D386" s="20" t="s">
        <v>1434</v>
      </c>
      <c r="E386" s="40" t="n">
        <v>14682</v>
      </c>
      <c r="F386" s="31" t="s">
        <v>148</v>
      </c>
      <c r="G386" s="20" t="str">
        <f aca="false">IFERROR(INDEX('Расчет Кплотн'!$C:$C,MATCH(F386,'Расчет Кплотн'!$A:$A,0)),"код не найден")</f>
        <v>Караганда</v>
      </c>
      <c r="H386" s="20" t="s">
        <v>1401</v>
      </c>
      <c r="I386" s="20" t="s">
        <v>513</v>
      </c>
      <c r="J386" s="41" t="s">
        <v>503</v>
      </c>
      <c r="K386" s="20"/>
    </row>
    <row r="387" customFormat="false" ht="30" hidden="false" customHeight="true" outlineLevel="0" collapsed="false">
      <c r="A387" s="20" t="n">
        <v>384</v>
      </c>
      <c r="B387" s="20" t="s">
        <v>1395</v>
      </c>
      <c r="C387" s="20" t="s">
        <v>1435</v>
      </c>
      <c r="D387" s="20" t="s">
        <v>1436</v>
      </c>
      <c r="E387" s="40" t="n">
        <v>9382</v>
      </c>
      <c r="F387" s="31" t="s">
        <v>155</v>
      </c>
      <c r="G387" s="20" t="str">
        <f aca="false">IFERROR(INDEX('Расчет Кплотн'!$C:$C,MATCH(F387,'Расчет Кплотн'!$A:$A,0)),"код не найден")</f>
        <v>Актогайский район</v>
      </c>
      <c r="H387" s="20" t="s">
        <v>1437</v>
      </c>
      <c r="I387" s="20" t="s">
        <v>502</v>
      </c>
      <c r="J387" s="41" t="s">
        <v>503</v>
      </c>
      <c r="K387" s="20"/>
    </row>
    <row r="388" customFormat="false" ht="30" hidden="false" customHeight="true" outlineLevel="0" collapsed="false">
      <c r="A388" s="20" t="n">
        <v>385</v>
      </c>
      <c r="B388" s="20" t="s">
        <v>1395</v>
      </c>
      <c r="C388" s="20" t="s">
        <v>1438</v>
      </c>
      <c r="D388" s="20" t="s">
        <v>1439</v>
      </c>
      <c r="E388" s="40" t="n">
        <v>28367</v>
      </c>
      <c r="F388" s="31" t="s">
        <v>159</v>
      </c>
      <c r="G388" s="20" t="str">
        <f aca="false">IFERROR(INDEX('Расчет Кплотн'!$C:$C,MATCH(F388,'Расчет Кплотн'!$A:$A,0)),"код не найден")</f>
        <v>Осакаровский район</v>
      </c>
      <c r="H388" s="20" t="s">
        <v>1440</v>
      </c>
      <c r="I388" s="20" t="s">
        <v>502</v>
      </c>
      <c r="J388" s="41" t="s">
        <v>503</v>
      </c>
      <c r="K388" s="20"/>
    </row>
    <row r="389" customFormat="false" ht="30" hidden="false" customHeight="true" outlineLevel="0" collapsed="false">
      <c r="A389" s="20" t="n">
        <v>386</v>
      </c>
      <c r="B389" s="20" t="s">
        <v>1395</v>
      </c>
      <c r="C389" s="20" t="s">
        <v>1441</v>
      </c>
      <c r="D389" s="20" t="s">
        <v>1442</v>
      </c>
      <c r="E389" s="40" t="n">
        <v>46735</v>
      </c>
      <c r="F389" s="31" t="s">
        <v>151</v>
      </c>
      <c r="G389" s="20" t="str">
        <f aca="false">IFERROR(INDEX('Расчет Кплотн'!$C:$C,MATCH(F389,'Расчет Кплотн'!$A:$A,0)),"код не найден")</f>
        <v>Сарань</v>
      </c>
      <c r="H389" s="20" t="s">
        <v>1443</v>
      </c>
      <c r="I389" s="20" t="s">
        <v>513</v>
      </c>
      <c r="J389" s="41" t="s">
        <v>503</v>
      </c>
      <c r="K389" s="20"/>
    </row>
    <row r="390" customFormat="false" ht="30" hidden="false" customHeight="true" outlineLevel="0" collapsed="false">
      <c r="A390" s="20" t="n">
        <v>387</v>
      </c>
      <c r="B390" s="20" t="s">
        <v>1395</v>
      </c>
      <c r="C390" s="20" t="s">
        <v>1444</v>
      </c>
      <c r="D390" s="20" t="s">
        <v>1445</v>
      </c>
      <c r="E390" s="40" t="n">
        <v>31193</v>
      </c>
      <c r="F390" s="31" t="s">
        <v>160</v>
      </c>
      <c r="G390" s="20" t="str">
        <f aca="false">IFERROR(INDEX('Расчет Кплотн'!$C:$C,MATCH(F390,'Расчет Кплотн'!$A:$A,0)),"код не найден")</f>
        <v>Шетский район</v>
      </c>
      <c r="H390" s="20" t="s">
        <v>1446</v>
      </c>
      <c r="I390" s="20" t="s">
        <v>502</v>
      </c>
      <c r="J390" s="41" t="s">
        <v>503</v>
      </c>
      <c r="K390" s="20"/>
    </row>
    <row r="391" customFormat="false" ht="30" hidden="false" customHeight="true" outlineLevel="0" collapsed="false">
      <c r="A391" s="20" t="n">
        <v>388</v>
      </c>
      <c r="B391" s="20" t="s">
        <v>1395</v>
      </c>
      <c r="C391" s="20" t="s">
        <v>1447</v>
      </c>
      <c r="D391" s="20" t="s">
        <v>1448</v>
      </c>
      <c r="E391" s="40" t="n">
        <v>50289</v>
      </c>
      <c r="F391" s="31" t="s">
        <v>148</v>
      </c>
      <c r="G391" s="20" t="str">
        <f aca="false">IFERROR(INDEX('Расчет Кплотн'!$C:$C,MATCH(F391,'Расчет Кплотн'!$A:$A,0)),"код не найден")</f>
        <v>Караганда</v>
      </c>
      <c r="H391" s="20" t="s">
        <v>1398</v>
      </c>
      <c r="I391" s="20" t="s">
        <v>513</v>
      </c>
      <c r="J391" s="41" t="s">
        <v>503</v>
      </c>
      <c r="K391" s="20"/>
    </row>
    <row r="392" customFormat="false" ht="30" hidden="false" customHeight="true" outlineLevel="0" collapsed="false">
      <c r="A392" s="20" t="n">
        <v>389</v>
      </c>
      <c r="B392" s="20" t="s">
        <v>1395</v>
      </c>
      <c r="C392" s="20" t="s">
        <v>1449</v>
      </c>
      <c r="D392" s="20" t="s">
        <v>1450</v>
      </c>
      <c r="E392" s="40" t="n">
        <v>37044</v>
      </c>
      <c r="F392" s="31" t="s">
        <v>152</v>
      </c>
      <c r="G392" s="20" t="str">
        <f aca="false">IFERROR(INDEX('Расчет Кплотн'!$C:$C,MATCH(F392,'Расчет Кплотн'!$A:$A,0)),"код не найден")</f>
        <v>Темиртау</v>
      </c>
      <c r="H392" s="20" t="s">
        <v>1420</v>
      </c>
      <c r="I392" s="20" t="s">
        <v>513</v>
      </c>
      <c r="J392" s="41" t="s">
        <v>503</v>
      </c>
      <c r="K392" s="20"/>
    </row>
    <row r="393" customFormat="false" ht="30" hidden="false" customHeight="true" outlineLevel="0" collapsed="false">
      <c r="A393" s="20" t="n">
        <v>390</v>
      </c>
      <c r="B393" s="20" t="s">
        <v>1395</v>
      </c>
      <c r="C393" s="20" t="s">
        <v>1451</v>
      </c>
      <c r="D393" s="20" t="s">
        <v>1452</v>
      </c>
      <c r="E393" s="40" t="n">
        <v>34715</v>
      </c>
      <c r="F393" s="31" t="s">
        <v>148</v>
      </c>
      <c r="G393" s="20" t="str">
        <f aca="false">IFERROR(INDEX('Расчет Кплотн'!$C:$C,MATCH(F393,'Расчет Кплотн'!$A:$A,0)),"код не найден")</f>
        <v>Караганда</v>
      </c>
      <c r="H393" s="20" t="s">
        <v>1401</v>
      </c>
      <c r="I393" s="20" t="s">
        <v>513</v>
      </c>
      <c r="J393" s="41" t="s">
        <v>503</v>
      </c>
      <c r="K393" s="20"/>
    </row>
    <row r="394" customFormat="false" ht="30" hidden="false" customHeight="true" outlineLevel="0" collapsed="false">
      <c r="A394" s="20" t="n">
        <v>391</v>
      </c>
      <c r="B394" s="20" t="s">
        <v>1395</v>
      </c>
      <c r="C394" s="20" t="s">
        <v>1453</v>
      </c>
      <c r="D394" s="20" t="s">
        <v>1454</v>
      </c>
      <c r="E394" s="40" t="n">
        <v>31198</v>
      </c>
      <c r="F394" s="31" t="s">
        <v>148</v>
      </c>
      <c r="G394" s="20" t="str">
        <f aca="false">IFERROR(INDEX('Расчет Кплотн'!$C:$C,MATCH(F394,'Расчет Кплотн'!$A:$A,0)),"код не найден")</f>
        <v>Караганда</v>
      </c>
      <c r="H394" s="20" t="s">
        <v>1398</v>
      </c>
      <c r="I394" s="20" t="s">
        <v>513</v>
      </c>
      <c r="J394" s="41" t="s">
        <v>503</v>
      </c>
      <c r="K394" s="20"/>
    </row>
    <row r="395" customFormat="false" ht="30" hidden="false" customHeight="true" outlineLevel="0" collapsed="false">
      <c r="A395" s="20" t="n">
        <v>392</v>
      </c>
      <c r="B395" s="20" t="s">
        <v>1395</v>
      </c>
      <c r="C395" s="20" t="s">
        <v>1455</v>
      </c>
      <c r="D395" s="20" t="s">
        <v>1456</v>
      </c>
      <c r="E395" s="40" t="n">
        <v>62217</v>
      </c>
      <c r="F395" s="31" t="s">
        <v>148</v>
      </c>
      <c r="G395" s="20" t="str">
        <f aca="false">IFERROR(INDEX('Расчет Кплотн'!$C:$C,MATCH(F395,'Расчет Кплотн'!$A:$A,0)),"код не найден")</f>
        <v>Караганда</v>
      </c>
      <c r="H395" s="20" t="s">
        <v>1401</v>
      </c>
      <c r="I395" s="20" t="s">
        <v>513</v>
      </c>
      <c r="J395" s="41" t="s">
        <v>503</v>
      </c>
      <c r="K395" s="20"/>
    </row>
    <row r="396" customFormat="false" ht="30" hidden="false" customHeight="true" outlineLevel="0" collapsed="false">
      <c r="A396" s="20" t="n">
        <v>393</v>
      </c>
      <c r="B396" s="20" t="s">
        <v>1395</v>
      </c>
      <c r="C396" s="20" t="s">
        <v>1457</v>
      </c>
      <c r="D396" s="20" t="s">
        <v>1458</v>
      </c>
      <c r="E396" s="40" t="n">
        <v>33927</v>
      </c>
      <c r="F396" s="31" t="s">
        <v>148</v>
      </c>
      <c r="G396" s="20" t="str">
        <f aca="false">IFERROR(INDEX('Расчет Кплотн'!$C:$C,MATCH(F396,'Расчет Кплотн'!$A:$A,0)),"код не найден")</f>
        <v>Караганда</v>
      </c>
      <c r="H396" s="20" t="s">
        <v>1401</v>
      </c>
      <c r="I396" s="20" t="s">
        <v>513</v>
      </c>
      <c r="J396" s="41" t="s">
        <v>503</v>
      </c>
      <c r="K396" s="20"/>
    </row>
    <row r="397" customFormat="false" ht="30" hidden="false" customHeight="true" outlineLevel="0" collapsed="false">
      <c r="A397" s="20" t="n">
        <v>394</v>
      </c>
      <c r="B397" s="20" t="s">
        <v>1395</v>
      </c>
      <c r="C397" s="20" t="s">
        <v>1459</v>
      </c>
      <c r="D397" s="20" t="s">
        <v>1460</v>
      </c>
      <c r="E397" s="40" t="n">
        <v>45367</v>
      </c>
      <c r="F397" s="31" t="s">
        <v>152</v>
      </c>
      <c r="G397" s="20" t="str">
        <f aca="false">IFERROR(INDEX('Расчет Кплотн'!$C:$C,MATCH(F397,'Расчет Кплотн'!$A:$A,0)),"код не найден")</f>
        <v>Темиртау</v>
      </c>
      <c r="H397" s="20" t="s">
        <v>1420</v>
      </c>
      <c r="I397" s="20" t="s">
        <v>513</v>
      </c>
      <c r="J397" s="41" t="s">
        <v>503</v>
      </c>
      <c r="K397" s="20"/>
    </row>
    <row r="398" customFormat="false" ht="30" hidden="false" customHeight="true" outlineLevel="0" collapsed="false">
      <c r="A398" s="20" t="n">
        <v>395</v>
      </c>
      <c r="B398" s="20" t="s">
        <v>1395</v>
      </c>
      <c r="C398" s="20" t="s">
        <v>1461</v>
      </c>
      <c r="D398" s="20" t="s">
        <v>1462</v>
      </c>
      <c r="E398" s="40" t="n">
        <v>29537</v>
      </c>
      <c r="F398" s="31" t="s">
        <v>152</v>
      </c>
      <c r="G398" s="20" t="str">
        <f aca="false">IFERROR(INDEX('Расчет Кплотн'!$C:$C,MATCH(F398,'Расчет Кплотн'!$A:$A,0)),"код не найден")</f>
        <v>Темиртау</v>
      </c>
      <c r="H398" s="20" t="s">
        <v>1420</v>
      </c>
      <c r="I398" s="20" t="s">
        <v>513</v>
      </c>
      <c r="J398" s="41" t="s">
        <v>503</v>
      </c>
      <c r="K398" s="20"/>
    </row>
    <row r="399" customFormat="false" ht="30" hidden="false" customHeight="true" outlineLevel="0" collapsed="false">
      <c r="A399" s="20" t="n">
        <v>396</v>
      </c>
      <c r="B399" s="20" t="s">
        <v>1395</v>
      </c>
      <c r="C399" s="20" t="s">
        <v>1463</v>
      </c>
      <c r="D399" s="20" t="s">
        <v>1464</v>
      </c>
      <c r="E399" s="40" t="n">
        <v>44521</v>
      </c>
      <c r="F399" s="31" t="s">
        <v>148</v>
      </c>
      <c r="G399" s="20" t="str">
        <f aca="false">IFERROR(INDEX('Расчет Кплотн'!$C:$C,MATCH(F399,'Расчет Кплотн'!$A:$A,0)),"код не найден")</f>
        <v>Караганда</v>
      </c>
      <c r="H399" s="20" t="s">
        <v>1398</v>
      </c>
      <c r="I399" s="20" t="s">
        <v>513</v>
      </c>
      <c r="J399" s="41" t="s">
        <v>503</v>
      </c>
      <c r="K399" s="20"/>
    </row>
    <row r="400" customFormat="false" ht="30" hidden="false" customHeight="true" outlineLevel="0" collapsed="false">
      <c r="A400" s="20" t="n">
        <v>397</v>
      </c>
      <c r="B400" s="20" t="s">
        <v>1395</v>
      </c>
      <c r="C400" s="20" t="s">
        <v>1465</v>
      </c>
      <c r="D400" s="20" t="s">
        <v>1466</v>
      </c>
      <c r="E400" s="40" t="n">
        <v>52211</v>
      </c>
      <c r="F400" s="31" t="s">
        <v>153</v>
      </c>
      <c r="G400" s="20" t="str">
        <f aca="false">IFERROR(INDEX('Расчет Кплотн'!$C:$C,MATCH(F400,'Расчет Кплотн'!$A:$A,0)),"код не найден")</f>
        <v>Шахтинск</v>
      </c>
      <c r="H400" s="20" t="s">
        <v>1415</v>
      </c>
      <c r="I400" s="20" t="s">
        <v>513</v>
      </c>
      <c r="J400" s="41" t="s">
        <v>503</v>
      </c>
      <c r="K400" s="20"/>
    </row>
    <row r="401" customFormat="false" ht="30" hidden="false" customHeight="true" outlineLevel="0" collapsed="false">
      <c r="A401" s="20" t="n">
        <v>398</v>
      </c>
      <c r="B401" s="20" t="s">
        <v>1395</v>
      </c>
      <c r="C401" s="20" t="s">
        <v>1467</v>
      </c>
      <c r="D401" s="20" t="s">
        <v>1468</v>
      </c>
      <c r="E401" s="40" t="n">
        <v>48623</v>
      </c>
      <c r="F401" s="31" t="s">
        <v>149</v>
      </c>
      <c r="G401" s="20" t="str">
        <f aca="false">IFERROR(INDEX('Расчет Кплотн'!$C:$C,MATCH(F401,'Расчет Кплотн'!$A:$A,0)),"код не найден")</f>
        <v>Балхаш</v>
      </c>
      <c r="H401" s="20" t="s">
        <v>1408</v>
      </c>
      <c r="I401" s="20" t="s">
        <v>513</v>
      </c>
      <c r="J401" s="41" t="s">
        <v>503</v>
      </c>
      <c r="K401" s="20"/>
    </row>
    <row r="402" customFormat="false" ht="30" hidden="false" customHeight="true" outlineLevel="0" collapsed="false">
      <c r="A402" s="20" t="n">
        <v>399</v>
      </c>
      <c r="B402" s="20" t="s">
        <v>1395</v>
      </c>
      <c r="C402" s="20" t="s">
        <v>1469</v>
      </c>
      <c r="D402" s="20" t="s">
        <v>1470</v>
      </c>
      <c r="E402" s="40" t="n">
        <v>21433</v>
      </c>
      <c r="F402" s="31" t="s">
        <v>154</v>
      </c>
      <c r="G402" s="20" t="str">
        <f aca="false">IFERROR(INDEX('Расчет Кплотн'!$C:$C,MATCH(F402,'Расчет Кплотн'!$A:$A,0)),"код не найден")</f>
        <v>Абайский район</v>
      </c>
      <c r="H402" s="20" t="s">
        <v>1471</v>
      </c>
      <c r="I402" s="20" t="s">
        <v>502</v>
      </c>
      <c r="J402" s="41" t="s">
        <v>503</v>
      </c>
      <c r="K402" s="20"/>
    </row>
    <row r="403" customFormat="false" ht="30" hidden="false" customHeight="true" outlineLevel="0" collapsed="false">
      <c r="A403" s="20" t="n">
        <v>400</v>
      </c>
      <c r="B403" s="20" t="s">
        <v>1395</v>
      </c>
      <c r="C403" s="20" t="s">
        <v>1472</v>
      </c>
      <c r="D403" s="20" t="s">
        <v>1473</v>
      </c>
      <c r="E403" s="40" t="n">
        <v>24583</v>
      </c>
      <c r="F403" s="31" t="s">
        <v>157</v>
      </c>
      <c r="G403" s="20" t="str">
        <f aca="false">IFERROR(INDEX('Расчет Кплотн'!$C:$C,MATCH(F403,'Расчет Кплотн'!$A:$A,0)),"код не найден")</f>
        <v>Каркаралинский район</v>
      </c>
      <c r="H403" s="20" t="s">
        <v>1474</v>
      </c>
      <c r="I403" s="20" t="s">
        <v>502</v>
      </c>
      <c r="J403" s="41" t="s">
        <v>503</v>
      </c>
      <c r="K403" s="20"/>
    </row>
    <row r="404" customFormat="false" ht="30" hidden="false" customHeight="true" outlineLevel="0" collapsed="false">
      <c r="A404" s="20" t="n">
        <v>401</v>
      </c>
      <c r="B404" s="20" t="s">
        <v>1395</v>
      </c>
      <c r="C404" s="20" t="s">
        <v>1475</v>
      </c>
      <c r="D404" s="20" t="s">
        <v>1476</v>
      </c>
      <c r="E404" s="40" t="n">
        <v>18022</v>
      </c>
      <c r="F404" s="31" t="s">
        <v>158</v>
      </c>
      <c r="G404" s="20" t="str">
        <f aca="false">IFERROR(INDEX('Расчет Кплотн'!$C:$C,MATCH(F404,'Расчет Кплотн'!$A:$A,0)),"код не найден")</f>
        <v>Нуринский район</v>
      </c>
      <c r="H404" s="20" t="s">
        <v>1477</v>
      </c>
      <c r="I404" s="20" t="s">
        <v>502</v>
      </c>
      <c r="J404" s="41" t="s">
        <v>503</v>
      </c>
      <c r="K404" s="20"/>
    </row>
    <row r="405" customFormat="false" ht="30" hidden="false" customHeight="true" outlineLevel="0" collapsed="false">
      <c r="A405" s="20" t="n">
        <v>402</v>
      </c>
      <c r="B405" s="20" t="s">
        <v>1395</v>
      </c>
      <c r="C405" s="20" t="s">
        <v>1478</v>
      </c>
      <c r="D405" s="20" t="s">
        <v>1479</v>
      </c>
      <c r="E405" s="40" t="n">
        <v>14179</v>
      </c>
      <c r="F405" s="31" t="s">
        <v>150</v>
      </c>
      <c r="G405" s="20" t="str">
        <f aca="false">IFERROR(INDEX('Расчет Кплотн'!$C:$C,MATCH(F405,'Расчет Кплотн'!$A:$A,0)),"код не найден")</f>
        <v>Приозерск</v>
      </c>
      <c r="H405" s="20" t="s">
        <v>1480</v>
      </c>
      <c r="I405" s="20" t="s">
        <v>513</v>
      </c>
      <c r="J405" s="41" t="s">
        <v>503</v>
      </c>
      <c r="K405" s="20"/>
    </row>
    <row r="406" customFormat="false" ht="30" hidden="false" customHeight="true" outlineLevel="0" collapsed="false">
      <c r="A406" s="20" t="n">
        <v>403</v>
      </c>
      <c r="B406" s="20" t="s">
        <v>1395</v>
      </c>
      <c r="C406" s="20" t="s">
        <v>1481</v>
      </c>
      <c r="D406" s="20" t="s">
        <v>1482</v>
      </c>
      <c r="E406" s="40" t="n">
        <v>37066</v>
      </c>
      <c r="F406" s="31" t="s">
        <v>154</v>
      </c>
      <c r="G406" s="20" t="str">
        <f aca="false">IFERROR(INDEX('Расчет Кплотн'!$C:$C,MATCH(F406,'Расчет Кплотн'!$A:$A,0)),"код не найден")</f>
        <v>Абайский район</v>
      </c>
      <c r="H406" s="20" t="s">
        <v>1483</v>
      </c>
      <c r="I406" s="20" t="s">
        <v>502</v>
      </c>
      <c r="J406" s="41" t="s">
        <v>503</v>
      </c>
      <c r="K406" s="20"/>
    </row>
    <row r="407" customFormat="false" ht="30" hidden="false" customHeight="true" outlineLevel="0" collapsed="false">
      <c r="A407" s="20" t="n">
        <v>404</v>
      </c>
      <c r="B407" s="20" t="s">
        <v>1395</v>
      </c>
      <c r="C407" s="20" t="s">
        <v>1484</v>
      </c>
      <c r="D407" s="20" t="s">
        <v>1485</v>
      </c>
      <c r="E407" s="40" t="n">
        <v>42849</v>
      </c>
      <c r="F407" s="31" t="s">
        <v>156</v>
      </c>
      <c r="G407" s="20" t="str">
        <f aca="false">IFERROR(INDEX('Расчет Кплотн'!$C:$C,MATCH(F407,'Расчет Кплотн'!$A:$A,0)),"код не найден")</f>
        <v>Бухар-Жырауский район</v>
      </c>
      <c r="H407" s="20" t="s">
        <v>1486</v>
      </c>
      <c r="I407" s="20" t="s">
        <v>502</v>
      </c>
      <c r="J407" s="41" t="s">
        <v>503</v>
      </c>
      <c r="K407" s="20"/>
    </row>
    <row r="408" customFormat="false" ht="30" hidden="false" customHeight="true" outlineLevel="0" collapsed="false">
      <c r="A408" s="20" t="n">
        <v>405</v>
      </c>
      <c r="B408" s="20" t="s">
        <v>1487</v>
      </c>
      <c r="C408" s="20" t="s">
        <v>1488</v>
      </c>
      <c r="D408" s="20" t="s">
        <v>1489</v>
      </c>
      <c r="E408" s="40" t="n">
        <v>12176</v>
      </c>
      <c r="F408" s="31" t="s">
        <v>179</v>
      </c>
      <c r="G408" s="20" t="str">
        <f aca="false">IFERROR(INDEX('Расчет Кплотн'!$C:$C,MATCH(F408,'Расчет Кплотн'!$A:$A,0)),"код не найден")</f>
        <v>Узункольский район</v>
      </c>
      <c r="H408" s="20" t="s">
        <v>1490</v>
      </c>
      <c r="I408" s="20" t="s">
        <v>502</v>
      </c>
      <c r="J408" s="41" t="s">
        <v>503</v>
      </c>
      <c r="K408" s="20"/>
    </row>
    <row r="409" customFormat="false" ht="30" hidden="false" customHeight="true" outlineLevel="0" collapsed="false">
      <c r="A409" s="20" t="n">
        <v>406</v>
      </c>
      <c r="B409" s="20" t="s">
        <v>1487</v>
      </c>
      <c r="C409" s="20" t="s">
        <v>1491</v>
      </c>
      <c r="D409" s="20" t="s">
        <v>1492</v>
      </c>
      <c r="E409" s="40" t="n">
        <v>19021</v>
      </c>
      <c r="F409" s="31" t="s">
        <v>180</v>
      </c>
      <c r="G409" s="20" t="str">
        <f aca="false">IFERROR(INDEX('Расчет Кплотн'!$C:$C,MATCH(F409,'Расчет Кплотн'!$A:$A,0)),"код не найден")</f>
        <v>Федоровский район</v>
      </c>
      <c r="H409" s="20" t="s">
        <v>1493</v>
      </c>
      <c r="I409" s="20" t="s">
        <v>502</v>
      </c>
      <c r="J409" s="41" t="s">
        <v>503</v>
      </c>
      <c r="K409" s="20"/>
    </row>
    <row r="410" customFormat="false" ht="30" hidden="false" customHeight="true" outlineLevel="0" collapsed="false">
      <c r="A410" s="20" t="n">
        <v>407</v>
      </c>
      <c r="B410" s="20" t="s">
        <v>1487</v>
      </c>
      <c r="C410" s="20" t="s">
        <v>1494</v>
      </c>
      <c r="D410" s="20" t="s">
        <v>1495</v>
      </c>
      <c r="E410" s="40" t="n">
        <v>9576</v>
      </c>
      <c r="F410" s="31" t="s">
        <v>166</v>
      </c>
      <c r="G410" s="20" t="str">
        <f aca="false">IFERROR(INDEX('Расчет Кплотн'!$C:$C,MATCH(F410,'Расчет Кплотн'!$A:$A,0)),"код не найден")</f>
        <v>Амангельдинский район</v>
      </c>
      <c r="H410" s="20" t="s">
        <v>1496</v>
      </c>
      <c r="I410" s="20" t="s">
        <v>502</v>
      </c>
      <c r="J410" s="41" t="s">
        <v>503</v>
      </c>
      <c r="K410" s="20"/>
    </row>
    <row r="411" customFormat="false" ht="30" hidden="false" customHeight="true" outlineLevel="0" collapsed="false">
      <c r="A411" s="20" t="n">
        <v>408</v>
      </c>
      <c r="B411" s="20" t="s">
        <v>1487</v>
      </c>
      <c r="C411" s="20" t="s">
        <v>1497</v>
      </c>
      <c r="D411" s="20" t="s">
        <v>1498</v>
      </c>
      <c r="E411" s="40" t="n">
        <v>7707</v>
      </c>
      <c r="F411" s="31" t="s">
        <v>169</v>
      </c>
      <c r="G411" s="20" t="str">
        <f aca="false">IFERROR(INDEX('Расчет Кплотн'!$C:$C,MATCH(F411,'Расчет Кплотн'!$A:$A,0)),"код не найден")</f>
        <v>Жангельдинский район</v>
      </c>
      <c r="H411" s="20" t="s">
        <v>1499</v>
      </c>
      <c r="I411" s="20" t="s">
        <v>502</v>
      </c>
      <c r="J411" s="41" t="s">
        <v>503</v>
      </c>
      <c r="K411" s="20"/>
    </row>
    <row r="412" customFormat="false" ht="30" hidden="false" customHeight="true" outlineLevel="0" collapsed="false">
      <c r="A412" s="20" t="n">
        <v>409</v>
      </c>
      <c r="B412" s="20" t="s">
        <v>1487</v>
      </c>
      <c r="C412" s="20" t="s">
        <v>1500</v>
      </c>
      <c r="D412" s="20" t="s">
        <v>1501</v>
      </c>
      <c r="E412" s="40" t="n">
        <v>22980</v>
      </c>
      <c r="F412" s="31" t="s">
        <v>167</v>
      </c>
      <c r="G412" s="20" t="str">
        <f aca="false">IFERROR(INDEX('Расчет Кплотн'!$C:$C,MATCH(F412,'Расчет Кплотн'!$A:$A,0)),"код не найден")</f>
        <v>Аулиекольский район</v>
      </c>
      <c r="H412" s="20" t="s">
        <v>1502</v>
      </c>
      <c r="I412" s="20" t="s">
        <v>502</v>
      </c>
      <c r="J412" s="41" t="s">
        <v>503</v>
      </c>
      <c r="K412" s="20"/>
    </row>
    <row r="413" customFormat="false" ht="30" hidden="false" customHeight="true" outlineLevel="0" collapsed="false">
      <c r="A413" s="20" t="n">
        <v>410</v>
      </c>
      <c r="B413" s="20" t="s">
        <v>1487</v>
      </c>
      <c r="C413" s="20" t="s">
        <v>1503</v>
      </c>
      <c r="D413" s="20" t="s">
        <v>1504</v>
      </c>
      <c r="E413" s="40" t="n">
        <v>35195</v>
      </c>
      <c r="F413" s="31" t="s">
        <v>170</v>
      </c>
      <c r="G413" s="20" t="str">
        <f aca="false">IFERROR(INDEX('Расчет Кплотн'!$C:$C,MATCH(F413,'Расчет Кплотн'!$A:$A,0)),"код не найден")</f>
        <v>Житикаринский район</v>
      </c>
      <c r="H413" s="20" t="s">
        <v>1505</v>
      </c>
      <c r="I413" s="20" t="s">
        <v>502</v>
      </c>
      <c r="J413" s="41" t="s">
        <v>503</v>
      </c>
      <c r="K413" s="20"/>
    </row>
    <row r="414" customFormat="false" ht="30" hidden="false" customHeight="true" outlineLevel="0" collapsed="false">
      <c r="A414" s="20" t="n">
        <v>411</v>
      </c>
      <c r="B414" s="20" t="s">
        <v>1487</v>
      </c>
      <c r="C414" s="20" t="s">
        <v>1506</v>
      </c>
      <c r="D414" s="20" t="s">
        <v>1507</v>
      </c>
      <c r="E414" s="40" t="n">
        <v>5343</v>
      </c>
      <c r="F414" s="31" t="s">
        <v>162</v>
      </c>
      <c r="G414" s="20" t="str">
        <f aca="false">IFERROR(INDEX('Расчет Кплотн'!$C:$C,MATCH(F414,'Расчет Кплотн'!$A:$A,0)),"код не найден")</f>
        <v>Аркалык</v>
      </c>
      <c r="H414" s="20" t="s">
        <v>1508</v>
      </c>
      <c r="I414" s="20" t="s">
        <v>513</v>
      </c>
      <c r="J414" s="41" t="s">
        <v>503</v>
      </c>
      <c r="K414" s="20"/>
    </row>
    <row r="415" customFormat="false" ht="30" hidden="false" customHeight="true" outlineLevel="0" collapsed="false">
      <c r="A415" s="20" t="n">
        <v>412</v>
      </c>
      <c r="B415" s="20" t="s">
        <v>1487</v>
      </c>
      <c r="C415" s="20" t="s">
        <v>1509</v>
      </c>
      <c r="D415" s="20" t="s">
        <v>1510</v>
      </c>
      <c r="E415" s="40" t="n">
        <v>6200</v>
      </c>
      <c r="F415" s="31" t="s">
        <v>174</v>
      </c>
      <c r="G415" s="20" t="str">
        <f aca="false">IFERROR(INDEX('Расчет Кплотн'!$C:$C,MATCH(F415,'Расчет Кплотн'!$A:$A,0)),"код не найден")</f>
        <v>Костанайский район</v>
      </c>
      <c r="H415" s="20" t="s">
        <v>1511</v>
      </c>
      <c r="I415" s="20" t="s">
        <v>502</v>
      </c>
      <c r="J415" s="41" t="s">
        <v>1512</v>
      </c>
      <c r="K415" s="20"/>
    </row>
    <row r="416" customFormat="false" ht="30" hidden="false" customHeight="true" outlineLevel="0" collapsed="false">
      <c r="A416" s="20" t="n">
        <v>413</v>
      </c>
      <c r="B416" s="20" t="s">
        <v>1487</v>
      </c>
      <c r="C416" s="20" t="s">
        <v>1513</v>
      </c>
      <c r="D416" s="20" t="s">
        <v>1514</v>
      </c>
      <c r="E416" s="40" t="n">
        <v>5870</v>
      </c>
      <c r="F416" s="31" t="s">
        <v>161</v>
      </c>
      <c r="G416" s="20" t="str">
        <f aca="false">IFERROR(INDEX('Расчет Кплотн'!$C:$C,MATCH(F416,'Расчет Кплотн'!$A:$A,0)),"код не найден")</f>
        <v>Костанай</v>
      </c>
      <c r="H416" s="20" t="s">
        <v>1515</v>
      </c>
      <c r="I416" s="20" t="s">
        <v>513</v>
      </c>
      <c r="J416" s="41" t="s">
        <v>503</v>
      </c>
      <c r="K416" s="20"/>
    </row>
    <row r="417" customFormat="false" ht="30" hidden="false" customHeight="true" outlineLevel="0" collapsed="false">
      <c r="A417" s="20" t="n">
        <v>414</v>
      </c>
      <c r="B417" s="20" t="s">
        <v>1487</v>
      </c>
      <c r="C417" s="20" t="s">
        <v>1516</v>
      </c>
      <c r="D417" s="20" t="s">
        <v>1517</v>
      </c>
      <c r="E417" s="40" t="n">
        <v>26629</v>
      </c>
      <c r="F417" s="31" t="s">
        <v>164</v>
      </c>
      <c r="G417" s="20" t="str">
        <f aca="false">IFERROR(INDEX('Расчет Кплотн'!$C:$C,MATCH(F417,'Расчет Кплотн'!$A:$A,0)),"код не найден")</f>
        <v>Рудный</v>
      </c>
      <c r="H417" s="20" t="s">
        <v>1518</v>
      </c>
      <c r="I417" s="20" t="s">
        <v>513</v>
      </c>
      <c r="J417" s="41" t="s">
        <v>503</v>
      </c>
      <c r="K417" s="20"/>
    </row>
    <row r="418" customFormat="false" ht="30" hidden="false" customHeight="true" outlineLevel="0" collapsed="false">
      <c r="A418" s="20" t="n">
        <v>415</v>
      </c>
      <c r="B418" s="20" t="s">
        <v>1487</v>
      </c>
      <c r="C418" s="20" t="s">
        <v>1519</v>
      </c>
      <c r="D418" s="20" t="s">
        <v>1520</v>
      </c>
      <c r="E418" s="40" t="n">
        <v>52639</v>
      </c>
      <c r="F418" s="31" t="s">
        <v>161</v>
      </c>
      <c r="G418" s="20" t="str">
        <f aca="false">IFERROR(INDEX('Расчет Кплотн'!$C:$C,MATCH(F418,'Расчет Кплотн'!$A:$A,0)),"код не найден")</f>
        <v>Костанай</v>
      </c>
      <c r="H418" s="20" t="s">
        <v>1515</v>
      </c>
      <c r="I418" s="20" t="s">
        <v>513</v>
      </c>
      <c r="J418" s="41" t="s">
        <v>503</v>
      </c>
      <c r="K418" s="20"/>
    </row>
    <row r="419" customFormat="false" ht="30" hidden="false" customHeight="true" outlineLevel="0" collapsed="false">
      <c r="A419" s="20" t="n">
        <v>416</v>
      </c>
      <c r="B419" s="20" t="s">
        <v>1487</v>
      </c>
      <c r="C419" s="20" t="s">
        <v>1521</v>
      </c>
      <c r="D419" s="20" t="s">
        <v>1522</v>
      </c>
      <c r="E419" s="40" t="n">
        <v>43338</v>
      </c>
      <c r="F419" s="31" t="s">
        <v>161</v>
      </c>
      <c r="G419" s="20" t="str">
        <f aca="false">IFERROR(INDEX('Расчет Кплотн'!$C:$C,MATCH(F419,'Расчет Кплотн'!$A:$A,0)),"код не найден")</f>
        <v>Костанай</v>
      </c>
      <c r="H419" s="20" t="s">
        <v>1515</v>
      </c>
      <c r="I419" s="20" t="s">
        <v>513</v>
      </c>
      <c r="J419" s="41" t="s">
        <v>503</v>
      </c>
      <c r="K419" s="20"/>
    </row>
    <row r="420" customFormat="false" ht="30" hidden="false" customHeight="true" outlineLevel="0" collapsed="false">
      <c r="A420" s="20" t="n">
        <v>417</v>
      </c>
      <c r="B420" s="20" t="s">
        <v>1487</v>
      </c>
      <c r="C420" s="20" t="s">
        <v>1523</v>
      </c>
      <c r="D420" s="20" t="s">
        <v>1524</v>
      </c>
      <c r="E420" s="40" t="n">
        <v>14386</v>
      </c>
      <c r="F420" s="31" t="s">
        <v>177</v>
      </c>
      <c r="G420" s="20" t="str">
        <f aca="false">IFERROR(INDEX('Расчет Кплотн'!$C:$C,MATCH(F420,'Расчет Кплотн'!$A:$A,0)),"код не найден")</f>
        <v>Сарыкольский район</v>
      </c>
      <c r="H420" s="20" t="s">
        <v>1525</v>
      </c>
      <c r="I420" s="20" t="s">
        <v>502</v>
      </c>
      <c r="J420" s="41" t="s">
        <v>503</v>
      </c>
      <c r="K420" s="20"/>
    </row>
    <row r="421" customFormat="false" ht="30" hidden="false" customHeight="true" outlineLevel="0" collapsed="false">
      <c r="A421" s="20" t="n">
        <v>418</v>
      </c>
      <c r="B421" s="20" t="s">
        <v>1487</v>
      </c>
      <c r="C421" s="20" t="s">
        <v>1526</v>
      </c>
      <c r="D421" s="20" t="s">
        <v>1527</v>
      </c>
      <c r="E421" s="40" t="n">
        <v>16539</v>
      </c>
      <c r="F421" s="31" t="s">
        <v>175</v>
      </c>
      <c r="G421" s="20" t="str">
        <f aca="false">IFERROR(INDEX('Расчет Кплотн'!$C:$C,MATCH(F421,'Расчет Кплотн'!$A:$A,0)),"код не найден")</f>
        <v>Мендыкаринский район</v>
      </c>
      <c r="H421" s="20" t="s">
        <v>1528</v>
      </c>
      <c r="I421" s="20" t="s">
        <v>502</v>
      </c>
      <c r="J421" s="41" t="s">
        <v>503</v>
      </c>
      <c r="K421" s="20"/>
    </row>
    <row r="422" customFormat="false" ht="30" hidden="false" customHeight="true" outlineLevel="0" collapsed="false">
      <c r="A422" s="20" t="n">
        <v>419</v>
      </c>
      <c r="B422" s="20" t="s">
        <v>1487</v>
      </c>
      <c r="C422" s="20" t="s">
        <v>1529</v>
      </c>
      <c r="D422" s="20" t="s">
        <v>1530</v>
      </c>
      <c r="E422" s="40" t="n">
        <v>84154</v>
      </c>
      <c r="F422" s="31" t="s">
        <v>164</v>
      </c>
      <c r="G422" s="20" t="str">
        <f aca="false">IFERROR(INDEX('Расчет Кплотн'!$C:$C,MATCH(F422,'Расчет Кплотн'!$A:$A,0)),"код не найден")</f>
        <v>Рудный</v>
      </c>
      <c r="H422" s="20" t="s">
        <v>1518</v>
      </c>
      <c r="I422" s="20" t="s">
        <v>513</v>
      </c>
      <c r="J422" s="41" t="s">
        <v>503</v>
      </c>
      <c r="K422" s="20"/>
    </row>
    <row r="423" customFormat="false" ht="30" hidden="false" customHeight="true" outlineLevel="0" collapsed="false">
      <c r="A423" s="20" t="n">
        <v>420</v>
      </c>
      <c r="B423" s="20" t="s">
        <v>1487</v>
      </c>
      <c r="C423" s="20" t="s">
        <v>1531</v>
      </c>
      <c r="D423" s="20" t="s">
        <v>1532</v>
      </c>
      <c r="E423" s="40" t="n">
        <v>9639</v>
      </c>
      <c r="F423" s="31" t="s">
        <v>165</v>
      </c>
      <c r="G423" s="20" t="str">
        <f aca="false">IFERROR(INDEX('Расчет Кплотн'!$C:$C,MATCH(F423,'Расчет Кплотн'!$A:$A,0)),"код не найден")</f>
        <v>Алтынсаринский район</v>
      </c>
      <c r="H423" s="20" t="s">
        <v>1533</v>
      </c>
      <c r="I423" s="20" t="s">
        <v>502</v>
      </c>
      <c r="J423" s="41" t="s">
        <v>503</v>
      </c>
      <c r="K423" s="20"/>
    </row>
    <row r="424" customFormat="false" ht="30" hidden="false" customHeight="true" outlineLevel="0" collapsed="false">
      <c r="A424" s="20" t="n">
        <v>421</v>
      </c>
      <c r="B424" s="20" t="s">
        <v>1487</v>
      </c>
      <c r="C424" s="20" t="s">
        <v>1534</v>
      </c>
      <c r="D424" s="20" t="s">
        <v>1535</v>
      </c>
      <c r="E424" s="40" t="n">
        <v>58320</v>
      </c>
      <c r="F424" s="31" t="s">
        <v>161</v>
      </c>
      <c r="G424" s="20" t="str">
        <f aca="false">IFERROR(INDEX('Расчет Кплотн'!$C:$C,MATCH(F424,'Расчет Кплотн'!$A:$A,0)),"код не найден")</f>
        <v>Костанай</v>
      </c>
      <c r="H424" s="20" t="s">
        <v>1515</v>
      </c>
      <c r="I424" s="20" t="s">
        <v>513</v>
      </c>
      <c r="J424" s="41" t="s">
        <v>503</v>
      </c>
      <c r="K424" s="20"/>
    </row>
    <row r="425" customFormat="false" ht="30" hidden="false" customHeight="true" outlineLevel="0" collapsed="false">
      <c r="A425" s="20" t="n">
        <v>422</v>
      </c>
      <c r="B425" s="20" t="s">
        <v>1487</v>
      </c>
      <c r="C425" s="20" t="s">
        <v>1536</v>
      </c>
      <c r="D425" s="20" t="s">
        <v>1537</v>
      </c>
      <c r="E425" s="40" t="n">
        <v>28631</v>
      </c>
      <c r="F425" s="31" t="s">
        <v>162</v>
      </c>
      <c r="G425" s="20" t="str">
        <f aca="false">IFERROR(INDEX('Расчет Кплотн'!$C:$C,MATCH(F425,'Расчет Кплотн'!$A:$A,0)),"код не найден")</f>
        <v>Аркалык</v>
      </c>
      <c r="H425" s="20" t="s">
        <v>1508</v>
      </c>
      <c r="I425" s="20" t="s">
        <v>513</v>
      </c>
      <c r="J425" s="41" t="s">
        <v>503</v>
      </c>
      <c r="K425" s="20"/>
    </row>
    <row r="426" customFormat="false" ht="30" hidden="false" customHeight="true" outlineLevel="0" collapsed="false">
      <c r="A426" s="20" t="n">
        <v>423</v>
      </c>
      <c r="B426" s="20" t="s">
        <v>1487</v>
      </c>
      <c r="C426" s="20" t="s">
        <v>1538</v>
      </c>
      <c r="D426" s="20" t="s">
        <v>1539</v>
      </c>
      <c r="E426" s="40" t="n">
        <v>13668</v>
      </c>
      <c r="F426" s="31" t="s">
        <v>168</v>
      </c>
      <c r="G426" s="20" t="str">
        <f aca="false">IFERROR(INDEX('Расчет Кплотн'!$C:$C,MATCH(F426,'Расчет Кплотн'!$A:$A,0)),"код не найден")</f>
        <v>Денисовский район</v>
      </c>
      <c r="H426" s="20" t="s">
        <v>1540</v>
      </c>
      <c r="I426" s="20" t="s">
        <v>502</v>
      </c>
      <c r="J426" s="41" t="s">
        <v>503</v>
      </c>
      <c r="K426" s="20"/>
    </row>
    <row r="427" customFormat="false" ht="30" hidden="false" customHeight="true" outlineLevel="0" collapsed="false">
      <c r="A427" s="20" t="n">
        <v>424</v>
      </c>
      <c r="B427" s="20" t="s">
        <v>1487</v>
      </c>
      <c r="C427" s="20" t="s">
        <v>1541</v>
      </c>
      <c r="D427" s="20" t="s">
        <v>1542</v>
      </c>
      <c r="E427" s="40" t="n">
        <v>20414</v>
      </c>
      <c r="F427" s="31" t="s">
        <v>172</v>
      </c>
      <c r="G427" s="20" t="str">
        <f aca="false">IFERROR(INDEX('Расчет Кплотн'!$C:$C,MATCH(F427,'Расчет Кплотн'!$A:$A,0)),"код не найден")</f>
        <v>Карабалыкский район</v>
      </c>
      <c r="H427" s="20" t="s">
        <v>1543</v>
      </c>
      <c r="I427" s="20" t="s">
        <v>502</v>
      </c>
      <c r="J427" s="41" t="s">
        <v>503</v>
      </c>
      <c r="K427" s="20"/>
    </row>
    <row r="428" customFormat="false" ht="30" hidden="false" customHeight="true" outlineLevel="0" collapsed="false">
      <c r="A428" s="20" t="n">
        <v>425</v>
      </c>
      <c r="B428" s="20" t="s">
        <v>1487</v>
      </c>
      <c r="C428" s="20" t="s">
        <v>1544</v>
      </c>
      <c r="D428" s="20" t="s">
        <v>1545</v>
      </c>
      <c r="E428" s="40" t="n">
        <v>9454</v>
      </c>
      <c r="F428" s="31" t="s">
        <v>173</v>
      </c>
      <c r="G428" s="20" t="str">
        <f aca="false">IFERROR(INDEX('Расчет Кплотн'!$C:$C,MATCH(F428,'Расчет Кплотн'!$A:$A,0)),"код не найден")</f>
        <v>Карасуский район</v>
      </c>
      <c r="H428" s="20" t="s">
        <v>1546</v>
      </c>
      <c r="I428" s="20" t="s">
        <v>502</v>
      </c>
      <c r="J428" s="41" t="s">
        <v>503</v>
      </c>
      <c r="K428" s="20"/>
    </row>
    <row r="429" customFormat="false" ht="30" hidden="false" customHeight="true" outlineLevel="0" collapsed="false">
      <c r="A429" s="20" t="n">
        <v>426</v>
      </c>
      <c r="B429" s="20" t="s">
        <v>1487</v>
      </c>
      <c r="C429" s="20" t="s">
        <v>1547</v>
      </c>
      <c r="D429" s="20" t="s">
        <v>1548</v>
      </c>
      <c r="E429" s="40" t="n">
        <v>8131</v>
      </c>
      <c r="F429" s="31" t="s">
        <v>164</v>
      </c>
      <c r="G429" s="20" t="str">
        <f aca="false">IFERROR(INDEX('Расчет Кплотн'!$C:$C,MATCH(F429,'Расчет Кплотн'!$A:$A,0)),"код не найден")</f>
        <v>Рудный</v>
      </c>
      <c r="H429" s="20" t="s">
        <v>1549</v>
      </c>
      <c r="I429" s="20" t="s">
        <v>513</v>
      </c>
      <c r="J429" s="41" t="s">
        <v>503</v>
      </c>
      <c r="K429" s="20"/>
    </row>
    <row r="430" customFormat="false" ht="30" hidden="false" customHeight="true" outlineLevel="0" collapsed="false">
      <c r="A430" s="20" t="n">
        <v>427</v>
      </c>
      <c r="B430" s="20" t="s">
        <v>1487</v>
      </c>
      <c r="C430" s="20" t="s">
        <v>1550</v>
      </c>
      <c r="D430" s="20" t="s">
        <v>1551</v>
      </c>
      <c r="E430" s="40" t="n">
        <v>18040</v>
      </c>
      <c r="F430" s="31" t="s">
        <v>178</v>
      </c>
      <c r="G430" s="20" t="str">
        <f aca="false">IFERROR(INDEX('Расчет Кплотн'!$C:$C,MATCH(F430,'Расчет Кплотн'!$A:$A,0)),"код не найден")</f>
        <v>район Беимбета Майлина</v>
      </c>
      <c r="H430" s="20" t="s">
        <v>1552</v>
      </c>
      <c r="I430" s="20" t="s">
        <v>502</v>
      </c>
      <c r="J430" s="41" t="s">
        <v>503</v>
      </c>
      <c r="K430" s="20"/>
    </row>
    <row r="431" customFormat="false" ht="30" hidden="false" customHeight="true" outlineLevel="0" collapsed="false">
      <c r="A431" s="20" t="n">
        <v>428</v>
      </c>
      <c r="B431" s="20" t="s">
        <v>1487</v>
      </c>
      <c r="C431" s="20" t="s">
        <v>1553</v>
      </c>
      <c r="D431" s="20" t="s">
        <v>1554</v>
      </c>
      <c r="E431" s="40" t="n">
        <v>52228</v>
      </c>
      <c r="F431" s="31" t="s">
        <v>174</v>
      </c>
      <c r="G431" s="20" t="str">
        <f aca="false">IFERROR(INDEX('Расчет Кплотн'!$C:$C,MATCH(F431,'Расчет Кплотн'!$A:$A,0)),"код не найден")</f>
        <v>Костанайский район</v>
      </c>
      <c r="H431" s="20" t="s">
        <v>1511</v>
      </c>
      <c r="I431" s="20" t="s">
        <v>502</v>
      </c>
      <c r="J431" s="41" t="s">
        <v>1512</v>
      </c>
      <c r="K431" s="20"/>
    </row>
    <row r="432" customFormat="false" ht="30" hidden="false" customHeight="true" outlineLevel="0" collapsed="false">
      <c r="A432" s="20" t="n">
        <v>429</v>
      </c>
      <c r="B432" s="20" t="s">
        <v>1487</v>
      </c>
      <c r="C432" s="20" t="s">
        <v>1555</v>
      </c>
      <c r="D432" s="20" t="s">
        <v>1556</v>
      </c>
      <c r="E432" s="40" t="n">
        <v>7663</v>
      </c>
      <c r="F432" s="31" t="s">
        <v>171</v>
      </c>
      <c r="G432" s="20" t="str">
        <f aca="false">IFERROR(INDEX('Расчет Кплотн'!$C:$C,MATCH(F432,'Расчет Кплотн'!$A:$A,0)),"код не найден")</f>
        <v>Камыстинский район</v>
      </c>
      <c r="H432" s="20" t="s">
        <v>1557</v>
      </c>
      <c r="I432" s="20" t="s">
        <v>502</v>
      </c>
      <c r="J432" s="41" t="s">
        <v>503</v>
      </c>
      <c r="K432" s="20"/>
    </row>
    <row r="433" customFormat="false" ht="30" hidden="false" customHeight="true" outlineLevel="0" collapsed="false">
      <c r="A433" s="20" t="n">
        <v>430</v>
      </c>
      <c r="B433" s="20" t="s">
        <v>1487</v>
      </c>
      <c r="C433" s="20" t="s">
        <v>1558</v>
      </c>
      <c r="D433" s="20" t="s">
        <v>1559</v>
      </c>
      <c r="E433" s="40" t="n">
        <v>31868</v>
      </c>
      <c r="F433" s="31" t="s">
        <v>163</v>
      </c>
      <c r="G433" s="20" t="str">
        <f aca="false">IFERROR(INDEX('Расчет Кплотн'!$C:$C,MATCH(F433,'Расчет Кплотн'!$A:$A,0)),"код не найден")</f>
        <v>Лисаковск</v>
      </c>
      <c r="H433" s="20" t="s">
        <v>1560</v>
      </c>
      <c r="I433" s="20" t="s">
        <v>513</v>
      </c>
      <c r="J433" s="41" t="s">
        <v>503</v>
      </c>
      <c r="K433" s="20"/>
    </row>
    <row r="434" customFormat="false" ht="30" hidden="false" customHeight="true" outlineLevel="0" collapsed="false">
      <c r="A434" s="20" t="n">
        <v>431</v>
      </c>
      <c r="B434" s="20" t="s">
        <v>1487</v>
      </c>
      <c r="C434" s="20" t="s">
        <v>1561</v>
      </c>
      <c r="D434" s="20" t="s">
        <v>1562</v>
      </c>
      <c r="E434" s="40" t="n">
        <v>5775</v>
      </c>
      <c r="F434" s="31" t="s">
        <v>176</v>
      </c>
      <c r="G434" s="20" t="str">
        <f aca="false">IFERROR(INDEX('Расчет Кплотн'!$C:$C,MATCH(F434,'Расчет Кплотн'!$A:$A,0)),"код не найден")</f>
        <v>Наурзумский район</v>
      </c>
      <c r="H434" s="20" t="s">
        <v>1563</v>
      </c>
      <c r="I434" s="20" t="s">
        <v>502</v>
      </c>
      <c r="J434" s="41" t="s">
        <v>503</v>
      </c>
      <c r="K434" s="20"/>
    </row>
    <row r="435" customFormat="false" ht="30" hidden="false" customHeight="true" outlineLevel="0" collapsed="false">
      <c r="A435" s="20" t="n">
        <v>432</v>
      </c>
      <c r="B435" s="20" t="s">
        <v>1487</v>
      </c>
      <c r="C435" s="20" t="s">
        <v>1564</v>
      </c>
      <c r="D435" s="20" t="s">
        <v>1565</v>
      </c>
      <c r="E435" s="40" t="n">
        <v>6772</v>
      </c>
      <c r="F435" s="31" t="s">
        <v>173</v>
      </c>
      <c r="G435" s="20" t="str">
        <f aca="false">IFERROR(INDEX('Расчет Кплотн'!$C:$C,MATCH(F435,'Расчет Кплотн'!$A:$A,0)),"код не найден")</f>
        <v>Карасуский район</v>
      </c>
      <c r="H435" s="20" t="s">
        <v>1566</v>
      </c>
      <c r="I435" s="20" t="s">
        <v>502</v>
      </c>
      <c r="J435" s="41" t="s">
        <v>503</v>
      </c>
      <c r="K435" s="20"/>
    </row>
    <row r="436" customFormat="false" ht="30" hidden="false" customHeight="true" outlineLevel="0" collapsed="false">
      <c r="A436" s="20" t="n">
        <v>433</v>
      </c>
      <c r="B436" s="20" t="s">
        <v>1487</v>
      </c>
      <c r="C436" s="20" t="s">
        <v>1567</v>
      </c>
      <c r="D436" s="20" t="s">
        <v>1568</v>
      </c>
      <c r="E436" s="40" t="n">
        <v>51068</v>
      </c>
      <c r="F436" s="31" t="s">
        <v>161</v>
      </c>
      <c r="G436" s="20" t="str">
        <f aca="false">IFERROR(INDEX('Расчет Кплотн'!$C:$C,MATCH(F436,'Расчет Кплотн'!$A:$A,0)),"код не найден")</f>
        <v>Костанай</v>
      </c>
      <c r="H436" s="20" t="s">
        <v>1515</v>
      </c>
      <c r="I436" s="20" t="s">
        <v>513</v>
      </c>
      <c r="J436" s="41" t="s">
        <v>503</v>
      </c>
      <c r="K436" s="20"/>
    </row>
    <row r="437" customFormat="false" ht="30" hidden="false" customHeight="true" outlineLevel="0" collapsed="false">
      <c r="A437" s="20" t="n">
        <v>434</v>
      </c>
      <c r="B437" s="20" t="s">
        <v>1487</v>
      </c>
      <c r="C437" s="20" t="s">
        <v>1569</v>
      </c>
      <c r="D437" s="20" t="s">
        <v>1570</v>
      </c>
      <c r="E437" s="40" t="n">
        <v>43278</v>
      </c>
      <c r="F437" s="31" t="s">
        <v>161</v>
      </c>
      <c r="G437" s="20" t="str">
        <f aca="false">IFERROR(INDEX('Расчет Кплотн'!$C:$C,MATCH(F437,'Расчет Кплотн'!$A:$A,0)),"код не найден")</f>
        <v>Костанай</v>
      </c>
      <c r="H437" s="20" t="s">
        <v>1515</v>
      </c>
      <c r="I437" s="20" t="s">
        <v>513</v>
      </c>
      <c r="J437" s="41" t="s">
        <v>503</v>
      </c>
      <c r="K437" s="20"/>
    </row>
    <row r="438" customFormat="false" ht="30" hidden="false" customHeight="true" outlineLevel="0" collapsed="false">
      <c r="A438" s="20" t="n">
        <v>435</v>
      </c>
      <c r="B438" s="20" t="s">
        <v>1487</v>
      </c>
      <c r="C438" s="20" t="s">
        <v>1571</v>
      </c>
      <c r="D438" s="20" t="s">
        <v>1572</v>
      </c>
      <c r="E438" s="40" t="n">
        <v>50053</v>
      </c>
      <c r="F438" s="31" t="s">
        <v>161</v>
      </c>
      <c r="G438" s="20" t="str">
        <f aca="false">IFERROR(INDEX('Расчет Кплотн'!$C:$C,MATCH(F438,'Расчет Кплотн'!$A:$A,0)),"код не найден")</f>
        <v>Костанай</v>
      </c>
      <c r="H438" s="20" t="s">
        <v>1515</v>
      </c>
      <c r="I438" s="20" t="s">
        <v>513</v>
      </c>
      <c r="J438" s="41" t="s">
        <v>503</v>
      </c>
      <c r="K438" s="20"/>
    </row>
    <row r="439" customFormat="false" ht="30" hidden="false" customHeight="true" outlineLevel="0" collapsed="false">
      <c r="A439" s="20" t="n">
        <v>436</v>
      </c>
      <c r="B439" s="20" t="s">
        <v>1487</v>
      </c>
      <c r="C439" s="20" t="s">
        <v>1573</v>
      </c>
      <c r="D439" s="20" t="s">
        <v>1574</v>
      </c>
      <c r="E439" s="40" t="n">
        <v>5616</v>
      </c>
      <c r="F439" s="31" t="s">
        <v>167</v>
      </c>
      <c r="G439" s="20" t="str">
        <f aca="false">IFERROR(INDEX('Расчет Кплотн'!$C:$C,MATCH(F439,'Расчет Кплотн'!$A:$A,0)),"код не найден")</f>
        <v>Аулиекольский район</v>
      </c>
      <c r="H439" s="20" t="s">
        <v>1575</v>
      </c>
      <c r="I439" s="20" t="s">
        <v>502</v>
      </c>
      <c r="J439" s="41" t="s">
        <v>503</v>
      </c>
      <c r="K439" s="20"/>
    </row>
    <row r="440" customFormat="false" ht="30" hidden="false" customHeight="true" outlineLevel="0" collapsed="false">
      <c r="A440" s="20" t="n">
        <v>437</v>
      </c>
      <c r="B440" s="20" t="s">
        <v>1576</v>
      </c>
      <c r="C440" s="20" t="s">
        <v>1577</v>
      </c>
      <c r="D440" s="20" t="s">
        <v>1578</v>
      </c>
      <c r="E440" s="40" t="n">
        <v>3394</v>
      </c>
      <c r="F440" s="31" t="s">
        <v>181</v>
      </c>
      <c r="G440" s="20" t="str">
        <f aca="false">IFERROR(INDEX('Расчет Кплотн'!$C:$C,MATCH(F440,'Расчет Кплотн'!$A:$A,0)),"код не найден")</f>
        <v>Кызылорда</v>
      </c>
      <c r="H440" s="20" t="s">
        <v>1579</v>
      </c>
      <c r="I440" s="20" t="s">
        <v>513</v>
      </c>
      <c r="J440" s="41" t="s">
        <v>503</v>
      </c>
      <c r="K440" s="20"/>
    </row>
    <row r="441" customFormat="false" ht="30" hidden="false" customHeight="true" outlineLevel="0" collapsed="false">
      <c r="A441" s="20" t="n">
        <v>438</v>
      </c>
      <c r="B441" s="20" t="s">
        <v>1576</v>
      </c>
      <c r="C441" s="20" t="s">
        <v>1580</v>
      </c>
      <c r="D441" s="20" t="s">
        <v>1581</v>
      </c>
      <c r="E441" s="40" t="n">
        <v>39223</v>
      </c>
      <c r="F441" s="31" t="s">
        <v>181</v>
      </c>
      <c r="G441" s="20" t="str">
        <f aca="false">IFERROR(INDEX('Расчет Кплотн'!$C:$C,MATCH(F441,'Расчет Кплотн'!$A:$A,0)),"код не найден")</f>
        <v>Кызылорда</v>
      </c>
      <c r="H441" s="20" t="s">
        <v>1579</v>
      </c>
      <c r="I441" s="20" t="s">
        <v>513</v>
      </c>
      <c r="J441" s="41" t="s">
        <v>503</v>
      </c>
      <c r="K441" s="20"/>
    </row>
    <row r="442" customFormat="false" ht="30" hidden="false" customHeight="true" outlineLevel="0" collapsed="false">
      <c r="A442" s="20" t="n">
        <v>439</v>
      </c>
      <c r="B442" s="20" t="s">
        <v>1576</v>
      </c>
      <c r="C442" s="20" t="s">
        <v>1582</v>
      </c>
      <c r="D442" s="20" t="s">
        <v>1583</v>
      </c>
      <c r="E442" s="40" t="n">
        <v>19020</v>
      </c>
      <c r="F442" s="31" t="s">
        <v>181</v>
      </c>
      <c r="G442" s="20" t="str">
        <f aca="false">IFERROR(INDEX('Расчет Кплотн'!$C:$C,MATCH(F442,'Расчет Кплотн'!$A:$A,0)),"код не найден")</f>
        <v>Кызылорда</v>
      </c>
      <c r="H442" s="20" t="s">
        <v>1579</v>
      </c>
      <c r="I442" s="20" t="s">
        <v>513</v>
      </c>
      <c r="J442" s="41" t="s">
        <v>503</v>
      </c>
      <c r="K442" s="20"/>
    </row>
    <row r="443" customFormat="false" ht="30" hidden="false" customHeight="true" outlineLevel="0" collapsed="false">
      <c r="A443" s="20" t="n">
        <v>440</v>
      </c>
      <c r="B443" s="20" t="s">
        <v>1576</v>
      </c>
      <c r="C443" s="20" t="s">
        <v>1584</v>
      </c>
      <c r="D443" s="20" t="s">
        <v>1585</v>
      </c>
      <c r="E443" s="40" t="n">
        <v>22908</v>
      </c>
      <c r="F443" s="31" t="s">
        <v>186</v>
      </c>
      <c r="G443" s="20" t="str">
        <f aca="false">IFERROR(INDEX('Расчет Кплотн'!$C:$C,MATCH(F443,'Расчет Кплотн'!$A:$A,0)),"код не найден")</f>
        <v>Казалинский район</v>
      </c>
      <c r="H443" s="20" t="s">
        <v>1586</v>
      </c>
      <c r="I443" s="20" t="s">
        <v>502</v>
      </c>
      <c r="J443" s="41" t="s">
        <v>503</v>
      </c>
      <c r="K443" s="20"/>
    </row>
    <row r="444" customFormat="false" ht="30" hidden="false" customHeight="true" outlineLevel="0" collapsed="false">
      <c r="A444" s="20" t="n">
        <v>441</v>
      </c>
      <c r="B444" s="20" t="s">
        <v>1576</v>
      </c>
      <c r="C444" s="20" t="s">
        <v>1587</v>
      </c>
      <c r="D444" s="20" t="s">
        <v>1588</v>
      </c>
      <c r="E444" s="40" t="n">
        <v>4544</v>
      </c>
      <c r="F444" s="31" t="s">
        <v>181</v>
      </c>
      <c r="G444" s="20" t="str">
        <f aca="false">IFERROR(INDEX('Расчет Кплотн'!$C:$C,MATCH(F444,'Расчет Кплотн'!$A:$A,0)),"код не найден")</f>
        <v>Кызылорда</v>
      </c>
      <c r="H444" s="20" t="s">
        <v>1579</v>
      </c>
      <c r="I444" s="20" t="s">
        <v>513</v>
      </c>
      <c r="J444" s="41" t="s">
        <v>503</v>
      </c>
      <c r="K444" s="20"/>
    </row>
    <row r="445" customFormat="false" ht="30" hidden="false" customHeight="true" outlineLevel="0" collapsed="false">
      <c r="A445" s="20" t="n">
        <v>442</v>
      </c>
      <c r="B445" s="20" t="s">
        <v>1576</v>
      </c>
      <c r="C445" s="20" t="s">
        <v>1589</v>
      </c>
      <c r="D445" s="20" t="s">
        <v>1590</v>
      </c>
      <c r="E445" s="40" t="n">
        <v>9186</v>
      </c>
      <c r="F445" s="31" t="s">
        <v>181</v>
      </c>
      <c r="G445" s="20" t="str">
        <f aca="false">IFERROR(INDEX('Расчет Кплотн'!$C:$C,MATCH(F445,'Расчет Кплотн'!$A:$A,0)),"код не найден")</f>
        <v>Кызылорда</v>
      </c>
      <c r="H445" s="20" t="s">
        <v>1579</v>
      </c>
      <c r="I445" s="20" t="s">
        <v>513</v>
      </c>
      <c r="J445" s="41" t="s">
        <v>503</v>
      </c>
      <c r="K445" s="20"/>
    </row>
    <row r="446" customFormat="false" ht="30" hidden="false" customHeight="true" outlineLevel="0" collapsed="false">
      <c r="A446" s="20" t="n">
        <v>443</v>
      </c>
      <c r="B446" s="20" t="s">
        <v>1576</v>
      </c>
      <c r="C446" s="20" t="s">
        <v>1591</v>
      </c>
      <c r="D446" s="20" t="s">
        <v>1592</v>
      </c>
      <c r="E446" s="40" t="n">
        <v>16856</v>
      </c>
      <c r="F446" s="31" t="s">
        <v>181</v>
      </c>
      <c r="G446" s="20" t="str">
        <f aca="false">IFERROR(INDEX('Расчет Кплотн'!$C:$C,MATCH(F446,'Расчет Кплотн'!$A:$A,0)),"код не найден")</f>
        <v>Кызылорда</v>
      </c>
      <c r="H446" s="20" t="s">
        <v>1579</v>
      </c>
      <c r="I446" s="20" t="s">
        <v>513</v>
      </c>
      <c r="J446" s="41" t="s">
        <v>503</v>
      </c>
      <c r="K446" s="20"/>
    </row>
    <row r="447" customFormat="false" ht="30" hidden="false" customHeight="true" outlineLevel="0" collapsed="false">
      <c r="A447" s="20" t="n">
        <v>444</v>
      </c>
      <c r="B447" s="20" t="s">
        <v>1576</v>
      </c>
      <c r="C447" s="20" t="s">
        <v>1593</v>
      </c>
      <c r="D447" s="20" t="s">
        <v>1594</v>
      </c>
      <c r="E447" s="40" t="n">
        <v>18629</v>
      </c>
      <c r="F447" s="31" t="s">
        <v>181</v>
      </c>
      <c r="G447" s="20" t="str">
        <f aca="false">IFERROR(INDEX('Расчет Кплотн'!$C:$C,MATCH(F447,'Расчет Кплотн'!$A:$A,0)),"код не найден")</f>
        <v>Кызылорда</v>
      </c>
      <c r="H447" s="20" t="s">
        <v>1579</v>
      </c>
      <c r="I447" s="20" t="s">
        <v>513</v>
      </c>
      <c r="J447" s="41" t="s">
        <v>503</v>
      </c>
      <c r="K447" s="20"/>
    </row>
    <row r="448" customFormat="false" ht="30" hidden="false" customHeight="true" outlineLevel="0" collapsed="false">
      <c r="A448" s="20" t="n">
        <v>445</v>
      </c>
      <c r="B448" s="20" t="s">
        <v>1576</v>
      </c>
      <c r="C448" s="20" t="s">
        <v>1595</v>
      </c>
      <c r="D448" s="20" t="s">
        <v>1596</v>
      </c>
      <c r="E448" s="40" t="n">
        <v>1705</v>
      </c>
      <c r="F448" s="31" t="s">
        <v>181</v>
      </c>
      <c r="G448" s="20" t="str">
        <f aca="false">IFERROR(INDEX('Расчет Кплотн'!$C:$C,MATCH(F448,'Расчет Кплотн'!$A:$A,0)),"код не найден")</f>
        <v>Кызылорда</v>
      </c>
      <c r="H448" s="20" t="s">
        <v>1579</v>
      </c>
      <c r="I448" s="20" t="s">
        <v>513</v>
      </c>
      <c r="J448" s="41" t="s">
        <v>503</v>
      </c>
      <c r="K448" s="20"/>
    </row>
    <row r="449" customFormat="false" ht="30" hidden="false" customHeight="true" outlineLevel="0" collapsed="false">
      <c r="A449" s="20" t="n">
        <v>446</v>
      </c>
      <c r="B449" s="20" t="s">
        <v>1576</v>
      </c>
      <c r="C449" s="20" t="s">
        <v>1597</v>
      </c>
      <c r="D449" s="20" t="s">
        <v>1598</v>
      </c>
      <c r="E449" s="40" t="n">
        <v>30770</v>
      </c>
      <c r="F449" s="31" t="s">
        <v>181</v>
      </c>
      <c r="G449" s="20" t="str">
        <f aca="false">IFERROR(INDEX('Расчет Кплотн'!$C:$C,MATCH(F449,'Расчет Кплотн'!$A:$A,0)),"код не найден")</f>
        <v>Кызылорда</v>
      </c>
      <c r="H449" s="20" t="s">
        <v>1579</v>
      </c>
      <c r="I449" s="20" t="s">
        <v>513</v>
      </c>
      <c r="J449" s="41" t="s">
        <v>503</v>
      </c>
      <c r="K449" s="20"/>
    </row>
    <row r="450" customFormat="false" ht="30" hidden="false" customHeight="true" outlineLevel="0" collapsed="false">
      <c r="A450" s="20" t="n">
        <v>447</v>
      </c>
      <c r="B450" s="20" t="s">
        <v>1576</v>
      </c>
      <c r="C450" s="20" t="s">
        <v>1599</v>
      </c>
      <c r="D450" s="20" t="s">
        <v>1600</v>
      </c>
      <c r="E450" s="40" t="n">
        <v>5010</v>
      </c>
      <c r="F450" s="31" t="s">
        <v>181</v>
      </c>
      <c r="G450" s="20" t="str">
        <f aca="false">IFERROR(INDEX('Расчет Кплотн'!$C:$C,MATCH(F450,'Расчет Кплотн'!$A:$A,0)),"код не найден")</f>
        <v>Кызылорда</v>
      </c>
      <c r="H450" s="20" t="s">
        <v>1579</v>
      </c>
      <c r="I450" s="20" t="s">
        <v>513</v>
      </c>
      <c r="J450" s="41" t="s">
        <v>503</v>
      </c>
      <c r="K450" s="20"/>
    </row>
    <row r="451" customFormat="false" ht="30" hidden="false" customHeight="true" outlineLevel="0" collapsed="false">
      <c r="A451" s="20" t="n">
        <v>448</v>
      </c>
      <c r="B451" s="20" t="s">
        <v>1576</v>
      </c>
      <c r="C451" s="20" t="s">
        <v>1601</v>
      </c>
      <c r="D451" s="20" t="s">
        <v>1602</v>
      </c>
      <c r="E451" s="40" t="n">
        <v>32755</v>
      </c>
      <c r="F451" s="31" t="s">
        <v>181</v>
      </c>
      <c r="G451" s="20" t="str">
        <f aca="false">IFERROR(INDEX('Расчет Кплотн'!$C:$C,MATCH(F451,'Расчет Кплотн'!$A:$A,0)),"код не найден")</f>
        <v>Кызылорда</v>
      </c>
      <c r="H451" s="20" t="s">
        <v>1579</v>
      </c>
      <c r="I451" s="20" t="s">
        <v>513</v>
      </c>
      <c r="J451" s="41" t="s">
        <v>503</v>
      </c>
      <c r="K451" s="20"/>
    </row>
    <row r="452" customFormat="false" ht="30" hidden="false" customHeight="true" outlineLevel="0" collapsed="false">
      <c r="A452" s="20" t="n">
        <v>449</v>
      </c>
      <c r="B452" s="20" t="s">
        <v>1576</v>
      </c>
      <c r="C452" s="20" t="s">
        <v>1603</v>
      </c>
      <c r="D452" s="20" t="s">
        <v>1604</v>
      </c>
      <c r="E452" s="40" t="n">
        <v>33538</v>
      </c>
      <c r="F452" s="31" t="s">
        <v>188</v>
      </c>
      <c r="G452" s="20" t="str">
        <f aca="false">IFERROR(INDEX('Расчет Кплотн'!$C:$C,MATCH(F452,'Расчет Кплотн'!$A:$A,0)),"код не найден")</f>
        <v>Сырдарьинский район</v>
      </c>
      <c r="H452" s="20" t="s">
        <v>1605</v>
      </c>
      <c r="I452" s="20" t="s">
        <v>502</v>
      </c>
      <c r="J452" s="41" t="s">
        <v>503</v>
      </c>
      <c r="K452" s="20"/>
    </row>
    <row r="453" customFormat="false" ht="30" hidden="false" customHeight="true" outlineLevel="0" collapsed="false">
      <c r="A453" s="20" t="n">
        <v>450</v>
      </c>
      <c r="B453" s="20" t="s">
        <v>1576</v>
      </c>
      <c r="C453" s="20" t="s">
        <v>1606</v>
      </c>
      <c r="D453" s="20" t="s">
        <v>1607</v>
      </c>
      <c r="E453" s="40" t="n">
        <v>31296</v>
      </c>
      <c r="F453" s="31" t="s">
        <v>184</v>
      </c>
      <c r="G453" s="20" t="str">
        <f aca="false">IFERROR(INDEX('Расчет Кплотн'!$C:$C,MATCH(F453,'Расчет Кплотн'!$A:$A,0)),"код не найден")</f>
        <v>Жалагашский район</v>
      </c>
      <c r="H453" s="20" t="s">
        <v>1608</v>
      </c>
      <c r="I453" s="20" t="s">
        <v>502</v>
      </c>
      <c r="J453" s="41" t="s">
        <v>503</v>
      </c>
      <c r="K453" s="20"/>
    </row>
    <row r="454" customFormat="false" ht="30" hidden="false" customHeight="true" outlineLevel="0" collapsed="false">
      <c r="A454" s="20" t="n">
        <v>451</v>
      </c>
      <c r="B454" s="20" t="s">
        <v>1576</v>
      </c>
      <c r="C454" s="20" t="s">
        <v>1609</v>
      </c>
      <c r="D454" s="20" t="s">
        <v>1610</v>
      </c>
      <c r="E454" s="40" t="n">
        <v>36204</v>
      </c>
      <c r="F454" s="31" t="s">
        <v>181</v>
      </c>
      <c r="G454" s="20" t="str">
        <f aca="false">IFERROR(INDEX('Расчет Кплотн'!$C:$C,MATCH(F454,'Расчет Кплотн'!$A:$A,0)),"код не найден")</f>
        <v>Кызылорда</v>
      </c>
      <c r="H454" s="20" t="s">
        <v>1579</v>
      </c>
      <c r="I454" s="20" t="s">
        <v>513</v>
      </c>
      <c r="J454" s="41" t="s">
        <v>503</v>
      </c>
      <c r="K454" s="20"/>
    </row>
    <row r="455" customFormat="false" ht="30" hidden="false" customHeight="true" outlineLevel="0" collapsed="false">
      <c r="A455" s="20" t="n">
        <v>452</v>
      </c>
      <c r="B455" s="20" t="s">
        <v>1576</v>
      </c>
      <c r="C455" s="20" t="s">
        <v>1611</v>
      </c>
      <c r="D455" s="20" t="s">
        <v>1612</v>
      </c>
      <c r="E455" s="40" t="n">
        <v>77807</v>
      </c>
      <c r="F455" s="31" t="s">
        <v>189</v>
      </c>
      <c r="G455" s="20" t="str">
        <f aca="false">IFERROR(INDEX('Расчет Кплотн'!$C:$C,MATCH(F455,'Расчет Кплотн'!$A:$A,0)),"код не найден")</f>
        <v>Шиелийский район</v>
      </c>
      <c r="H455" s="20" t="s">
        <v>1613</v>
      </c>
      <c r="I455" s="20" t="s">
        <v>502</v>
      </c>
      <c r="J455" s="41" t="s">
        <v>503</v>
      </c>
      <c r="K455" s="20"/>
    </row>
    <row r="456" customFormat="false" ht="30" hidden="false" customHeight="true" outlineLevel="0" collapsed="false">
      <c r="A456" s="20" t="n">
        <v>453</v>
      </c>
      <c r="B456" s="20" t="s">
        <v>1576</v>
      </c>
      <c r="C456" s="20" t="s">
        <v>1614</v>
      </c>
      <c r="D456" s="20" t="s">
        <v>1615</v>
      </c>
      <c r="E456" s="40" t="n">
        <v>58898</v>
      </c>
      <c r="F456" s="31" t="s">
        <v>181</v>
      </c>
      <c r="G456" s="20" t="str">
        <f aca="false">IFERROR(INDEX('Расчет Кплотн'!$C:$C,MATCH(F456,'Расчет Кплотн'!$A:$A,0)),"код не найден")</f>
        <v>Кызылорда</v>
      </c>
      <c r="H456" s="20" t="s">
        <v>1579</v>
      </c>
      <c r="I456" s="20" t="s">
        <v>513</v>
      </c>
      <c r="J456" s="41" t="s">
        <v>503</v>
      </c>
      <c r="K456" s="20"/>
    </row>
    <row r="457" customFormat="false" ht="30" hidden="false" customHeight="true" outlineLevel="0" collapsed="false">
      <c r="A457" s="20" t="n">
        <v>454</v>
      </c>
      <c r="B457" s="20" t="s">
        <v>1576</v>
      </c>
      <c r="C457" s="20" t="s">
        <v>1616</v>
      </c>
      <c r="D457" s="20" t="s">
        <v>1617</v>
      </c>
      <c r="E457" s="40" t="n">
        <v>41472</v>
      </c>
      <c r="F457" s="31" t="s">
        <v>181</v>
      </c>
      <c r="G457" s="20" t="str">
        <f aca="false">IFERROR(INDEX('Расчет Кплотн'!$C:$C,MATCH(F457,'Расчет Кплотн'!$A:$A,0)),"код не найден")</f>
        <v>Кызылорда</v>
      </c>
      <c r="H457" s="20" t="s">
        <v>1618</v>
      </c>
      <c r="I457" s="20" t="s">
        <v>513</v>
      </c>
      <c r="J457" s="41" t="s">
        <v>503</v>
      </c>
      <c r="K457" s="20"/>
    </row>
    <row r="458" customFormat="false" ht="30" hidden="false" customHeight="true" outlineLevel="0" collapsed="false">
      <c r="A458" s="20" t="n">
        <v>455</v>
      </c>
      <c r="B458" s="20" t="s">
        <v>1576</v>
      </c>
      <c r="C458" s="20" t="s">
        <v>1619</v>
      </c>
      <c r="D458" s="20" t="s">
        <v>1620</v>
      </c>
      <c r="E458" s="40" t="n">
        <v>71158</v>
      </c>
      <c r="F458" s="31" t="s">
        <v>183</v>
      </c>
      <c r="G458" s="20" t="str">
        <f aca="false">IFERROR(INDEX('Расчет Кплотн'!$C:$C,MATCH(F458,'Расчет Кплотн'!$A:$A,0)),"код не найден")</f>
        <v>Аральский район</v>
      </c>
      <c r="H458" s="20" t="s">
        <v>1621</v>
      </c>
      <c r="I458" s="20" t="s">
        <v>502</v>
      </c>
      <c r="J458" s="41" t="s">
        <v>503</v>
      </c>
      <c r="K458" s="20"/>
    </row>
    <row r="459" customFormat="false" ht="30" hidden="false" customHeight="true" outlineLevel="0" collapsed="false">
      <c r="A459" s="20" t="n">
        <v>456</v>
      </c>
      <c r="B459" s="20" t="s">
        <v>1576</v>
      </c>
      <c r="C459" s="20" t="s">
        <v>1622</v>
      </c>
      <c r="D459" s="20" t="s">
        <v>1623</v>
      </c>
      <c r="E459" s="40" t="n">
        <v>53883</v>
      </c>
      <c r="F459" s="31" t="s">
        <v>186</v>
      </c>
      <c r="G459" s="20" t="str">
        <f aca="false">IFERROR(INDEX('Расчет Кплотн'!$C:$C,MATCH(F459,'Расчет Кплотн'!$A:$A,0)),"код не найден")</f>
        <v>Казалинский район</v>
      </c>
      <c r="H459" s="20" t="s">
        <v>1586</v>
      </c>
      <c r="I459" s="20" t="s">
        <v>502</v>
      </c>
      <c r="J459" s="41" t="s">
        <v>503</v>
      </c>
      <c r="K459" s="20"/>
    </row>
    <row r="460" customFormat="false" ht="30" hidden="false" customHeight="true" outlineLevel="0" collapsed="false">
      <c r="A460" s="20" t="n">
        <v>457</v>
      </c>
      <c r="B460" s="20" t="s">
        <v>1576</v>
      </c>
      <c r="C460" s="20" t="s">
        <v>1624</v>
      </c>
      <c r="D460" s="20" t="s">
        <v>1625</v>
      </c>
      <c r="E460" s="40" t="n">
        <v>30558</v>
      </c>
      <c r="F460" s="31" t="s">
        <v>187</v>
      </c>
      <c r="G460" s="20" t="str">
        <f aca="false">IFERROR(INDEX('Расчет Кплотн'!$C:$C,MATCH(F460,'Расчет Кплотн'!$A:$A,0)),"код не найден")</f>
        <v>Кармакшинский район</v>
      </c>
      <c r="H460" s="20" t="s">
        <v>1626</v>
      </c>
      <c r="I460" s="20" t="s">
        <v>502</v>
      </c>
      <c r="J460" s="41" t="s">
        <v>503</v>
      </c>
      <c r="K460" s="20"/>
    </row>
    <row r="461" customFormat="false" ht="30" hidden="false" customHeight="true" outlineLevel="0" collapsed="false">
      <c r="A461" s="20" t="n">
        <v>458</v>
      </c>
      <c r="B461" s="20" t="s">
        <v>1576</v>
      </c>
      <c r="C461" s="20" t="s">
        <v>1627</v>
      </c>
      <c r="D461" s="20" t="s">
        <v>1628</v>
      </c>
      <c r="E461" s="40" t="n">
        <v>39604</v>
      </c>
      <c r="F461" s="31" t="s">
        <v>182</v>
      </c>
      <c r="G461" s="20" t="str">
        <f aca="false">IFERROR(INDEX('Расчет Кплотн'!$C:$C,MATCH(F461,'Расчет Кплотн'!$A:$A,0)),"код не найден")</f>
        <v>Байконыр</v>
      </c>
      <c r="H461" s="20" t="s">
        <v>1629</v>
      </c>
      <c r="I461" s="20" t="s">
        <v>513</v>
      </c>
      <c r="J461" s="41" t="s">
        <v>503</v>
      </c>
      <c r="K461" s="20"/>
    </row>
    <row r="462" customFormat="false" ht="30" hidden="false" customHeight="true" outlineLevel="0" collapsed="false">
      <c r="A462" s="20" t="n">
        <v>459</v>
      </c>
      <c r="B462" s="20" t="s">
        <v>1576</v>
      </c>
      <c r="C462" s="20" t="s">
        <v>1630</v>
      </c>
      <c r="D462" s="20" t="s">
        <v>1631</v>
      </c>
      <c r="E462" s="40" t="n">
        <v>72967</v>
      </c>
      <c r="F462" s="31" t="s">
        <v>185</v>
      </c>
      <c r="G462" s="20" t="str">
        <f aca="false">IFERROR(INDEX('Расчет Кплотн'!$C:$C,MATCH(F462,'Расчет Кплотн'!$A:$A,0)),"код не найден")</f>
        <v>Жанакорганский район</v>
      </c>
      <c r="H462" s="20" t="s">
        <v>1632</v>
      </c>
      <c r="I462" s="20" t="s">
        <v>502</v>
      </c>
      <c r="J462" s="41" t="s">
        <v>503</v>
      </c>
      <c r="K462" s="20"/>
    </row>
    <row r="463" customFormat="false" ht="30" hidden="false" customHeight="true" outlineLevel="0" collapsed="false">
      <c r="A463" s="20" t="n">
        <v>460</v>
      </c>
      <c r="B463" s="20" t="s">
        <v>1576</v>
      </c>
      <c r="C463" s="20" t="s">
        <v>1633</v>
      </c>
      <c r="D463" s="20" t="s">
        <v>1634</v>
      </c>
      <c r="E463" s="40" t="n">
        <v>60452</v>
      </c>
      <c r="F463" s="31" t="s">
        <v>181</v>
      </c>
      <c r="G463" s="20" t="str">
        <f aca="false">IFERROR(INDEX('Расчет Кплотн'!$C:$C,MATCH(F463,'Расчет Кплотн'!$A:$A,0)),"код не найден")</f>
        <v>Кызылорда</v>
      </c>
      <c r="H463" s="20" t="s">
        <v>1579</v>
      </c>
      <c r="I463" s="20" t="s">
        <v>513</v>
      </c>
      <c r="J463" s="41" t="s">
        <v>503</v>
      </c>
      <c r="K463" s="20"/>
    </row>
    <row r="464" customFormat="false" ht="30" hidden="false" customHeight="true" outlineLevel="0" collapsed="false">
      <c r="A464" s="20" t="n">
        <v>461</v>
      </c>
      <c r="B464" s="20" t="s">
        <v>1635</v>
      </c>
      <c r="C464" s="20" t="s">
        <v>1636</v>
      </c>
      <c r="D464" s="20" t="s">
        <v>1637</v>
      </c>
      <c r="E464" s="40" t="n">
        <v>12645</v>
      </c>
      <c r="F464" s="31" t="s">
        <v>195</v>
      </c>
      <c r="G464" s="20" t="str">
        <f aca="false">IFERROR(INDEX('Расчет Кплотн'!$C:$C,MATCH(F464,'Расчет Кплотн'!$A:$A,0)),"код не найден")</f>
        <v>Мунайлинский район</v>
      </c>
      <c r="H464" s="20" t="s">
        <v>1638</v>
      </c>
      <c r="I464" s="20" t="s">
        <v>502</v>
      </c>
      <c r="J464" s="41" t="s">
        <v>503</v>
      </c>
      <c r="K464" s="20"/>
    </row>
    <row r="465" customFormat="false" ht="30" hidden="false" customHeight="true" outlineLevel="0" collapsed="false">
      <c r="A465" s="20" t="n">
        <v>462</v>
      </c>
      <c r="B465" s="20" t="s">
        <v>1635</v>
      </c>
      <c r="C465" s="20" t="s">
        <v>1639</v>
      </c>
      <c r="D465" s="20" t="s">
        <v>1640</v>
      </c>
      <c r="E465" s="40" t="n">
        <v>10355</v>
      </c>
      <c r="F465" s="31" t="s">
        <v>193</v>
      </c>
      <c r="G465" s="20" t="str">
        <f aca="false">IFERROR(INDEX('Расчет Кплотн'!$C:$C,MATCH(F465,'Расчет Кплотн'!$A:$A,0)),"код не найден")</f>
        <v>Каракиянский район</v>
      </c>
      <c r="H465" s="20" t="s">
        <v>1641</v>
      </c>
      <c r="I465" s="20" t="s">
        <v>502</v>
      </c>
      <c r="J465" s="41" t="s">
        <v>503</v>
      </c>
      <c r="K465" s="20"/>
    </row>
    <row r="466" customFormat="false" ht="30" hidden="false" customHeight="true" outlineLevel="0" collapsed="false">
      <c r="A466" s="20" t="n">
        <v>463</v>
      </c>
      <c r="B466" s="20" t="s">
        <v>1635</v>
      </c>
      <c r="C466" s="20" t="s">
        <v>1642</v>
      </c>
      <c r="D466" s="20" t="s">
        <v>1643</v>
      </c>
      <c r="E466" s="40" t="n">
        <v>25857</v>
      </c>
      <c r="F466" s="31" t="s">
        <v>190</v>
      </c>
      <c r="G466" s="20" t="str">
        <f aca="false">IFERROR(INDEX('Расчет Кплотн'!$C:$C,MATCH(F466,'Расчет Кплотн'!$A:$A,0)),"код не найден")</f>
        <v>Актау</v>
      </c>
      <c r="H466" s="20" t="s">
        <v>1644</v>
      </c>
      <c r="I466" s="20" t="s">
        <v>513</v>
      </c>
      <c r="J466" s="41" t="s">
        <v>503</v>
      </c>
      <c r="K466" s="20"/>
    </row>
    <row r="467" customFormat="false" ht="30" hidden="false" customHeight="true" outlineLevel="0" collapsed="false">
      <c r="A467" s="20" t="n">
        <v>464</v>
      </c>
      <c r="B467" s="20" t="s">
        <v>1635</v>
      </c>
      <c r="C467" s="20" t="s">
        <v>1645</v>
      </c>
      <c r="D467" s="20" t="s">
        <v>1646</v>
      </c>
      <c r="E467" s="40" t="n">
        <v>4937</v>
      </c>
      <c r="F467" s="31" t="s">
        <v>190</v>
      </c>
      <c r="G467" s="20" t="str">
        <f aca="false">IFERROR(INDEX('Расчет Кплотн'!$C:$C,MATCH(F467,'Расчет Кплотн'!$A:$A,0)),"код не найден")</f>
        <v>Актау</v>
      </c>
      <c r="H467" s="20" t="s">
        <v>1644</v>
      </c>
      <c r="I467" s="20" t="s">
        <v>513</v>
      </c>
      <c r="J467" s="41" t="s">
        <v>503</v>
      </c>
      <c r="K467" s="20"/>
    </row>
    <row r="468" customFormat="false" ht="30" hidden="false" customHeight="true" outlineLevel="0" collapsed="false">
      <c r="A468" s="20" t="n">
        <v>465</v>
      </c>
      <c r="B468" s="20" t="s">
        <v>1635</v>
      </c>
      <c r="C468" s="20" t="s">
        <v>1647</v>
      </c>
      <c r="D468" s="20" t="s">
        <v>1648</v>
      </c>
      <c r="E468" s="40" t="n">
        <v>35559</v>
      </c>
      <c r="F468" s="31" t="s">
        <v>195</v>
      </c>
      <c r="G468" s="20" t="str">
        <f aca="false">IFERROR(INDEX('Расчет Кплотн'!$C:$C,MATCH(F468,'Расчет Кплотн'!$A:$A,0)),"код не найден")</f>
        <v>Мунайлинский район</v>
      </c>
      <c r="H468" s="20" t="s">
        <v>1649</v>
      </c>
      <c r="I468" s="20" t="s">
        <v>502</v>
      </c>
      <c r="J468" s="41" t="s">
        <v>503</v>
      </c>
      <c r="K468" s="20"/>
    </row>
    <row r="469" customFormat="false" ht="30" hidden="false" customHeight="true" outlineLevel="0" collapsed="false">
      <c r="A469" s="20" t="n">
        <v>466</v>
      </c>
      <c r="B469" s="20" t="s">
        <v>1635</v>
      </c>
      <c r="C469" s="20" t="s">
        <v>1650</v>
      </c>
      <c r="D469" s="20" t="s">
        <v>1651</v>
      </c>
      <c r="E469" s="40" t="n">
        <v>9903</v>
      </c>
      <c r="F469" s="31" t="s">
        <v>195</v>
      </c>
      <c r="G469" s="20" t="str">
        <f aca="false">IFERROR(INDEX('Расчет Кплотн'!$C:$C,MATCH(F469,'Расчет Кплотн'!$A:$A,0)),"код не найден")</f>
        <v>Мунайлинский район</v>
      </c>
      <c r="H469" s="20" t="s">
        <v>1652</v>
      </c>
      <c r="I469" s="20" t="s">
        <v>502</v>
      </c>
      <c r="J469" s="41" t="s">
        <v>503</v>
      </c>
      <c r="K469" s="20"/>
    </row>
    <row r="470" customFormat="false" ht="30" hidden="false" customHeight="true" outlineLevel="0" collapsed="false">
      <c r="A470" s="20" t="n">
        <v>467</v>
      </c>
      <c r="B470" s="20" t="s">
        <v>1635</v>
      </c>
      <c r="C470" s="20" t="s">
        <v>1653</v>
      </c>
      <c r="D470" s="20" t="s">
        <v>1654</v>
      </c>
      <c r="E470" s="40" t="n">
        <v>23471</v>
      </c>
      <c r="F470" s="31" t="s">
        <v>190</v>
      </c>
      <c r="G470" s="20" t="str">
        <f aca="false">IFERROR(INDEX('Расчет Кплотн'!$C:$C,MATCH(F470,'Расчет Кплотн'!$A:$A,0)),"код не найден")</f>
        <v>Актау</v>
      </c>
      <c r="H470" s="20" t="s">
        <v>1644</v>
      </c>
      <c r="I470" s="20" t="s">
        <v>513</v>
      </c>
      <c r="J470" s="41" t="s">
        <v>503</v>
      </c>
      <c r="K470" s="20"/>
    </row>
    <row r="471" customFormat="false" ht="30" hidden="false" customHeight="true" outlineLevel="0" collapsed="false">
      <c r="A471" s="20" t="n">
        <v>468</v>
      </c>
      <c r="B471" s="20" t="s">
        <v>1635</v>
      </c>
      <c r="C471" s="20" t="s">
        <v>1655</v>
      </c>
      <c r="D471" s="20" t="s">
        <v>1656</v>
      </c>
      <c r="E471" s="40" t="n">
        <v>7867</v>
      </c>
      <c r="F471" s="31" t="s">
        <v>190</v>
      </c>
      <c r="G471" s="20" t="str">
        <f aca="false">IFERROR(INDEX('Расчет Кплотн'!$C:$C,MATCH(F471,'Расчет Кплотн'!$A:$A,0)),"код не найден")</f>
        <v>Актау</v>
      </c>
      <c r="H471" s="20" t="s">
        <v>1644</v>
      </c>
      <c r="I471" s="20" t="s">
        <v>513</v>
      </c>
      <c r="J471" s="41" t="s">
        <v>503</v>
      </c>
      <c r="K471" s="20"/>
    </row>
    <row r="472" customFormat="false" ht="30" hidden="false" customHeight="true" outlineLevel="0" collapsed="false">
      <c r="A472" s="20" t="n">
        <v>469</v>
      </c>
      <c r="B472" s="20" t="s">
        <v>1635</v>
      </c>
      <c r="C472" s="20" t="s">
        <v>1657</v>
      </c>
      <c r="D472" s="20" t="s">
        <v>1658</v>
      </c>
      <c r="E472" s="40" t="n">
        <v>6688</v>
      </c>
      <c r="F472" s="31" t="s">
        <v>196</v>
      </c>
      <c r="G472" s="20" t="str">
        <f aca="false">IFERROR(INDEX('Расчет Кплотн'!$C:$C,MATCH(F472,'Расчет Кплотн'!$A:$A,0)),"код не найден")</f>
        <v>Тупкараганский район</v>
      </c>
      <c r="H472" s="20" t="s">
        <v>1659</v>
      </c>
      <c r="I472" s="20" t="s">
        <v>502</v>
      </c>
      <c r="J472" s="41" t="s">
        <v>503</v>
      </c>
      <c r="K472" s="20"/>
    </row>
    <row r="473" customFormat="false" ht="30" hidden="false" customHeight="true" outlineLevel="0" collapsed="false">
      <c r="A473" s="20" t="n">
        <v>470</v>
      </c>
      <c r="B473" s="20" t="s">
        <v>1635</v>
      </c>
      <c r="C473" s="20" t="s">
        <v>1660</v>
      </c>
      <c r="D473" s="20" t="s">
        <v>1661</v>
      </c>
      <c r="E473" s="40" t="n">
        <v>15366</v>
      </c>
      <c r="F473" s="31" t="s">
        <v>191</v>
      </c>
      <c r="G473" s="20" t="str">
        <f aca="false">IFERROR(INDEX('Расчет Кплотн'!$C:$C,MATCH(F473,'Расчет Кплотн'!$A:$A,0)),"код не найден")</f>
        <v>Жанаозен</v>
      </c>
      <c r="H473" s="20" t="s">
        <v>1662</v>
      </c>
      <c r="I473" s="20" t="s">
        <v>513</v>
      </c>
      <c r="J473" s="41" t="s">
        <v>503</v>
      </c>
      <c r="K473" s="20"/>
    </row>
    <row r="474" customFormat="false" ht="30" hidden="false" customHeight="true" outlineLevel="0" collapsed="false">
      <c r="A474" s="20" t="n">
        <v>471</v>
      </c>
      <c r="B474" s="20" t="s">
        <v>1635</v>
      </c>
      <c r="C474" s="20" t="s">
        <v>1663</v>
      </c>
      <c r="D474" s="20" t="s">
        <v>1664</v>
      </c>
      <c r="E474" s="40" t="n">
        <v>3563</v>
      </c>
      <c r="F474" s="31" t="s">
        <v>194</v>
      </c>
      <c r="G474" s="20" t="str">
        <f aca="false">IFERROR(INDEX('Расчет Кплотн'!$C:$C,MATCH(F474,'Расчет Кплотн'!$A:$A,0)),"код не найден")</f>
        <v>Мангистауский район</v>
      </c>
      <c r="H474" s="20" t="s">
        <v>1665</v>
      </c>
      <c r="I474" s="20" t="s">
        <v>502</v>
      </c>
      <c r="J474" s="41" t="s">
        <v>503</v>
      </c>
      <c r="K474" s="20"/>
    </row>
    <row r="475" customFormat="false" ht="30" hidden="false" customHeight="true" outlineLevel="0" collapsed="false">
      <c r="A475" s="20" t="n">
        <v>472</v>
      </c>
      <c r="B475" s="20" t="s">
        <v>1635</v>
      </c>
      <c r="C475" s="20" t="s">
        <v>1666</v>
      </c>
      <c r="D475" s="20" t="s">
        <v>1667</v>
      </c>
      <c r="E475" s="40" t="n">
        <v>9572</v>
      </c>
      <c r="F475" s="31" t="s">
        <v>190</v>
      </c>
      <c r="G475" s="20" t="str">
        <f aca="false">IFERROR(INDEX('Расчет Кплотн'!$C:$C,MATCH(F475,'Расчет Кплотн'!$A:$A,0)),"код не найден")</f>
        <v>Актау</v>
      </c>
      <c r="H475" s="20" t="s">
        <v>1644</v>
      </c>
      <c r="I475" s="20" t="s">
        <v>513</v>
      </c>
      <c r="J475" s="41" t="s">
        <v>503</v>
      </c>
      <c r="K475" s="20"/>
    </row>
    <row r="476" customFormat="false" ht="30" hidden="false" customHeight="true" outlineLevel="0" collapsed="false">
      <c r="A476" s="20" t="n">
        <v>473</v>
      </c>
      <c r="B476" s="20" t="s">
        <v>1635</v>
      </c>
      <c r="C476" s="20" t="s">
        <v>1668</v>
      </c>
      <c r="D476" s="20" t="s">
        <v>1669</v>
      </c>
      <c r="E476" s="40" t="n">
        <v>14339</v>
      </c>
      <c r="F476" s="31" t="s">
        <v>190</v>
      </c>
      <c r="G476" s="20" t="str">
        <f aca="false">IFERROR(INDEX('Расчет Кплотн'!$C:$C,MATCH(F476,'Расчет Кплотн'!$A:$A,0)),"код не найден")</f>
        <v>Актау</v>
      </c>
      <c r="H476" s="20" t="s">
        <v>1644</v>
      </c>
      <c r="I476" s="20" t="s">
        <v>513</v>
      </c>
      <c r="J476" s="41" t="s">
        <v>503</v>
      </c>
      <c r="K476" s="20"/>
    </row>
    <row r="477" customFormat="false" ht="30" hidden="false" customHeight="true" outlineLevel="0" collapsed="false">
      <c r="A477" s="20" t="n">
        <v>474</v>
      </c>
      <c r="B477" s="20" t="s">
        <v>1635</v>
      </c>
      <c r="C477" s="20" t="s">
        <v>1670</v>
      </c>
      <c r="D477" s="20" t="s">
        <v>1671</v>
      </c>
      <c r="E477" s="40" t="n">
        <v>61573</v>
      </c>
      <c r="F477" s="31" t="s">
        <v>190</v>
      </c>
      <c r="G477" s="20" t="str">
        <f aca="false">IFERROR(INDEX('Расчет Кплотн'!$C:$C,MATCH(F477,'Расчет Кплотн'!$A:$A,0)),"код не найден")</f>
        <v>Актау</v>
      </c>
      <c r="H477" s="20" t="s">
        <v>1644</v>
      </c>
      <c r="I477" s="20" t="s">
        <v>513</v>
      </c>
      <c r="J477" s="41" t="s">
        <v>503</v>
      </c>
      <c r="K477" s="20"/>
    </row>
    <row r="478" customFormat="false" ht="30" hidden="false" customHeight="true" outlineLevel="0" collapsed="false">
      <c r="A478" s="20" t="n">
        <v>475</v>
      </c>
      <c r="B478" s="20" t="s">
        <v>1635</v>
      </c>
      <c r="C478" s="20" t="s">
        <v>1672</v>
      </c>
      <c r="D478" s="20" t="s">
        <v>1673</v>
      </c>
      <c r="E478" s="40" t="n">
        <v>29593</v>
      </c>
      <c r="F478" s="31" t="s">
        <v>190</v>
      </c>
      <c r="G478" s="20" t="str">
        <f aca="false">IFERROR(INDEX('Расчет Кплотн'!$C:$C,MATCH(F478,'Расчет Кплотн'!$A:$A,0)),"код не найден")</f>
        <v>Актау</v>
      </c>
      <c r="H478" s="20" t="s">
        <v>1644</v>
      </c>
      <c r="I478" s="20" t="s">
        <v>513</v>
      </c>
      <c r="J478" s="41" t="s">
        <v>503</v>
      </c>
      <c r="K478" s="20"/>
    </row>
    <row r="479" customFormat="false" ht="30" hidden="false" customHeight="true" outlineLevel="0" collapsed="false">
      <c r="A479" s="20" t="n">
        <v>476</v>
      </c>
      <c r="B479" s="20" t="s">
        <v>1635</v>
      </c>
      <c r="C479" s="20" t="s">
        <v>1674</v>
      </c>
      <c r="D479" s="20" t="s">
        <v>1675</v>
      </c>
      <c r="E479" s="40" t="n">
        <v>14553</v>
      </c>
      <c r="F479" s="31" t="s">
        <v>191</v>
      </c>
      <c r="G479" s="20" t="str">
        <f aca="false">IFERROR(INDEX('Расчет Кплотн'!$C:$C,MATCH(F479,'Расчет Кплотн'!$A:$A,0)),"код не найден")</f>
        <v>Жанаозен</v>
      </c>
      <c r="H479" s="20" t="s">
        <v>1662</v>
      </c>
      <c r="I479" s="20" t="s">
        <v>513</v>
      </c>
      <c r="J479" s="41" t="s">
        <v>503</v>
      </c>
      <c r="K479" s="20"/>
    </row>
    <row r="480" customFormat="false" ht="30" hidden="false" customHeight="true" outlineLevel="0" collapsed="false">
      <c r="A480" s="20" t="n">
        <v>477</v>
      </c>
      <c r="B480" s="20" t="s">
        <v>1635</v>
      </c>
      <c r="C480" s="20" t="s">
        <v>1676</v>
      </c>
      <c r="D480" s="20" t="s">
        <v>1677</v>
      </c>
      <c r="E480" s="40" t="n">
        <v>37749</v>
      </c>
      <c r="F480" s="31" t="s">
        <v>191</v>
      </c>
      <c r="G480" s="20" t="str">
        <f aca="false">IFERROR(INDEX('Расчет Кплотн'!$C:$C,MATCH(F480,'Расчет Кплотн'!$A:$A,0)),"код не найден")</f>
        <v>Жанаозен</v>
      </c>
      <c r="H480" s="20" t="s">
        <v>1662</v>
      </c>
      <c r="I480" s="20" t="s">
        <v>513</v>
      </c>
      <c r="J480" s="41" t="s">
        <v>503</v>
      </c>
      <c r="K480" s="20"/>
    </row>
    <row r="481" customFormat="false" ht="30" hidden="false" customHeight="true" outlineLevel="0" collapsed="false">
      <c r="A481" s="20" t="n">
        <v>478</v>
      </c>
      <c r="B481" s="20" t="s">
        <v>1635</v>
      </c>
      <c r="C481" s="20" t="s">
        <v>1678</v>
      </c>
      <c r="D481" s="20" t="s">
        <v>1679</v>
      </c>
      <c r="E481" s="40" t="n">
        <v>11812</v>
      </c>
      <c r="F481" s="31" t="s">
        <v>190</v>
      </c>
      <c r="G481" s="20" t="str">
        <f aca="false">IFERROR(INDEX('Расчет Кплотн'!$C:$C,MATCH(F481,'Расчет Кплотн'!$A:$A,0)),"код не найден")</f>
        <v>Актау</v>
      </c>
      <c r="H481" s="20" t="s">
        <v>1644</v>
      </c>
      <c r="I481" s="20" t="s">
        <v>513</v>
      </c>
      <c r="J481" s="41" t="s">
        <v>503</v>
      </c>
      <c r="K481" s="20"/>
    </row>
    <row r="482" customFormat="false" ht="30" hidden="false" customHeight="true" outlineLevel="0" collapsed="false">
      <c r="A482" s="20" t="n">
        <v>479</v>
      </c>
      <c r="B482" s="20" t="s">
        <v>1635</v>
      </c>
      <c r="C482" s="20" t="s">
        <v>1680</v>
      </c>
      <c r="D482" s="20" t="s">
        <v>1681</v>
      </c>
      <c r="E482" s="40" t="n">
        <v>7049</v>
      </c>
      <c r="F482" s="31" t="s">
        <v>195</v>
      </c>
      <c r="G482" s="20" t="str">
        <f aca="false">IFERROR(INDEX('Расчет Кплотн'!$C:$C,MATCH(F482,'Расчет Кплотн'!$A:$A,0)),"код не найден")</f>
        <v>Мунайлинский район</v>
      </c>
      <c r="H482" s="20" t="s">
        <v>1652</v>
      </c>
      <c r="I482" s="20" t="s">
        <v>502</v>
      </c>
      <c r="J482" s="41" t="s">
        <v>503</v>
      </c>
      <c r="K482" s="20"/>
    </row>
    <row r="483" customFormat="false" ht="30" hidden="false" customHeight="true" outlineLevel="0" collapsed="false">
      <c r="A483" s="20" t="n">
        <v>480</v>
      </c>
      <c r="B483" s="20" t="s">
        <v>1635</v>
      </c>
      <c r="C483" s="20" t="s">
        <v>1682</v>
      </c>
      <c r="D483" s="20" t="s">
        <v>1683</v>
      </c>
      <c r="E483" s="40" t="n">
        <v>35610</v>
      </c>
      <c r="F483" s="31" t="s">
        <v>191</v>
      </c>
      <c r="G483" s="20" t="str">
        <f aca="false">IFERROR(INDEX('Расчет Кплотн'!$C:$C,MATCH(F483,'Расчет Кплотн'!$A:$A,0)),"код не найден")</f>
        <v>Жанаозен</v>
      </c>
      <c r="H483" s="20" t="s">
        <v>1644</v>
      </c>
      <c r="I483" s="20" t="s">
        <v>513</v>
      </c>
      <c r="J483" s="41" t="s">
        <v>1684</v>
      </c>
      <c r="K483" s="20"/>
    </row>
    <row r="484" customFormat="false" ht="30" hidden="false" customHeight="true" outlineLevel="0" collapsed="false">
      <c r="A484" s="20" t="n">
        <v>481</v>
      </c>
      <c r="B484" s="20" t="s">
        <v>1635</v>
      </c>
      <c r="C484" s="20" t="s">
        <v>1685</v>
      </c>
      <c r="D484" s="20" t="s">
        <v>1686</v>
      </c>
      <c r="E484" s="40" t="n">
        <v>43195</v>
      </c>
      <c r="F484" s="31" t="s">
        <v>191</v>
      </c>
      <c r="G484" s="20" t="str">
        <f aca="false">IFERROR(INDEX('Расчет Кплотн'!$C:$C,MATCH(F484,'Расчет Кплотн'!$A:$A,0)),"код не найден")</f>
        <v>Жанаозен</v>
      </c>
      <c r="H484" s="20" t="s">
        <v>1687</v>
      </c>
      <c r="I484" s="20" t="s">
        <v>513</v>
      </c>
      <c r="J484" s="41" t="s">
        <v>503</v>
      </c>
      <c r="K484" s="20"/>
    </row>
    <row r="485" customFormat="false" ht="30" hidden="false" customHeight="true" outlineLevel="0" collapsed="false">
      <c r="A485" s="20" t="n">
        <v>482</v>
      </c>
      <c r="B485" s="20" t="s">
        <v>1635</v>
      </c>
      <c r="C485" s="20" t="s">
        <v>1688</v>
      </c>
      <c r="D485" s="20" t="s">
        <v>1689</v>
      </c>
      <c r="E485" s="40" t="n">
        <v>12330</v>
      </c>
      <c r="F485" s="31" t="s">
        <v>193</v>
      </c>
      <c r="G485" s="20" t="str">
        <f aca="false">IFERROR(INDEX('Расчет Кплотн'!$C:$C,MATCH(F485,'Расчет Кплотн'!$A:$A,0)),"код не найден")</f>
        <v>Каракиянский район</v>
      </c>
      <c r="H485" s="20" t="s">
        <v>1641</v>
      </c>
      <c r="I485" s="20" t="s">
        <v>502</v>
      </c>
      <c r="J485" s="41" t="s">
        <v>503</v>
      </c>
      <c r="K485" s="20"/>
    </row>
    <row r="486" customFormat="false" ht="30" hidden="false" customHeight="true" outlineLevel="0" collapsed="false">
      <c r="A486" s="20" t="n">
        <v>483</v>
      </c>
      <c r="B486" s="20" t="s">
        <v>1635</v>
      </c>
      <c r="C486" s="20" t="s">
        <v>1690</v>
      </c>
      <c r="D486" s="20" t="s">
        <v>1691</v>
      </c>
      <c r="E486" s="40" t="n">
        <v>15346</v>
      </c>
      <c r="F486" s="31" t="s">
        <v>193</v>
      </c>
      <c r="G486" s="20" t="str">
        <f aca="false">IFERROR(INDEX('Расчет Кплотн'!$C:$C,MATCH(F486,'Расчет Кплотн'!$A:$A,0)),"код не найден")</f>
        <v>Каракиянский район</v>
      </c>
      <c r="H486" s="20" t="s">
        <v>1692</v>
      </c>
      <c r="I486" s="20" t="s">
        <v>502</v>
      </c>
      <c r="J486" s="41" t="s">
        <v>503</v>
      </c>
      <c r="K486" s="20"/>
    </row>
    <row r="487" customFormat="false" ht="30" hidden="false" customHeight="true" outlineLevel="0" collapsed="false">
      <c r="A487" s="20" t="n">
        <v>484</v>
      </c>
      <c r="B487" s="20" t="s">
        <v>1635</v>
      </c>
      <c r="C487" s="20" t="s">
        <v>1693</v>
      </c>
      <c r="D487" s="20" t="s">
        <v>1694</v>
      </c>
      <c r="E487" s="40" t="n">
        <v>27058</v>
      </c>
      <c r="F487" s="31" t="s">
        <v>194</v>
      </c>
      <c r="G487" s="20" t="str">
        <f aca="false">IFERROR(INDEX('Расчет Кплотн'!$C:$C,MATCH(F487,'Расчет Кплотн'!$A:$A,0)),"код не найден")</f>
        <v>Мангистауский район</v>
      </c>
      <c r="H487" s="20" t="s">
        <v>1665</v>
      </c>
      <c r="I487" s="20" t="s">
        <v>502</v>
      </c>
      <c r="J487" s="41" t="s">
        <v>503</v>
      </c>
      <c r="K487" s="20"/>
    </row>
    <row r="488" customFormat="false" ht="30" hidden="false" customHeight="true" outlineLevel="0" collapsed="false">
      <c r="A488" s="20" t="n">
        <v>485</v>
      </c>
      <c r="B488" s="20" t="s">
        <v>1635</v>
      </c>
      <c r="C488" s="20" t="s">
        <v>1695</v>
      </c>
      <c r="D488" s="20" t="s">
        <v>1696</v>
      </c>
      <c r="E488" s="40" t="n">
        <v>56835</v>
      </c>
      <c r="F488" s="31" t="s">
        <v>192</v>
      </c>
      <c r="G488" s="20" t="str">
        <f aca="false">IFERROR(INDEX('Расчет Кплотн'!$C:$C,MATCH(F488,'Расчет Кплотн'!$A:$A,0)),"код не найден")</f>
        <v>Бейнеуский район</v>
      </c>
      <c r="H488" s="20" t="s">
        <v>1697</v>
      </c>
      <c r="I488" s="20" t="s">
        <v>502</v>
      </c>
      <c r="J488" s="41" t="s">
        <v>503</v>
      </c>
      <c r="K488" s="20"/>
    </row>
    <row r="489" customFormat="false" ht="30" hidden="false" customHeight="true" outlineLevel="0" collapsed="false">
      <c r="A489" s="20" t="n">
        <v>486</v>
      </c>
      <c r="B489" s="20" t="s">
        <v>1635</v>
      </c>
      <c r="C489" s="20" t="s">
        <v>1698</v>
      </c>
      <c r="D489" s="20" t="s">
        <v>1699</v>
      </c>
      <c r="E489" s="40" t="n">
        <v>54536</v>
      </c>
      <c r="F489" s="31" t="s">
        <v>190</v>
      </c>
      <c r="G489" s="20" t="str">
        <f aca="false">IFERROR(INDEX('Расчет Кплотн'!$C:$C,MATCH(F489,'Расчет Кплотн'!$A:$A,0)),"код не найден")</f>
        <v>Актау</v>
      </c>
      <c r="H489" s="20" t="s">
        <v>1644</v>
      </c>
      <c r="I489" s="20" t="s">
        <v>513</v>
      </c>
      <c r="J489" s="41" t="s">
        <v>503</v>
      </c>
      <c r="K489" s="20"/>
    </row>
    <row r="490" customFormat="false" ht="30" hidden="false" customHeight="true" outlineLevel="0" collapsed="false">
      <c r="A490" s="20" t="n">
        <v>487</v>
      </c>
      <c r="B490" s="20" t="s">
        <v>1635</v>
      </c>
      <c r="C490" s="20" t="s">
        <v>1700</v>
      </c>
      <c r="D490" s="20" t="s">
        <v>1701</v>
      </c>
      <c r="E490" s="40" t="n">
        <v>25967</v>
      </c>
      <c r="F490" s="31" t="s">
        <v>196</v>
      </c>
      <c r="G490" s="20" t="str">
        <f aca="false">IFERROR(INDEX('Расчет Кплотн'!$C:$C,MATCH(F490,'Расчет Кплотн'!$A:$A,0)),"код не найден")</f>
        <v>Тупкараганский район</v>
      </c>
      <c r="H490" s="20" t="s">
        <v>1702</v>
      </c>
      <c r="I490" s="20" t="s">
        <v>502</v>
      </c>
      <c r="J490" s="41" t="s">
        <v>503</v>
      </c>
      <c r="K490" s="20"/>
    </row>
    <row r="491" customFormat="false" ht="30" hidden="false" customHeight="true" outlineLevel="0" collapsed="false">
      <c r="A491" s="20" t="n">
        <v>488</v>
      </c>
      <c r="B491" s="20" t="s">
        <v>1635</v>
      </c>
      <c r="C491" s="20" t="s">
        <v>1703</v>
      </c>
      <c r="D491" s="20" t="s">
        <v>1704</v>
      </c>
      <c r="E491" s="40" t="n">
        <v>105286</v>
      </c>
      <c r="F491" s="31" t="s">
        <v>195</v>
      </c>
      <c r="G491" s="20" t="str">
        <f aca="false">IFERROR(INDEX('Расчет Кплотн'!$C:$C,MATCH(F491,'Расчет Кплотн'!$A:$A,0)),"код не найден")</f>
        <v>Мунайлинский район</v>
      </c>
      <c r="H491" s="20" t="s">
        <v>1705</v>
      </c>
      <c r="I491" s="20" t="s">
        <v>502</v>
      </c>
      <c r="J491" s="41" t="s">
        <v>503</v>
      </c>
      <c r="K491" s="20"/>
    </row>
    <row r="492" customFormat="false" ht="30" hidden="false" customHeight="true" outlineLevel="0" collapsed="false">
      <c r="A492" s="20" t="n">
        <v>489</v>
      </c>
      <c r="B492" s="20" t="s">
        <v>1635</v>
      </c>
      <c r="C492" s="20" t="s">
        <v>1706</v>
      </c>
      <c r="D492" s="20" t="s">
        <v>1707</v>
      </c>
      <c r="E492" s="40" t="n">
        <v>25564</v>
      </c>
      <c r="F492" s="31" t="s">
        <v>190</v>
      </c>
      <c r="G492" s="20" t="str">
        <f aca="false">IFERROR(INDEX('Расчет Кплотн'!$C:$C,MATCH(F492,'Расчет Кплотн'!$A:$A,0)),"код не найден")</f>
        <v>Актау</v>
      </c>
      <c r="H492" s="20" t="s">
        <v>1644</v>
      </c>
      <c r="I492" s="20" t="s">
        <v>513</v>
      </c>
      <c r="J492" s="41" t="s">
        <v>503</v>
      </c>
      <c r="K492" s="20"/>
    </row>
    <row r="493" customFormat="false" ht="30" hidden="false" customHeight="true" outlineLevel="0" collapsed="false">
      <c r="A493" s="20" t="n">
        <v>490</v>
      </c>
      <c r="B493" s="20" t="s">
        <v>1635</v>
      </c>
      <c r="C493" s="20" t="s">
        <v>1708</v>
      </c>
      <c r="D493" s="20" t="s">
        <v>1709</v>
      </c>
      <c r="E493" s="40" t="n">
        <v>10330</v>
      </c>
      <c r="F493" s="31" t="s">
        <v>190</v>
      </c>
      <c r="G493" s="20" t="str">
        <f aca="false">IFERROR(INDEX('Расчет Кплотн'!$C:$C,MATCH(F493,'Расчет Кплотн'!$A:$A,0)),"код не найден")</f>
        <v>Актау</v>
      </c>
      <c r="H493" s="20" t="s">
        <v>1644</v>
      </c>
      <c r="I493" s="20" t="s">
        <v>513</v>
      </c>
      <c r="J493" s="41" t="s">
        <v>503</v>
      </c>
      <c r="K493" s="20"/>
    </row>
    <row r="494" customFormat="false" ht="30" hidden="false" customHeight="true" outlineLevel="0" collapsed="false">
      <c r="A494" s="20" t="n">
        <v>491</v>
      </c>
      <c r="B494" s="20" t="s">
        <v>1635</v>
      </c>
      <c r="C494" s="20" t="s">
        <v>1710</v>
      </c>
      <c r="D494" s="20" t="s">
        <v>1711</v>
      </c>
      <c r="E494" s="40" t="n">
        <v>3843</v>
      </c>
      <c r="F494" s="31" t="s">
        <v>190</v>
      </c>
      <c r="G494" s="20" t="str">
        <f aca="false">IFERROR(INDEX('Расчет Кплотн'!$C:$C,MATCH(F494,'Расчет Кплотн'!$A:$A,0)),"код не найден")</f>
        <v>Актау</v>
      </c>
      <c r="H494" s="20" t="s">
        <v>1644</v>
      </c>
      <c r="I494" s="20" t="s">
        <v>513</v>
      </c>
      <c r="J494" s="41" t="s">
        <v>503</v>
      </c>
      <c r="K494" s="20"/>
    </row>
    <row r="495" customFormat="false" ht="30" hidden="false" customHeight="true" outlineLevel="0" collapsed="false">
      <c r="A495" s="20" t="n">
        <v>492</v>
      </c>
      <c r="B495" s="20" t="s">
        <v>1635</v>
      </c>
      <c r="C495" s="20" t="s">
        <v>1712</v>
      </c>
      <c r="D495" s="20" t="s">
        <v>1713</v>
      </c>
      <c r="E495" s="40" t="n">
        <v>2032</v>
      </c>
      <c r="F495" s="31" t="s">
        <v>190</v>
      </c>
      <c r="G495" s="20" t="str">
        <f aca="false">IFERROR(INDEX('Расчет Кплотн'!$C:$C,MATCH(F495,'Расчет Кплотн'!$A:$A,0)),"код не найден")</f>
        <v>Актау</v>
      </c>
      <c r="H495" s="20" t="s">
        <v>1644</v>
      </c>
      <c r="I495" s="20" t="s">
        <v>513</v>
      </c>
      <c r="J495" s="41" t="s">
        <v>503</v>
      </c>
      <c r="K495" s="20"/>
    </row>
    <row r="496" customFormat="false" ht="30" hidden="false" customHeight="true" outlineLevel="0" collapsed="false">
      <c r="A496" s="20" t="n">
        <v>493</v>
      </c>
      <c r="B496" s="20" t="s">
        <v>1635</v>
      </c>
      <c r="C496" s="20" t="s">
        <v>1714</v>
      </c>
      <c r="D496" s="20" t="s">
        <v>1715</v>
      </c>
      <c r="E496" s="40" t="n">
        <v>61784</v>
      </c>
      <c r="F496" s="31" t="s">
        <v>190</v>
      </c>
      <c r="G496" s="20" t="str">
        <f aca="false">IFERROR(INDEX('Расчет Кплотн'!$C:$C,MATCH(F496,'Расчет Кплотн'!$A:$A,0)),"код не найден")</f>
        <v>Актау</v>
      </c>
      <c r="H496" s="20" t="s">
        <v>1644</v>
      </c>
      <c r="I496" s="20" t="s">
        <v>513</v>
      </c>
      <c r="J496" s="41" t="s">
        <v>503</v>
      </c>
      <c r="K496" s="20"/>
    </row>
    <row r="497" customFormat="false" ht="30" hidden="false" customHeight="true" outlineLevel="0" collapsed="false">
      <c r="A497" s="20" t="n">
        <v>494</v>
      </c>
      <c r="B497" s="20" t="s">
        <v>1716</v>
      </c>
      <c r="C497" s="20" t="s">
        <v>1717</v>
      </c>
      <c r="D497" s="20" t="s">
        <v>1718</v>
      </c>
      <c r="E497" s="40" t="n">
        <v>5955</v>
      </c>
      <c r="F497" s="31" t="s">
        <v>197</v>
      </c>
      <c r="G497" s="20" t="str">
        <f aca="false">IFERROR(INDEX('Расчет Кплотн'!$C:$C,MATCH(F497,'Расчет Кплотн'!$A:$A,0)),"код не найден")</f>
        <v>Павлодар</v>
      </c>
      <c r="H497" s="20" t="s">
        <v>1719</v>
      </c>
      <c r="I497" s="20" t="s">
        <v>513</v>
      </c>
      <c r="J497" s="41" t="s">
        <v>503</v>
      </c>
      <c r="K497" s="20"/>
    </row>
    <row r="498" customFormat="false" ht="30" hidden="false" customHeight="true" outlineLevel="0" collapsed="false">
      <c r="A498" s="20" t="n">
        <v>495</v>
      </c>
      <c r="B498" s="20" t="s">
        <v>1716</v>
      </c>
      <c r="C498" s="20" t="s">
        <v>1720</v>
      </c>
      <c r="D498" s="20" t="s">
        <v>1721</v>
      </c>
      <c r="E498" s="40" t="n">
        <v>6328</v>
      </c>
      <c r="F498" s="31" t="s">
        <v>197</v>
      </c>
      <c r="G498" s="20" t="str">
        <f aca="false">IFERROR(INDEX('Расчет Кплотн'!$C:$C,MATCH(F498,'Расчет Кплотн'!$A:$A,0)),"код не найден")</f>
        <v>Павлодар</v>
      </c>
      <c r="H498" s="20" t="s">
        <v>875</v>
      </c>
      <c r="I498" s="20" t="s">
        <v>513</v>
      </c>
      <c r="J498" s="41" t="s">
        <v>503</v>
      </c>
      <c r="K498" s="20"/>
    </row>
    <row r="499" customFormat="false" ht="30" hidden="false" customHeight="true" outlineLevel="0" collapsed="false">
      <c r="A499" s="20" t="n">
        <v>496</v>
      </c>
      <c r="B499" s="20" t="s">
        <v>1716</v>
      </c>
      <c r="C499" s="20" t="s">
        <v>1722</v>
      </c>
      <c r="D499" s="20" t="s">
        <v>1723</v>
      </c>
      <c r="E499" s="40" t="n">
        <v>23482</v>
      </c>
      <c r="F499" s="31" t="s">
        <v>197</v>
      </c>
      <c r="G499" s="20" t="str">
        <f aca="false">IFERROR(INDEX('Расчет Кплотн'!$C:$C,MATCH(F499,'Расчет Кплотн'!$A:$A,0)),"код не найден")</f>
        <v>Павлодар</v>
      </c>
      <c r="H499" s="20" t="s">
        <v>875</v>
      </c>
      <c r="I499" s="20" t="s">
        <v>513</v>
      </c>
      <c r="J499" s="41" t="s">
        <v>503</v>
      </c>
      <c r="K499" s="20"/>
    </row>
    <row r="500" customFormat="false" ht="30" hidden="false" customHeight="true" outlineLevel="0" collapsed="false">
      <c r="A500" s="20" t="n">
        <v>497</v>
      </c>
      <c r="B500" s="20" t="s">
        <v>1716</v>
      </c>
      <c r="C500" s="20" t="s">
        <v>1724</v>
      </c>
      <c r="D500" s="20" t="s">
        <v>1725</v>
      </c>
      <c r="E500" s="40" t="n">
        <v>8988</v>
      </c>
      <c r="F500" s="31" t="s">
        <v>197</v>
      </c>
      <c r="G500" s="20" t="str">
        <f aca="false">IFERROR(INDEX('Расчет Кплотн'!$C:$C,MATCH(F500,'Расчет Кплотн'!$A:$A,0)),"код не найден")</f>
        <v>Павлодар</v>
      </c>
      <c r="H500" s="20" t="s">
        <v>875</v>
      </c>
      <c r="I500" s="20" t="s">
        <v>513</v>
      </c>
      <c r="J500" s="41" t="s">
        <v>503</v>
      </c>
      <c r="K500" s="20"/>
    </row>
    <row r="501" customFormat="false" ht="30" hidden="false" customHeight="true" outlineLevel="0" collapsed="false">
      <c r="A501" s="20" t="n">
        <v>498</v>
      </c>
      <c r="B501" s="20" t="s">
        <v>1716</v>
      </c>
      <c r="C501" s="20" t="s">
        <v>1726</v>
      </c>
      <c r="D501" s="20" t="s">
        <v>1727</v>
      </c>
      <c r="E501" s="40" t="n">
        <v>7001</v>
      </c>
      <c r="F501" s="31" t="s">
        <v>197</v>
      </c>
      <c r="G501" s="20" t="str">
        <f aca="false">IFERROR(INDEX('Расчет Кплотн'!$C:$C,MATCH(F501,'Расчет Кплотн'!$A:$A,0)),"код не найден")</f>
        <v>Павлодар</v>
      </c>
      <c r="H501" s="20" t="s">
        <v>875</v>
      </c>
      <c r="I501" s="20" t="s">
        <v>513</v>
      </c>
      <c r="J501" s="41" t="s">
        <v>503</v>
      </c>
      <c r="K501" s="20"/>
    </row>
    <row r="502" customFormat="false" ht="30" hidden="false" customHeight="true" outlineLevel="0" collapsed="false">
      <c r="A502" s="20" t="n">
        <v>499</v>
      </c>
      <c r="B502" s="20" t="s">
        <v>1716</v>
      </c>
      <c r="C502" s="20" t="s">
        <v>1728</v>
      </c>
      <c r="D502" s="20" t="s">
        <v>1729</v>
      </c>
      <c r="E502" s="40" t="n">
        <v>6969</v>
      </c>
      <c r="F502" s="31" t="s">
        <v>197</v>
      </c>
      <c r="G502" s="20" t="str">
        <f aca="false">IFERROR(INDEX('Расчет Кплотн'!$C:$C,MATCH(F502,'Расчет Кплотн'!$A:$A,0)),"код не найден")</f>
        <v>Павлодар</v>
      </c>
      <c r="H502" s="20" t="s">
        <v>875</v>
      </c>
      <c r="I502" s="20" t="s">
        <v>513</v>
      </c>
      <c r="J502" s="41" t="s">
        <v>503</v>
      </c>
      <c r="K502" s="20"/>
    </row>
    <row r="503" customFormat="false" ht="30" hidden="false" customHeight="true" outlineLevel="0" collapsed="false">
      <c r="A503" s="20" t="n">
        <v>500</v>
      </c>
      <c r="B503" s="20" t="s">
        <v>1716</v>
      </c>
      <c r="C503" s="20" t="s">
        <v>1730</v>
      </c>
      <c r="D503" s="20" t="s">
        <v>1731</v>
      </c>
      <c r="E503" s="40" t="n">
        <v>68458</v>
      </c>
      <c r="F503" s="31" t="s">
        <v>197</v>
      </c>
      <c r="G503" s="20" t="str">
        <f aca="false">IFERROR(INDEX('Расчет Кплотн'!$C:$C,MATCH(F503,'Расчет Кплотн'!$A:$A,0)),"код не найден")</f>
        <v>Павлодар</v>
      </c>
      <c r="H503" s="20" t="s">
        <v>875</v>
      </c>
      <c r="I503" s="20" t="s">
        <v>513</v>
      </c>
      <c r="J503" s="41" t="s">
        <v>503</v>
      </c>
      <c r="K503" s="20"/>
    </row>
    <row r="504" customFormat="false" ht="30" hidden="false" customHeight="true" outlineLevel="0" collapsed="false">
      <c r="A504" s="20" t="n">
        <v>501</v>
      </c>
      <c r="B504" s="20" t="s">
        <v>1716</v>
      </c>
      <c r="C504" s="20" t="s">
        <v>1732</v>
      </c>
      <c r="D504" s="20" t="s">
        <v>1733</v>
      </c>
      <c r="E504" s="40" t="n">
        <v>6436</v>
      </c>
      <c r="F504" s="31" t="s">
        <v>198</v>
      </c>
      <c r="G504" s="20" t="str">
        <f aca="false">IFERROR(INDEX('Расчет Кплотн'!$C:$C,MATCH(F504,'Расчет Кплотн'!$A:$A,0)),"код не найден")</f>
        <v>Аксу</v>
      </c>
      <c r="H504" s="20" t="s">
        <v>1734</v>
      </c>
      <c r="I504" s="20" t="s">
        <v>513</v>
      </c>
      <c r="J504" s="41" t="s">
        <v>503</v>
      </c>
      <c r="K504" s="20"/>
    </row>
    <row r="505" customFormat="false" ht="30" hidden="false" customHeight="true" outlineLevel="0" collapsed="false">
      <c r="A505" s="20" t="n">
        <v>502</v>
      </c>
      <c r="B505" s="20" t="s">
        <v>1716</v>
      </c>
      <c r="C505" s="20" t="s">
        <v>1735</v>
      </c>
      <c r="D505" s="20" t="s">
        <v>1736</v>
      </c>
      <c r="E505" s="40" t="n">
        <v>3485</v>
      </c>
      <c r="F505" s="31" t="s">
        <v>197</v>
      </c>
      <c r="G505" s="20" t="str">
        <f aca="false">IFERROR(INDEX('Расчет Кплотн'!$C:$C,MATCH(F505,'Расчет Кплотн'!$A:$A,0)),"код не найден")</f>
        <v>Павлодар</v>
      </c>
      <c r="H505" s="20" t="s">
        <v>875</v>
      </c>
      <c r="I505" s="20" t="s">
        <v>513</v>
      </c>
      <c r="J505" s="41" t="s">
        <v>503</v>
      </c>
      <c r="K505" s="20"/>
    </row>
    <row r="506" customFormat="false" ht="30" hidden="false" customHeight="true" outlineLevel="0" collapsed="false">
      <c r="A506" s="20" t="n">
        <v>503</v>
      </c>
      <c r="B506" s="20" t="s">
        <v>1716</v>
      </c>
      <c r="C506" s="20" t="s">
        <v>1737</v>
      </c>
      <c r="D506" s="20" t="s">
        <v>1738</v>
      </c>
      <c r="E506" s="40" t="n">
        <v>10161</v>
      </c>
      <c r="F506" s="31" t="s">
        <v>197</v>
      </c>
      <c r="G506" s="20" t="str">
        <f aca="false">IFERROR(INDEX('Расчет Кплотн'!$C:$C,MATCH(F506,'Расчет Кплотн'!$A:$A,0)),"код не найден")</f>
        <v>Павлодар</v>
      </c>
      <c r="H506" s="20" t="s">
        <v>875</v>
      </c>
      <c r="I506" s="20" t="s">
        <v>513</v>
      </c>
      <c r="J506" s="41" t="s">
        <v>503</v>
      </c>
      <c r="K506" s="20"/>
    </row>
    <row r="507" customFormat="false" ht="30" hidden="false" customHeight="true" outlineLevel="0" collapsed="false">
      <c r="A507" s="20" t="n">
        <v>504</v>
      </c>
      <c r="B507" s="20" t="s">
        <v>1716</v>
      </c>
      <c r="C507" s="20" t="s">
        <v>1739</v>
      </c>
      <c r="D507" s="20" t="s">
        <v>1740</v>
      </c>
      <c r="E507" s="40" t="n">
        <v>43269</v>
      </c>
      <c r="F507" s="31" t="s">
        <v>199</v>
      </c>
      <c r="G507" s="20" t="str">
        <f aca="false">IFERROR(INDEX('Расчет Кплотн'!$C:$C,MATCH(F507,'Расчет Кплотн'!$A:$A,0)),"код не найден")</f>
        <v>Экибастуз</v>
      </c>
      <c r="H507" s="20" t="s">
        <v>1741</v>
      </c>
      <c r="I507" s="20" t="s">
        <v>513</v>
      </c>
      <c r="J507" s="41" t="s">
        <v>503</v>
      </c>
      <c r="K507" s="20"/>
    </row>
    <row r="508" customFormat="false" ht="30" hidden="false" customHeight="true" outlineLevel="0" collapsed="false">
      <c r="A508" s="20" t="n">
        <v>505</v>
      </c>
      <c r="B508" s="20" t="s">
        <v>1716</v>
      </c>
      <c r="C508" s="20" t="s">
        <v>1742</v>
      </c>
      <c r="D508" s="20" t="s">
        <v>1743</v>
      </c>
      <c r="E508" s="40" t="n">
        <v>62757</v>
      </c>
      <c r="F508" s="31" t="s">
        <v>197</v>
      </c>
      <c r="G508" s="20" t="str">
        <f aca="false">IFERROR(INDEX('Расчет Кплотн'!$C:$C,MATCH(F508,'Расчет Кплотн'!$A:$A,0)),"код не найден")</f>
        <v>Павлодар</v>
      </c>
      <c r="H508" s="20" t="s">
        <v>875</v>
      </c>
      <c r="I508" s="20" t="s">
        <v>513</v>
      </c>
      <c r="J508" s="41" t="s">
        <v>503</v>
      </c>
      <c r="K508" s="20"/>
    </row>
    <row r="509" customFormat="false" ht="30" hidden="false" customHeight="true" outlineLevel="0" collapsed="false">
      <c r="A509" s="20" t="n">
        <v>506</v>
      </c>
      <c r="B509" s="20" t="s">
        <v>1716</v>
      </c>
      <c r="C509" s="20" t="s">
        <v>1744</v>
      </c>
      <c r="D509" s="20" t="s">
        <v>1745</v>
      </c>
      <c r="E509" s="40" t="n">
        <v>64812</v>
      </c>
      <c r="F509" s="31" t="s">
        <v>197</v>
      </c>
      <c r="G509" s="20" t="str">
        <f aca="false">IFERROR(INDEX('Расчет Кплотн'!$C:$C,MATCH(F509,'Расчет Кплотн'!$A:$A,0)),"код не найден")</f>
        <v>Павлодар</v>
      </c>
      <c r="H509" s="20" t="s">
        <v>875</v>
      </c>
      <c r="I509" s="20" t="s">
        <v>513</v>
      </c>
      <c r="J509" s="41" t="s">
        <v>503</v>
      </c>
      <c r="K509" s="20"/>
    </row>
    <row r="510" customFormat="false" ht="30" hidden="false" customHeight="true" outlineLevel="0" collapsed="false">
      <c r="A510" s="20" t="n">
        <v>507</v>
      </c>
      <c r="B510" s="20" t="s">
        <v>1716</v>
      </c>
      <c r="C510" s="20" t="s">
        <v>1746</v>
      </c>
      <c r="D510" s="20" t="s">
        <v>1747</v>
      </c>
      <c r="E510" s="40" t="n">
        <v>20529</v>
      </c>
      <c r="F510" s="31" t="s">
        <v>197</v>
      </c>
      <c r="G510" s="20" t="str">
        <f aca="false">IFERROR(INDEX('Расчет Кплотн'!$C:$C,MATCH(F510,'Расчет Кплотн'!$A:$A,0)),"код не найден")</f>
        <v>Павлодар</v>
      </c>
      <c r="H510" s="20" t="s">
        <v>875</v>
      </c>
      <c r="I510" s="20" t="s">
        <v>513</v>
      </c>
      <c r="J510" s="41" t="s">
        <v>503</v>
      </c>
      <c r="K510" s="20"/>
    </row>
    <row r="511" customFormat="false" ht="30" hidden="false" customHeight="true" outlineLevel="0" collapsed="false">
      <c r="A511" s="20" t="n">
        <v>508</v>
      </c>
      <c r="B511" s="20" t="s">
        <v>1716</v>
      </c>
      <c r="C511" s="20" t="s">
        <v>1748</v>
      </c>
      <c r="D511" s="20" t="s">
        <v>1749</v>
      </c>
      <c r="E511" s="40" t="n">
        <v>62525</v>
      </c>
      <c r="F511" s="31" t="s">
        <v>198</v>
      </c>
      <c r="G511" s="20" t="str">
        <f aca="false">IFERROR(INDEX('Расчет Кплотн'!$C:$C,MATCH(F511,'Расчет Кплотн'!$A:$A,0)),"код не найден")</f>
        <v>Аксу</v>
      </c>
      <c r="H511" s="20" t="s">
        <v>1734</v>
      </c>
      <c r="I511" s="20" t="s">
        <v>513</v>
      </c>
      <c r="J511" s="41" t="s">
        <v>503</v>
      </c>
      <c r="K511" s="20"/>
    </row>
    <row r="512" customFormat="false" ht="30" hidden="false" customHeight="true" outlineLevel="0" collapsed="false">
      <c r="A512" s="20" t="n">
        <v>509</v>
      </c>
      <c r="B512" s="20" t="s">
        <v>1716</v>
      </c>
      <c r="C512" s="20" t="s">
        <v>1750</v>
      </c>
      <c r="D512" s="20" t="s">
        <v>1751</v>
      </c>
      <c r="E512" s="40" t="n">
        <v>12345</v>
      </c>
      <c r="F512" s="31" t="s">
        <v>202</v>
      </c>
      <c r="G512" s="20" t="str">
        <f aca="false">IFERROR(INDEX('Расчет Кплотн'!$C:$C,MATCH(F512,'Расчет Кплотн'!$A:$A,0)),"код не найден")</f>
        <v>Железинский район</v>
      </c>
      <c r="H512" s="20" t="s">
        <v>1752</v>
      </c>
      <c r="I512" s="20" t="s">
        <v>502</v>
      </c>
      <c r="J512" s="41" t="s">
        <v>503</v>
      </c>
      <c r="K512" s="20"/>
    </row>
    <row r="513" customFormat="false" ht="30" hidden="false" customHeight="true" outlineLevel="0" collapsed="false">
      <c r="A513" s="20" t="n">
        <v>510</v>
      </c>
      <c r="B513" s="20" t="s">
        <v>1716</v>
      </c>
      <c r="C513" s="20" t="s">
        <v>1753</v>
      </c>
      <c r="D513" s="20" t="s">
        <v>1754</v>
      </c>
      <c r="E513" s="40" t="n">
        <v>52486</v>
      </c>
      <c r="F513" s="31" t="s">
        <v>197</v>
      </c>
      <c r="G513" s="20" t="str">
        <f aca="false">IFERROR(INDEX('Расчет Кплотн'!$C:$C,MATCH(F513,'Расчет Кплотн'!$A:$A,0)),"код не найден")</f>
        <v>Павлодар</v>
      </c>
      <c r="H513" s="20" t="s">
        <v>875</v>
      </c>
      <c r="I513" s="20" t="s">
        <v>513</v>
      </c>
      <c r="J513" s="41" t="s">
        <v>503</v>
      </c>
      <c r="K513" s="20"/>
    </row>
    <row r="514" customFormat="false" ht="30" hidden="false" customHeight="true" outlineLevel="0" collapsed="false">
      <c r="A514" s="20" t="n">
        <v>511</v>
      </c>
      <c r="B514" s="20" t="s">
        <v>1716</v>
      </c>
      <c r="C514" s="20" t="s">
        <v>1755</v>
      </c>
      <c r="D514" s="20" t="s">
        <v>1756</v>
      </c>
      <c r="E514" s="40" t="n">
        <v>16227</v>
      </c>
      <c r="F514" s="31" t="s">
        <v>209</v>
      </c>
      <c r="G514" s="20" t="str">
        <f aca="false">IFERROR(INDEX('Расчет Кплотн'!$C:$C,MATCH(F514,'Расчет Кплотн'!$A:$A,0)),"код не найден")</f>
        <v>Щербактинский район</v>
      </c>
      <c r="H514" s="20" t="s">
        <v>1757</v>
      </c>
      <c r="I514" s="20" t="s">
        <v>502</v>
      </c>
      <c r="J514" s="41" t="s">
        <v>503</v>
      </c>
      <c r="K514" s="20"/>
    </row>
    <row r="515" customFormat="false" ht="30" hidden="false" customHeight="true" outlineLevel="0" collapsed="false">
      <c r="A515" s="20" t="n">
        <v>512</v>
      </c>
      <c r="B515" s="20" t="s">
        <v>1716</v>
      </c>
      <c r="C515" s="20" t="s">
        <v>1758</v>
      </c>
      <c r="D515" s="20" t="s">
        <v>1759</v>
      </c>
      <c r="E515" s="40" t="n">
        <v>9687</v>
      </c>
      <c r="F515" s="31" t="s">
        <v>200</v>
      </c>
      <c r="G515" s="20" t="str">
        <f aca="false">IFERROR(INDEX('Расчет Кплотн'!$C:$C,MATCH(F515,'Расчет Кплотн'!$A:$A,0)),"код не найден")</f>
        <v>Актогайский район</v>
      </c>
      <c r="H515" s="20" t="s">
        <v>1760</v>
      </c>
      <c r="I515" s="20" t="s">
        <v>502</v>
      </c>
      <c r="J515" s="41" t="s">
        <v>503</v>
      </c>
      <c r="K515" s="20"/>
    </row>
    <row r="516" customFormat="false" ht="30" hidden="false" customHeight="true" outlineLevel="0" collapsed="false">
      <c r="A516" s="20" t="n">
        <v>513</v>
      </c>
      <c r="B516" s="20" t="s">
        <v>1716</v>
      </c>
      <c r="C516" s="20" t="s">
        <v>1761</v>
      </c>
      <c r="D516" s="20" t="s">
        <v>1762</v>
      </c>
      <c r="E516" s="40" t="n">
        <v>19932</v>
      </c>
      <c r="F516" s="31" t="s">
        <v>201</v>
      </c>
      <c r="G516" s="20" t="str">
        <f aca="false">IFERROR(INDEX('Расчет Кплотн'!$C:$C,MATCH(F516,'Расчет Кплотн'!$A:$A,0)),"код не найден")</f>
        <v>Баянаульский район</v>
      </c>
      <c r="H516" s="20" t="s">
        <v>1763</v>
      </c>
      <c r="I516" s="20" t="s">
        <v>502</v>
      </c>
      <c r="J516" s="41" t="s">
        <v>503</v>
      </c>
      <c r="K516" s="20"/>
    </row>
    <row r="517" customFormat="false" ht="30" hidden="false" customHeight="true" outlineLevel="0" collapsed="false">
      <c r="A517" s="20" t="n">
        <v>514</v>
      </c>
      <c r="B517" s="20" t="s">
        <v>1716</v>
      </c>
      <c r="C517" s="20" t="s">
        <v>1764</v>
      </c>
      <c r="D517" s="20" t="s">
        <v>1765</v>
      </c>
      <c r="E517" s="40" t="n">
        <v>10635</v>
      </c>
      <c r="F517" s="31" t="s">
        <v>208</v>
      </c>
      <c r="G517" s="20" t="str">
        <f aca="false">IFERROR(INDEX('Расчет Кплотн'!$C:$C,MATCH(F517,'Расчет Кплотн'!$A:$A,0)),"код не найден")</f>
        <v>Успенский район</v>
      </c>
      <c r="H517" s="20" t="s">
        <v>1766</v>
      </c>
      <c r="I517" s="20" t="s">
        <v>502</v>
      </c>
      <c r="J517" s="41" t="s">
        <v>503</v>
      </c>
      <c r="K517" s="20"/>
    </row>
    <row r="518" customFormat="false" ht="30" hidden="false" customHeight="true" outlineLevel="0" collapsed="false">
      <c r="A518" s="20" t="n">
        <v>515</v>
      </c>
      <c r="B518" s="20" t="s">
        <v>1716</v>
      </c>
      <c r="C518" s="20" t="s">
        <v>1767</v>
      </c>
      <c r="D518" s="20" t="s">
        <v>1768</v>
      </c>
      <c r="E518" s="40" t="n">
        <v>16916</v>
      </c>
      <c r="F518" s="31" t="s">
        <v>204</v>
      </c>
      <c r="G518" s="20" t="str">
        <f aca="false">IFERROR(INDEX('Расчет Кплотн'!$C:$C,MATCH(F518,'Расчет Кплотн'!$A:$A,0)),"код не найден")</f>
        <v>район Тереңкөл</v>
      </c>
      <c r="H518" s="20" t="s">
        <v>1769</v>
      </c>
      <c r="I518" s="20" t="s">
        <v>502</v>
      </c>
      <c r="J518" s="41" t="s">
        <v>503</v>
      </c>
      <c r="K518" s="20"/>
    </row>
    <row r="519" customFormat="false" ht="30" hidden="false" customHeight="true" outlineLevel="0" collapsed="false">
      <c r="A519" s="20" t="n">
        <v>516</v>
      </c>
      <c r="B519" s="20" t="s">
        <v>1716</v>
      </c>
      <c r="C519" s="20" t="s">
        <v>1770</v>
      </c>
      <c r="D519" s="20" t="s">
        <v>1771</v>
      </c>
      <c r="E519" s="40" t="n">
        <v>8245</v>
      </c>
      <c r="F519" s="31" t="s">
        <v>206</v>
      </c>
      <c r="G519" s="20" t="str">
        <f aca="false">IFERROR(INDEX('Расчет Кплотн'!$C:$C,MATCH(F519,'Расчет Кплотн'!$A:$A,0)),"код не найден")</f>
        <v>Майский район</v>
      </c>
      <c r="H519" s="20" t="s">
        <v>1772</v>
      </c>
      <c r="I519" s="20" t="s">
        <v>502</v>
      </c>
      <c r="J519" s="41" t="s">
        <v>503</v>
      </c>
      <c r="K519" s="20"/>
    </row>
    <row r="520" customFormat="false" ht="30" hidden="false" customHeight="true" outlineLevel="0" collapsed="false">
      <c r="A520" s="20" t="n">
        <v>517</v>
      </c>
      <c r="B520" s="20" t="s">
        <v>1716</v>
      </c>
      <c r="C520" s="20" t="s">
        <v>1773</v>
      </c>
      <c r="D520" s="20" t="s">
        <v>1774</v>
      </c>
      <c r="E520" s="40" t="n">
        <v>51366</v>
      </c>
      <c r="F520" s="31" t="s">
        <v>197</v>
      </c>
      <c r="G520" s="20" t="str">
        <f aca="false">IFERROR(INDEX('Расчет Кплотн'!$C:$C,MATCH(F520,'Расчет Кплотн'!$A:$A,0)),"код не найден")</f>
        <v>Павлодар</v>
      </c>
      <c r="H520" s="20" t="s">
        <v>875</v>
      </c>
      <c r="I520" s="20" t="s">
        <v>513</v>
      </c>
      <c r="J520" s="41" t="s">
        <v>503</v>
      </c>
      <c r="K520" s="20"/>
    </row>
    <row r="521" customFormat="false" ht="30" hidden="false" customHeight="true" outlineLevel="0" collapsed="false">
      <c r="A521" s="20" t="n">
        <v>518</v>
      </c>
      <c r="B521" s="20" t="s">
        <v>1716</v>
      </c>
      <c r="C521" s="20" t="s">
        <v>1775</v>
      </c>
      <c r="D521" s="20" t="s">
        <v>1776</v>
      </c>
      <c r="E521" s="40" t="n">
        <v>23193</v>
      </c>
      <c r="F521" s="31" t="s">
        <v>207</v>
      </c>
      <c r="G521" s="20" t="str">
        <f aca="false">IFERROR(INDEX('Расчет Кплотн'!$C:$C,MATCH(F521,'Расчет Кплотн'!$A:$A,0)),"код не найден")</f>
        <v>Павлодарский район</v>
      </c>
      <c r="H521" s="20" t="s">
        <v>875</v>
      </c>
      <c r="I521" s="20" t="s">
        <v>502</v>
      </c>
      <c r="J521" s="41" t="s">
        <v>1777</v>
      </c>
      <c r="K521" s="20"/>
    </row>
    <row r="522" customFormat="false" ht="30" hidden="false" customHeight="true" outlineLevel="0" collapsed="false">
      <c r="A522" s="20" t="n">
        <v>519</v>
      </c>
      <c r="B522" s="20" t="s">
        <v>1716</v>
      </c>
      <c r="C522" s="20" t="s">
        <v>1778</v>
      </c>
      <c r="D522" s="20" t="s">
        <v>1779</v>
      </c>
      <c r="E522" s="40" t="n">
        <v>13793</v>
      </c>
      <c r="F522" s="31" t="s">
        <v>203</v>
      </c>
      <c r="G522" s="20" t="str">
        <f aca="false">IFERROR(INDEX('Расчет Кплотн'!$C:$C,MATCH(F522,'Расчет Кплотн'!$A:$A,0)),"код не найден")</f>
        <v>Иртышский район</v>
      </c>
      <c r="H522" s="20" t="s">
        <v>1780</v>
      </c>
      <c r="I522" s="20" t="s">
        <v>502</v>
      </c>
      <c r="J522" s="41" t="s">
        <v>503</v>
      </c>
      <c r="K522" s="20"/>
    </row>
    <row r="523" customFormat="false" ht="30" hidden="false" customHeight="true" outlineLevel="0" collapsed="false">
      <c r="A523" s="20" t="n">
        <v>520</v>
      </c>
      <c r="B523" s="20" t="s">
        <v>1716</v>
      </c>
      <c r="C523" s="20" t="s">
        <v>1781</v>
      </c>
      <c r="D523" s="20" t="s">
        <v>1782</v>
      </c>
      <c r="E523" s="40" t="n">
        <v>9437</v>
      </c>
      <c r="F523" s="31" t="s">
        <v>205</v>
      </c>
      <c r="G523" s="20" t="str">
        <f aca="false">IFERROR(INDEX('Расчет Кплотн'!$C:$C,MATCH(F523,'Расчет Кплотн'!$A:$A,0)),"код не найден")</f>
        <v>район Аққулы</v>
      </c>
      <c r="H523" s="20" t="s">
        <v>1783</v>
      </c>
      <c r="I523" s="20" t="s">
        <v>502</v>
      </c>
      <c r="J523" s="41" t="s">
        <v>503</v>
      </c>
      <c r="K523" s="20"/>
    </row>
    <row r="524" customFormat="false" ht="30" hidden="false" customHeight="true" outlineLevel="0" collapsed="false">
      <c r="A524" s="20" t="n">
        <v>521</v>
      </c>
      <c r="B524" s="20" t="s">
        <v>1784</v>
      </c>
      <c r="C524" s="20" t="s">
        <v>1785</v>
      </c>
      <c r="D524" s="20" t="s">
        <v>1786</v>
      </c>
      <c r="E524" s="40" t="n">
        <v>16075</v>
      </c>
      <c r="F524" s="31" t="s">
        <v>217</v>
      </c>
      <c r="G524" s="20" t="str">
        <f aca="false">IFERROR(INDEX('Расчет Кплотн'!$C:$C,MATCH(F524,'Расчет Кплотн'!$A:$A,0)),"код не найден")</f>
        <v>Мамлютский район</v>
      </c>
      <c r="H524" s="20" t="s">
        <v>1787</v>
      </c>
      <c r="I524" s="20" t="s">
        <v>502</v>
      </c>
      <c r="J524" s="41" t="s">
        <v>503</v>
      </c>
      <c r="K524" s="20"/>
    </row>
    <row r="525" customFormat="false" ht="30" hidden="false" customHeight="true" outlineLevel="0" collapsed="false">
      <c r="A525" s="20" t="n">
        <v>522</v>
      </c>
      <c r="B525" s="20" t="s">
        <v>1784</v>
      </c>
      <c r="C525" s="20" t="s">
        <v>1788</v>
      </c>
      <c r="D525" s="20" t="s">
        <v>1789</v>
      </c>
      <c r="E525" s="40" t="n">
        <v>30200</v>
      </c>
      <c r="F525" s="31" t="s">
        <v>210</v>
      </c>
      <c r="G525" s="20" t="str">
        <f aca="false">IFERROR(INDEX('Расчет Кплотн'!$C:$C,MATCH(F525,'Расчет Кплотн'!$A:$A,0)),"код не найден")</f>
        <v>Петропавловск</v>
      </c>
      <c r="H525" s="20" t="s">
        <v>1790</v>
      </c>
      <c r="I525" s="20" t="s">
        <v>513</v>
      </c>
      <c r="J525" s="41" t="s">
        <v>503</v>
      </c>
      <c r="K525" s="20"/>
    </row>
    <row r="526" customFormat="false" ht="30" hidden="false" customHeight="true" outlineLevel="0" collapsed="false">
      <c r="A526" s="20" t="n">
        <v>523</v>
      </c>
      <c r="B526" s="20" t="s">
        <v>1784</v>
      </c>
      <c r="C526" s="20" t="s">
        <v>1791</v>
      </c>
      <c r="D526" s="20" t="s">
        <v>1792</v>
      </c>
      <c r="E526" s="40" t="n">
        <v>16220</v>
      </c>
      <c r="F526" s="31" t="s">
        <v>210</v>
      </c>
      <c r="G526" s="20" t="str">
        <f aca="false">IFERROR(INDEX('Расчет Кплотн'!$C:$C,MATCH(F526,'Расчет Кплотн'!$A:$A,0)),"код не найден")</f>
        <v>Петропавловск</v>
      </c>
      <c r="H526" s="20" t="s">
        <v>1790</v>
      </c>
      <c r="I526" s="20" t="s">
        <v>513</v>
      </c>
      <c r="J526" s="41" t="s">
        <v>503</v>
      </c>
      <c r="K526" s="20"/>
    </row>
    <row r="527" customFormat="false" ht="30" hidden="false" customHeight="true" outlineLevel="0" collapsed="false">
      <c r="A527" s="20" t="n">
        <v>524</v>
      </c>
      <c r="B527" s="20" t="s">
        <v>1784</v>
      </c>
      <c r="C527" s="20" t="s">
        <v>1793</v>
      </c>
      <c r="D527" s="20" t="s">
        <v>1794</v>
      </c>
      <c r="E527" s="40" t="n">
        <v>17842</v>
      </c>
      <c r="F527" s="31" t="s">
        <v>210</v>
      </c>
      <c r="G527" s="20" t="str">
        <f aca="false">IFERROR(INDEX('Расчет Кплотн'!$C:$C,MATCH(F527,'Расчет Кплотн'!$A:$A,0)),"код не найден")</f>
        <v>Петропавловск</v>
      </c>
      <c r="H527" s="20" t="s">
        <v>1790</v>
      </c>
      <c r="I527" s="20" t="s">
        <v>513</v>
      </c>
      <c r="J527" s="41" t="s">
        <v>503</v>
      </c>
      <c r="K527" s="20"/>
    </row>
    <row r="528" customFormat="false" ht="30" hidden="false" customHeight="true" outlineLevel="0" collapsed="false">
      <c r="A528" s="20" t="n">
        <v>525</v>
      </c>
      <c r="B528" s="20" t="s">
        <v>1784</v>
      </c>
      <c r="C528" s="20" t="s">
        <v>1795</v>
      </c>
      <c r="D528" s="20" t="s">
        <v>1796</v>
      </c>
      <c r="E528" s="40" t="n">
        <v>24484</v>
      </c>
      <c r="F528" s="31" t="s">
        <v>213</v>
      </c>
      <c r="G528" s="20" t="str">
        <f aca="false">IFERROR(INDEX('Расчет Кплотн'!$C:$C,MATCH(F528,'Расчет Кплотн'!$A:$A,0)),"код не найден")</f>
        <v>Район Магжана Жумабаева</v>
      </c>
      <c r="H528" s="20" t="s">
        <v>1797</v>
      </c>
      <c r="I528" s="20" t="s">
        <v>502</v>
      </c>
      <c r="J528" s="41" t="s">
        <v>503</v>
      </c>
      <c r="K528" s="20"/>
    </row>
    <row r="529" customFormat="false" ht="30" hidden="false" customHeight="true" outlineLevel="0" collapsed="false">
      <c r="A529" s="20" t="n">
        <v>526</v>
      </c>
      <c r="B529" s="20" t="s">
        <v>1784</v>
      </c>
      <c r="C529" s="20" t="s">
        <v>1798</v>
      </c>
      <c r="D529" s="20" t="s">
        <v>1799</v>
      </c>
      <c r="E529" s="40" t="n">
        <v>64413</v>
      </c>
      <c r="F529" s="31" t="s">
        <v>210</v>
      </c>
      <c r="G529" s="20" t="str">
        <f aca="false">IFERROR(INDEX('Расчет Кплотн'!$C:$C,MATCH(F529,'Расчет Кплотн'!$A:$A,0)),"код не найден")</f>
        <v>Петропавловск</v>
      </c>
      <c r="H529" s="20" t="s">
        <v>1790</v>
      </c>
      <c r="I529" s="20" t="s">
        <v>513</v>
      </c>
      <c r="J529" s="41" t="s">
        <v>503</v>
      </c>
      <c r="K529" s="20"/>
    </row>
    <row r="530" customFormat="false" ht="30" hidden="false" customHeight="true" outlineLevel="0" collapsed="false">
      <c r="A530" s="20" t="n">
        <v>527</v>
      </c>
      <c r="B530" s="20" t="s">
        <v>1784</v>
      </c>
      <c r="C530" s="20" t="s">
        <v>1800</v>
      </c>
      <c r="D530" s="20" t="s">
        <v>1801</v>
      </c>
      <c r="E530" s="40" t="n">
        <v>19659</v>
      </c>
      <c r="F530" s="31" t="s">
        <v>214</v>
      </c>
      <c r="G530" s="20" t="str">
        <f aca="false">IFERROR(INDEX('Расчет Кплотн'!$C:$C,MATCH(F530,'Расчет Кплотн'!$A:$A,0)),"код не найден")</f>
        <v>Есильский район</v>
      </c>
      <c r="H530" s="20" t="s">
        <v>1802</v>
      </c>
      <c r="I530" s="20" t="s">
        <v>502</v>
      </c>
      <c r="J530" s="41" t="s">
        <v>503</v>
      </c>
      <c r="K530" s="20"/>
    </row>
    <row r="531" customFormat="false" ht="30" hidden="false" customHeight="true" outlineLevel="0" collapsed="false">
      <c r="A531" s="20" t="n">
        <v>528</v>
      </c>
      <c r="B531" s="20" t="s">
        <v>1784</v>
      </c>
      <c r="C531" s="20" t="s">
        <v>1803</v>
      </c>
      <c r="D531" s="20" t="s">
        <v>1804</v>
      </c>
      <c r="E531" s="40" t="n">
        <v>16284</v>
      </c>
      <c r="F531" s="31" t="s">
        <v>218</v>
      </c>
      <c r="G531" s="20" t="str">
        <f aca="false">IFERROR(INDEX('Расчет Кплотн'!$C:$C,MATCH(F531,'Расчет Кплотн'!$A:$A,0)),"код не найден")</f>
        <v>Район Шал акына</v>
      </c>
      <c r="H531" s="20" t="s">
        <v>1805</v>
      </c>
      <c r="I531" s="20" t="s">
        <v>502</v>
      </c>
      <c r="J531" s="41" t="s">
        <v>503</v>
      </c>
      <c r="K531" s="20"/>
    </row>
    <row r="532" customFormat="false" ht="30" hidden="false" customHeight="true" outlineLevel="0" collapsed="false">
      <c r="A532" s="20" t="n">
        <v>529</v>
      </c>
      <c r="B532" s="20" t="s">
        <v>1784</v>
      </c>
      <c r="C532" s="20" t="s">
        <v>1806</v>
      </c>
      <c r="D532" s="20" t="s">
        <v>1807</v>
      </c>
      <c r="E532" s="40" t="n">
        <v>50988</v>
      </c>
      <c r="F532" s="31" t="s">
        <v>210</v>
      </c>
      <c r="G532" s="20" t="str">
        <f aca="false">IFERROR(INDEX('Расчет Кплотн'!$C:$C,MATCH(F532,'Расчет Кплотн'!$A:$A,0)),"код не найден")</f>
        <v>Петропавловск</v>
      </c>
      <c r="H532" s="20" t="s">
        <v>1790</v>
      </c>
      <c r="I532" s="20" t="s">
        <v>513</v>
      </c>
      <c r="J532" s="41" t="s">
        <v>503</v>
      </c>
      <c r="K532" s="20"/>
    </row>
    <row r="533" customFormat="false" ht="30" hidden="false" customHeight="true" outlineLevel="0" collapsed="false">
      <c r="A533" s="20" t="n">
        <v>530</v>
      </c>
      <c r="B533" s="20" t="s">
        <v>1784</v>
      </c>
      <c r="C533" s="20" t="s">
        <v>1808</v>
      </c>
      <c r="D533" s="20" t="s">
        <v>1809</v>
      </c>
      <c r="E533" s="40" t="n">
        <v>40610</v>
      </c>
      <c r="F533" s="31" t="s">
        <v>216</v>
      </c>
      <c r="G533" s="20" t="str">
        <f aca="false">IFERROR(INDEX('Расчет Кплотн'!$C:$C,MATCH(F533,'Расчет Кплотн'!$A:$A,0)),"код не найден")</f>
        <v>Кызылжарский район</v>
      </c>
      <c r="H533" s="20" t="s">
        <v>1810</v>
      </c>
      <c r="I533" s="20" t="s">
        <v>502</v>
      </c>
      <c r="J533" s="41" t="s">
        <v>503</v>
      </c>
      <c r="K533" s="20"/>
    </row>
    <row r="534" customFormat="false" ht="30" hidden="false" customHeight="true" outlineLevel="0" collapsed="false">
      <c r="A534" s="20" t="n">
        <v>531</v>
      </c>
      <c r="B534" s="20" t="s">
        <v>1784</v>
      </c>
      <c r="C534" s="20" t="s">
        <v>1811</v>
      </c>
      <c r="D534" s="20" t="s">
        <v>1812</v>
      </c>
      <c r="E534" s="40" t="n">
        <v>29949</v>
      </c>
      <c r="F534" s="31" t="s">
        <v>211</v>
      </c>
      <c r="G534" s="20" t="str">
        <f aca="false">IFERROR(INDEX('Расчет Кплотн'!$C:$C,MATCH(F534,'Расчет Кплотн'!$A:$A,0)),"код не найден")</f>
        <v>Айыртауский район</v>
      </c>
      <c r="H534" s="20" t="s">
        <v>1813</v>
      </c>
      <c r="I534" s="20" t="s">
        <v>502</v>
      </c>
      <c r="J534" s="41" t="s">
        <v>503</v>
      </c>
      <c r="K534" s="20"/>
    </row>
    <row r="535" customFormat="false" ht="30" hidden="false" customHeight="true" outlineLevel="0" collapsed="false">
      <c r="A535" s="20" t="n">
        <v>532</v>
      </c>
      <c r="B535" s="20" t="s">
        <v>1784</v>
      </c>
      <c r="C535" s="20" t="s">
        <v>1814</v>
      </c>
      <c r="D535" s="20" t="s">
        <v>1815</v>
      </c>
      <c r="E535" s="40" t="n">
        <v>8743</v>
      </c>
      <c r="F535" s="31" t="s">
        <v>221</v>
      </c>
      <c r="G535" s="20" t="str">
        <f aca="false">IFERROR(INDEX('Расчет Кплотн'!$C:$C,MATCH(F535,'Расчет Кплотн'!$A:$A,0)),"код не найден")</f>
        <v>Тимирязевский район</v>
      </c>
      <c r="H535" s="20" t="s">
        <v>1816</v>
      </c>
      <c r="I535" s="20" t="s">
        <v>502</v>
      </c>
      <c r="J535" s="41" t="s">
        <v>503</v>
      </c>
      <c r="K535" s="20"/>
    </row>
    <row r="536" customFormat="false" ht="30" hidden="false" customHeight="true" outlineLevel="0" collapsed="false">
      <c r="A536" s="20" t="n">
        <v>533</v>
      </c>
      <c r="B536" s="20" t="s">
        <v>1784</v>
      </c>
      <c r="C536" s="20" t="s">
        <v>1817</v>
      </c>
      <c r="D536" s="20" t="s">
        <v>1818</v>
      </c>
      <c r="E536" s="40" t="n">
        <v>16177</v>
      </c>
      <c r="F536" s="31" t="s">
        <v>215</v>
      </c>
      <c r="G536" s="20" t="str">
        <f aca="false">IFERROR(INDEX('Расчет Кплотн'!$C:$C,MATCH(F536,'Расчет Кплотн'!$A:$A,0)),"код не найден")</f>
        <v>Жамбылский район</v>
      </c>
      <c r="H536" s="20" t="s">
        <v>1819</v>
      </c>
      <c r="I536" s="20" t="s">
        <v>502</v>
      </c>
      <c r="J536" s="41" t="s">
        <v>503</v>
      </c>
      <c r="K536" s="20"/>
    </row>
    <row r="537" customFormat="false" ht="30" hidden="false" customHeight="true" outlineLevel="0" collapsed="false">
      <c r="A537" s="20" t="n">
        <v>534</v>
      </c>
      <c r="B537" s="20" t="s">
        <v>1784</v>
      </c>
      <c r="C537" s="20" t="s">
        <v>1820</v>
      </c>
      <c r="D537" s="20" t="s">
        <v>1821</v>
      </c>
      <c r="E537" s="40" t="n">
        <v>16837</v>
      </c>
      <c r="F537" s="31" t="s">
        <v>219</v>
      </c>
      <c r="G537" s="20" t="str">
        <f aca="false">IFERROR(INDEX('Расчет Кплотн'!$C:$C,MATCH(F537,'Расчет Кплотн'!$A:$A,0)),"код не найден")</f>
        <v>Аккайынский район</v>
      </c>
      <c r="H537" s="20" t="s">
        <v>1822</v>
      </c>
      <c r="I537" s="20" t="s">
        <v>502</v>
      </c>
      <c r="J537" s="41" t="s">
        <v>503</v>
      </c>
      <c r="K537" s="20"/>
    </row>
    <row r="538" customFormat="false" ht="30" hidden="false" customHeight="true" outlineLevel="0" collapsed="false">
      <c r="A538" s="20" t="n">
        <v>535</v>
      </c>
      <c r="B538" s="20" t="s">
        <v>1784</v>
      </c>
      <c r="C538" s="20" t="s">
        <v>1823</v>
      </c>
      <c r="D538" s="20" t="s">
        <v>1824</v>
      </c>
      <c r="E538" s="40" t="n">
        <v>10965</v>
      </c>
      <c r="F538" s="31" t="s">
        <v>222</v>
      </c>
      <c r="G538" s="20" t="str">
        <f aca="false">IFERROR(INDEX('Расчет Кплотн'!$C:$C,MATCH(F538,'Расчет Кплотн'!$A:$A,0)),"код не найден")</f>
        <v>Уалихановский район</v>
      </c>
      <c r="H538" s="20" t="s">
        <v>1825</v>
      </c>
      <c r="I538" s="20" t="s">
        <v>502</v>
      </c>
      <c r="J538" s="41" t="s">
        <v>503</v>
      </c>
      <c r="K538" s="20"/>
    </row>
    <row r="539" customFormat="false" ht="30" hidden="false" customHeight="true" outlineLevel="0" collapsed="false">
      <c r="A539" s="20" t="n">
        <v>536</v>
      </c>
      <c r="B539" s="20" t="s">
        <v>1784</v>
      </c>
      <c r="C539" s="20" t="s">
        <v>1826</v>
      </c>
      <c r="D539" s="20" t="s">
        <v>1827</v>
      </c>
      <c r="E539" s="40" t="n">
        <v>37235</v>
      </c>
      <c r="F539" s="31" t="s">
        <v>220</v>
      </c>
      <c r="G539" s="20" t="str">
        <f aca="false">IFERROR(INDEX('Расчет Кплотн'!$C:$C,MATCH(F539,'Расчет Кплотн'!$A:$A,0)),"код не найден")</f>
        <v>Тайыншинский район</v>
      </c>
      <c r="H539" s="20" t="s">
        <v>1828</v>
      </c>
      <c r="I539" s="20" t="s">
        <v>502</v>
      </c>
      <c r="J539" s="41" t="s">
        <v>503</v>
      </c>
      <c r="K539" s="20"/>
    </row>
    <row r="540" customFormat="false" ht="30" hidden="false" customHeight="true" outlineLevel="0" collapsed="false">
      <c r="A540" s="20" t="n">
        <v>537</v>
      </c>
      <c r="B540" s="20" t="s">
        <v>1784</v>
      </c>
      <c r="C540" s="20" t="s">
        <v>1829</v>
      </c>
      <c r="D540" s="20" t="s">
        <v>1830</v>
      </c>
      <c r="E540" s="40" t="n">
        <v>33678</v>
      </c>
      <c r="F540" s="31" t="s">
        <v>223</v>
      </c>
      <c r="G540" s="20" t="str">
        <f aca="false">IFERROR(INDEX('Расчет Кплотн'!$C:$C,MATCH(F540,'Расчет Кплотн'!$A:$A,0)),"код не найден")</f>
        <v>Район им.Габита Мусрепова</v>
      </c>
      <c r="H540" s="20" t="s">
        <v>1831</v>
      </c>
      <c r="I540" s="20" t="s">
        <v>502</v>
      </c>
      <c r="J540" s="41" t="s">
        <v>503</v>
      </c>
      <c r="K540" s="20"/>
    </row>
    <row r="541" customFormat="false" ht="30" hidden="false" customHeight="true" outlineLevel="0" collapsed="false">
      <c r="A541" s="20" t="n">
        <v>538</v>
      </c>
      <c r="B541" s="20" t="s">
        <v>1784</v>
      </c>
      <c r="C541" s="20" t="s">
        <v>1832</v>
      </c>
      <c r="D541" s="20" t="s">
        <v>1833</v>
      </c>
      <c r="E541" s="40" t="n">
        <v>11276</v>
      </c>
      <c r="F541" s="31" t="s">
        <v>212</v>
      </c>
      <c r="G541" s="20" t="str">
        <f aca="false">IFERROR(INDEX('Расчет Кплотн'!$C:$C,MATCH(F541,'Расчет Кплотн'!$A:$A,0)),"код не найден")</f>
        <v>Акжарский район</v>
      </c>
      <c r="H541" s="20" t="s">
        <v>1834</v>
      </c>
      <c r="I541" s="20" t="s">
        <v>502</v>
      </c>
      <c r="J541" s="41" t="s">
        <v>503</v>
      </c>
      <c r="K541" s="20"/>
    </row>
    <row r="542" customFormat="false" ht="30" hidden="false" customHeight="true" outlineLevel="0" collapsed="false">
      <c r="A542" s="20" t="n">
        <v>539</v>
      </c>
      <c r="B542" s="20" t="s">
        <v>1784</v>
      </c>
      <c r="C542" s="20" t="s">
        <v>1835</v>
      </c>
      <c r="D542" s="20" t="s">
        <v>1836</v>
      </c>
      <c r="E542" s="40" t="n">
        <v>63518</v>
      </c>
      <c r="F542" s="31" t="s">
        <v>210</v>
      </c>
      <c r="G542" s="20" t="str">
        <f aca="false">IFERROR(INDEX('Расчет Кплотн'!$C:$C,MATCH(F542,'Расчет Кплотн'!$A:$A,0)),"код не найден")</f>
        <v>Петропавловск</v>
      </c>
      <c r="H542" s="20" t="s">
        <v>1790</v>
      </c>
      <c r="I542" s="20" t="s">
        <v>513</v>
      </c>
      <c r="J542" s="41" t="s">
        <v>503</v>
      </c>
      <c r="K542" s="20"/>
    </row>
    <row r="543" customFormat="false" ht="30" hidden="false" customHeight="true" outlineLevel="0" collapsed="false">
      <c r="A543" s="20" t="n">
        <v>540</v>
      </c>
      <c r="B543" s="20" t="s">
        <v>1837</v>
      </c>
      <c r="C543" s="20" t="s">
        <v>1838</v>
      </c>
      <c r="D543" s="20" t="s">
        <v>1839</v>
      </c>
      <c r="E543" s="40" t="n">
        <v>12915</v>
      </c>
      <c r="F543" s="31" t="s">
        <v>235</v>
      </c>
      <c r="G543" s="20" t="str">
        <f aca="false">IFERROR(INDEX('Расчет Кплотн'!$C:$C,MATCH(F543,'Расчет Кплотн'!$A:$A,0)),"код не найден")</f>
        <v>Сарыагашский район</v>
      </c>
      <c r="H543" s="20" t="s">
        <v>1840</v>
      </c>
      <c r="I543" s="20" t="s">
        <v>502</v>
      </c>
      <c r="J543" s="41" t="s">
        <v>1841</v>
      </c>
      <c r="K543" s="20"/>
    </row>
    <row r="544" customFormat="false" ht="30" hidden="false" customHeight="true" outlineLevel="0" collapsed="false">
      <c r="A544" s="20" t="n">
        <v>541</v>
      </c>
      <c r="B544" s="20" t="s">
        <v>1837</v>
      </c>
      <c r="C544" s="20" t="s">
        <v>1842</v>
      </c>
      <c r="D544" s="20" t="s">
        <v>1843</v>
      </c>
      <c r="E544" s="40" t="n">
        <v>8063</v>
      </c>
      <c r="F544" s="31" t="s">
        <v>226</v>
      </c>
      <c r="G544" s="20" t="str">
        <f aca="false">IFERROR(INDEX('Расчет Кплотн'!$C:$C,MATCH(F544,'Расчет Кплотн'!$A:$A,0)),"код не найден")</f>
        <v>Кентау</v>
      </c>
      <c r="H544" s="20" t="s">
        <v>1844</v>
      </c>
      <c r="I544" s="20" t="s">
        <v>513</v>
      </c>
      <c r="J544" s="41" t="s">
        <v>1845</v>
      </c>
      <c r="K544" s="20"/>
    </row>
    <row r="545" customFormat="false" ht="30" hidden="false" customHeight="true" outlineLevel="0" collapsed="false">
      <c r="A545" s="20" t="n">
        <v>542</v>
      </c>
      <c r="B545" s="20" t="s">
        <v>1837</v>
      </c>
      <c r="C545" s="20" t="s">
        <v>1846</v>
      </c>
      <c r="D545" s="20" t="s">
        <v>1847</v>
      </c>
      <c r="E545" s="40" t="n">
        <v>4954</v>
      </c>
      <c r="F545" s="31" t="s">
        <v>228</v>
      </c>
      <c r="G545" s="20" t="str">
        <f aca="false">IFERROR(INDEX('Расчет Кплотн'!$C:$C,MATCH(F545,'Расчет Кплотн'!$A:$A,0)),"код не найден")</f>
        <v>Жетысайский район</v>
      </c>
      <c r="H545" s="20" t="s">
        <v>1848</v>
      </c>
      <c r="I545" s="20" t="s">
        <v>502</v>
      </c>
      <c r="J545" s="41" t="s">
        <v>503</v>
      </c>
      <c r="K545" s="20"/>
    </row>
    <row r="546" customFormat="false" ht="30" hidden="false" customHeight="true" outlineLevel="0" collapsed="false">
      <c r="A546" s="20" t="n">
        <v>543</v>
      </c>
      <c r="B546" s="20" t="s">
        <v>1837</v>
      </c>
      <c r="C546" s="20" t="s">
        <v>1849</v>
      </c>
      <c r="D546" s="20" t="s">
        <v>1850</v>
      </c>
      <c r="E546" s="40" t="n">
        <v>42604</v>
      </c>
      <c r="F546" s="31" t="s">
        <v>224</v>
      </c>
      <c r="G546" s="20" t="str">
        <f aca="false">IFERROR(INDEX('Расчет Кплотн'!$C:$C,MATCH(F546,'Расчет Кплотн'!$A:$A,0)),"код не найден")</f>
        <v>Туркестан</v>
      </c>
      <c r="H546" s="20" t="s">
        <v>1851</v>
      </c>
      <c r="I546" s="20" t="s">
        <v>513</v>
      </c>
      <c r="J546" s="41" t="s">
        <v>503</v>
      </c>
      <c r="K546" s="20"/>
    </row>
    <row r="547" customFormat="false" ht="30" hidden="false" customHeight="true" outlineLevel="0" collapsed="false">
      <c r="A547" s="20" t="n">
        <v>544</v>
      </c>
      <c r="B547" s="20" t="s">
        <v>1837</v>
      </c>
      <c r="C547" s="20" t="s">
        <v>1852</v>
      </c>
      <c r="D547" s="20" t="s">
        <v>1853</v>
      </c>
      <c r="E547" s="40" t="n">
        <v>4780</v>
      </c>
      <c r="F547" s="31" t="s">
        <v>234</v>
      </c>
      <c r="G547" s="20" t="str">
        <f aca="false">IFERROR(INDEX('Расчет Кплотн'!$C:$C,MATCH(F547,'Расчет Кплотн'!$A:$A,0)),"код не найден")</f>
        <v>Сайрамский район</v>
      </c>
      <c r="H547" s="20" t="s">
        <v>1854</v>
      </c>
      <c r="I547" s="20" t="s">
        <v>502</v>
      </c>
      <c r="J547" s="41" t="s">
        <v>503</v>
      </c>
      <c r="K547" s="20"/>
    </row>
    <row r="548" customFormat="false" ht="30" hidden="false" customHeight="true" outlineLevel="0" collapsed="false">
      <c r="A548" s="20" t="n">
        <v>545</v>
      </c>
      <c r="B548" s="20" t="s">
        <v>1837</v>
      </c>
      <c r="C548" s="20" t="s">
        <v>1855</v>
      </c>
      <c r="D548" s="20" t="s">
        <v>1856</v>
      </c>
      <c r="E548" s="40" t="n">
        <v>6089</v>
      </c>
      <c r="F548" s="31" t="s">
        <v>234</v>
      </c>
      <c r="G548" s="20" t="str">
        <f aca="false">IFERROR(INDEX('Расчет Кплотн'!$C:$C,MATCH(F548,'Расчет Кплотн'!$A:$A,0)),"код не найден")</f>
        <v>Сайрамский район</v>
      </c>
      <c r="H548" s="20" t="s">
        <v>1857</v>
      </c>
      <c r="I548" s="20" t="s">
        <v>502</v>
      </c>
      <c r="J548" s="41" t="s">
        <v>1858</v>
      </c>
      <c r="K548" s="20"/>
    </row>
    <row r="549" customFormat="false" ht="30" hidden="false" customHeight="true" outlineLevel="0" collapsed="false">
      <c r="A549" s="20" t="n">
        <v>546</v>
      </c>
      <c r="B549" s="20" t="s">
        <v>1837</v>
      </c>
      <c r="C549" s="20" t="s">
        <v>1859</v>
      </c>
      <c r="D549" s="20" t="s">
        <v>1860</v>
      </c>
      <c r="E549" s="40" t="n">
        <v>6076</v>
      </c>
      <c r="F549" s="31" t="s">
        <v>224</v>
      </c>
      <c r="G549" s="20" t="str">
        <f aca="false">IFERROR(INDEX('Расчет Кплотн'!$C:$C,MATCH(F549,'Расчет Кплотн'!$A:$A,0)),"код не найден")</f>
        <v>Туркестан</v>
      </c>
      <c r="H549" s="20" t="s">
        <v>1851</v>
      </c>
      <c r="I549" s="20" t="s">
        <v>513</v>
      </c>
      <c r="J549" s="41" t="s">
        <v>503</v>
      </c>
      <c r="K549" s="20"/>
    </row>
    <row r="550" customFormat="false" ht="30" hidden="false" customHeight="true" outlineLevel="0" collapsed="false">
      <c r="A550" s="20" t="n">
        <v>547</v>
      </c>
      <c r="B550" s="20" t="s">
        <v>1837</v>
      </c>
      <c r="C550" s="20" t="s">
        <v>1861</v>
      </c>
      <c r="D550" s="20" t="s">
        <v>1862</v>
      </c>
      <c r="E550" s="40" t="n">
        <v>11008</v>
      </c>
      <c r="F550" s="31" t="s">
        <v>234</v>
      </c>
      <c r="G550" s="20" t="str">
        <f aca="false">IFERROR(INDEX('Расчет Кплотн'!$C:$C,MATCH(F550,'Расчет Кплотн'!$A:$A,0)),"код не найден")</f>
        <v>Сайрамский район</v>
      </c>
      <c r="H550" s="20" t="s">
        <v>1863</v>
      </c>
      <c r="I550" s="20" t="s">
        <v>502</v>
      </c>
      <c r="J550" s="41" t="s">
        <v>503</v>
      </c>
      <c r="K550" s="20"/>
    </row>
    <row r="551" customFormat="false" ht="30" hidden="false" customHeight="true" outlineLevel="0" collapsed="false">
      <c r="A551" s="20" t="n">
        <v>548</v>
      </c>
      <c r="B551" s="20" t="s">
        <v>1837</v>
      </c>
      <c r="C551" s="20" t="s">
        <v>1864</v>
      </c>
      <c r="D551" s="20" t="s">
        <v>1865</v>
      </c>
      <c r="E551" s="40" t="n">
        <v>15660</v>
      </c>
      <c r="F551" s="31" t="s">
        <v>235</v>
      </c>
      <c r="G551" s="20" t="str">
        <f aca="false">IFERROR(INDEX('Расчет Кплотн'!$C:$C,MATCH(F551,'Расчет Кплотн'!$A:$A,0)),"код не найден")</f>
        <v>Сарыагашский район</v>
      </c>
      <c r="H551" s="20" t="s">
        <v>1866</v>
      </c>
      <c r="I551" s="20" t="s">
        <v>502</v>
      </c>
      <c r="J551" s="41" t="s">
        <v>1867</v>
      </c>
      <c r="K551" s="20"/>
    </row>
    <row r="552" customFormat="false" ht="30" hidden="false" customHeight="true" outlineLevel="0" collapsed="false">
      <c r="A552" s="20" t="n">
        <v>549</v>
      </c>
      <c r="B552" s="20" t="s">
        <v>1837</v>
      </c>
      <c r="C552" s="20" t="s">
        <v>1868</v>
      </c>
      <c r="D552" s="20" t="s">
        <v>1869</v>
      </c>
      <c r="E552" s="40" t="n">
        <v>4979</v>
      </c>
      <c r="F552" s="31" t="s">
        <v>226</v>
      </c>
      <c r="G552" s="20" t="str">
        <f aca="false">IFERROR(INDEX('Расчет Кплотн'!$C:$C,MATCH(F552,'Расчет Кплотн'!$A:$A,0)),"код не найден")</f>
        <v>Кентау</v>
      </c>
      <c r="H552" s="20" t="s">
        <v>1870</v>
      </c>
      <c r="I552" s="20" t="s">
        <v>513</v>
      </c>
      <c r="J552" s="41" t="s">
        <v>503</v>
      </c>
      <c r="K552" s="20"/>
    </row>
    <row r="553" customFormat="false" ht="30" hidden="false" customHeight="true" outlineLevel="0" collapsed="false">
      <c r="A553" s="20" t="n">
        <v>550</v>
      </c>
      <c r="B553" s="20" t="s">
        <v>1837</v>
      </c>
      <c r="C553" s="20" t="s">
        <v>1871</v>
      </c>
      <c r="D553" s="20" t="s">
        <v>1872</v>
      </c>
      <c r="E553" s="40" t="n">
        <v>23582</v>
      </c>
      <c r="F553" s="31" t="s">
        <v>224</v>
      </c>
      <c r="G553" s="20" t="str">
        <f aca="false">IFERROR(INDEX('Расчет Кплотн'!$C:$C,MATCH(F553,'Расчет Кплотн'!$A:$A,0)),"код не найден")</f>
        <v>Туркестан</v>
      </c>
      <c r="H553" s="20" t="s">
        <v>1851</v>
      </c>
      <c r="I553" s="20" t="s">
        <v>513</v>
      </c>
      <c r="J553" s="41" t="s">
        <v>503</v>
      </c>
      <c r="K553" s="20"/>
    </row>
    <row r="554" customFormat="false" ht="30" hidden="false" customHeight="true" outlineLevel="0" collapsed="false">
      <c r="A554" s="20" t="n">
        <v>551</v>
      </c>
      <c r="B554" s="20" t="s">
        <v>1837</v>
      </c>
      <c r="C554" s="20" t="s">
        <v>1873</v>
      </c>
      <c r="D554" s="20" t="s">
        <v>1874</v>
      </c>
      <c r="E554" s="40" t="n">
        <v>14594</v>
      </c>
      <c r="F554" s="31" t="s">
        <v>224</v>
      </c>
      <c r="G554" s="20" t="str">
        <f aca="false">IFERROR(INDEX('Расчет Кплотн'!$C:$C,MATCH(F554,'Расчет Кплотн'!$A:$A,0)),"код не найден")</f>
        <v>Туркестан</v>
      </c>
      <c r="H554" s="20" t="s">
        <v>1851</v>
      </c>
      <c r="I554" s="20" t="s">
        <v>513</v>
      </c>
      <c r="J554" s="41" t="s">
        <v>503</v>
      </c>
      <c r="K554" s="20"/>
    </row>
    <row r="555" customFormat="false" ht="30" hidden="false" customHeight="true" outlineLevel="0" collapsed="false">
      <c r="A555" s="20" t="n">
        <v>552</v>
      </c>
      <c r="B555" s="20" t="s">
        <v>1837</v>
      </c>
      <c r="C555" s="20" t="s">
        <v>1875</v>
      </c>
      <c r="D555" s="20" t="s">
        <v>1876</v>
      </c>
      <c r="E555" s="40" t="n">
        <v>12371</v>
      </c>
      <c r="F555" s="31" t="s">
        <v>234</v>
      </c>
      <c r="G555" s="20" t="str">
        <f aca="false">IFERROR(INDEX('Расчет Кплотн'!$C:$C,MATCH(F555,'Расчет Кплотн'!$A:$A,0)),"код не найден")</f>
        <v>Сайрамский район</v>
      </c>
      <c r="H555" s="20" t="s">
        <v>1857</v>
      </c>
      <c r="I555" s="20" t="s">
        <v>502</v>
      </c>
      <c r="J555" s="41" t="s">
        <v>1858</v>
      </c>
      <c r="K555" s="20"/>
    </row>
    <row r="556" customFormat="false" ht="30" hidden="false" customHeight="true" outlineLevel="0" collapsed="false">
      <c r="A556" s="20" t="n">
        <v>553</v>
      </c>
      <c r="B556" s="20" t="s">
        <v>1837</v>
      </c>
      <c r="C556" s="20" t="s">
        <v>1877</v>
      </c>
      <c r="D556" s="20" t="s">
        <v>1878</v>
      </c>
      <c r="E556" s="40" t="n">
        <v>14867</v>
      </c>
      <c r="F556" s="31" t="s">
        <v>235</v>
      </c>
      <c r="G556" s="20" t="str">
        <f aca="false">IFERROR(INDEX('Расчет Кплотн'!$C:$C,MATCH(F556,'Расчет Кплотн'!$A:$A,0)),"код не найден")</f>
        <v>Сарыагашский район</v>
      </c>
      <c r="H556" s="20" t="s">
        <v>1866</v>
      </c>
      <c r="I556" s="20" t="s">
        <v>502</v>
      </c>
      <c r="J556" s="41" t="s">
        <v>1867</v>
      </c>
      <c r="K556" s="20"/>
    </row>
    <row r="557" customFormat="false" ht="30" hidden="false" customHeight="true" outlineLevel="0" collapsed="false">
      <c r="A557" s="20" t="n">
        <v>554</v>
      </c>
      <c r="B557" s="20" t="s">
        <v>1837</v>
      </c>
      <c r="C557" s="20" t="s">
        <v>1879</v>
      </c>
      <c r="D557" s="20" t="s">
        <v>1880</v>
      </c>
      <c r="E557" s="40" t="n">
        <v>4185</v>
      </c>
      <c r="F557" s="31" t="s">
        <v>228</v>
      </c>
      <c r="G557" s="20" t="str">
        <f aca="false">IFERROR(INDEX('Расчет Кплотн'!$C:$C,MATCH(F557,'Расчет Кплотн'!$A:$A,0)),"код не найден")</f>
        <v>Жетысайский район</v>
      </c>
      <c r="H557" s="20" t="s">
        <v>1881</v>
      </c>
      <c r="I557" s="20" t="s">
        <v>502</v>
      </c>
      <c r="J557" s="41" t="s">
        <v>503</v>
      </c>
      <c r="K557" s="20"/>
    </row>
    <row r="558" customFormat="false" ht="30" hidden="false" customHeight="true" outlineLevel="0" collapsed="false">
      <c r="A558" s="20" t="n">
        <v>555</v>
      </c>
      <c r="B558" s="20" t="s">
        <v>1837</v>
      </c>
      <c r="C558" s="20" t="s">
        <v>1882</v>
      </c>
      <c r="D558" s="20" t="s">
        <v>1883</v>
      </c>
      <c r="E558" s="40" t="n">
        <v>14315</v>
      </c>
      <c r="F558" s="31" t="s">
        <v>235</v>
      </c>
      <c r="G558" s="20" t="str">
        <f aca="false">IFERROR(INDEX('Расчет Кплотн'!$C:$C,MATCH(F558,'Расчет Кплотн'!$A:$A,0)),"код не найден")</f>
        <v>Сарыагашский район</v>
      </c>
      <c r="H558" s="20" t="s">
        <v>1866</v>
      </c>
      <c r="I558" s="20" t="s">
        <v>502</v>
      </c>
      <c r="J558" s="41" t="s">
        <v>1867</v>
      </c>
      <c r="K558" s="20"/>
    </row>
    <row r="559" customFormat="false" ht="30" hidden="false" customHeight="true" outlineLevel="0" collapsed="false">
      <c r="A559" s="20" t="n">
        <v>556</v>
      </c>
      <c r="B559" s="20" t="s">
        <v>1837</v>
      </c>
      <c r="C559" s="20" t="s">
        <v>1884</v>
      </c>
      <c r="D559" s="20" t="s">
        <v>1885</v>
      </c>
      <c r="E559" s="40" t="n">
        <v>28128</v>
      </c>
      <c r="F559" s="31" t="s">
        <v>224</v>
      </c>
      <c r="G559" s="20" t="str">
        <f aca="false">IFERROR(INDEX('Расчет Кплотн'!$C:$C,MATCH(F559,'Расчет Кплотн'!$A:$A,0)),"код не найден")</f>
        <v>Туркестан</v>
      </c>
      <c r="H559" s="20" t="s">
        <v>1851</v>
      </c>
      <c r="I559" s="20" t="s">
        <v>513</v>
      </c>
      <c r="J559" s="41" t="s">
        <v>503</v>
      </c>
      <c r="K559" s="20"/>
    </row>
    <row r="560" customFormat="false" ht="30" hidden="false" customHeight="true" outlineLevel="0" collapsed="false">
      <c r="A560" s="20" t="n">
        <v>557</v>
      </c>
      <c r="B560" s="20" t="s">
        <v>1837</v>
      </c>
      <c r="C560" s="20" t="s">
        <v>1886</v>
      </c>
      <c r="D560" s="20" t="s">
        <v>1887</v>
      </c>
      <c r="E560" s="40" t="n">
        <v>6849</v>
      </c>
      <c r="F560" s="31" t="s">
        <v>230</v>
      </c>
      <c r="G560" s="20" t="str">
        <f aca="false">IFERROR(INDEX('Расчет Кплотн'!$C:$C,MATCH(F560,'Расчет Кплотн'!$A:$A,0)),"код не найден")</f>
        <v>Казыгуртский район</v>
      </c>
      <c r="H560" s="20" t="s">
        <v>1888</v>
      </c>
      <c r="I560" s="20" t="s">
        <v>502</v>
      </c>
      <c r="J560" s="41" t="s">
        <v>503</v>
      </c>
      <c r="K560" s="20"/>
    </row>
    <row r="561" customFormat="false" ht="30" hidden="false" customHeight="true" outlineLevel="0" collapsed="false">
      <c r="A561" s="20" t="n">
        <v>558</v>
      </c>
      <c r="B561" s="20" t="s">
        <v>1837</v>
      </c>
      <c r="C561" s="20" t="s">
        <v>1889</v>
      </c>
      <c r="D561" s="20" t="s">
        <v>1890</v>
      </c>
      <c r="E561" s="40" t="n">
        <v>14935</v>
      </c>
      <c r="F561" s="31" t="s">
        <v>224</v>
      </c>
      <c r="G561" s="20" t="str">
        <f aca="false">IFERROR(INDEX('Расчет Кплотн'!$C:$C,MATCH(F561,'Расчет Кплотн'!$A:$A,0)),"код не найден")</f>
        <v>Туркестан</v>
      </c>
      <c r="H561" s="20" t="s">
        <v>1851</v>
      </c>
      <c r="I561" s="20" t="s">
        <v>513</v>
      </c>
      <c r="J561" s="41" t="s">
        <v>503</v>
      </c>
      <c r="K561" s="20"/>
    </row>
    <row r="562" customFormat="false" ht="30" hidden="false" customHeight="true" outlineLevel="0" collapsed="false">
      <c r="A562" s="20" t="n">
        <v>559</v>
      </c>
      <c r="B562" s="20" t="s">
        <v>1837</v>
      </c>
      <c r="C562" s="20" t="s">
        <v>1891</v>
      </c>
      <c r="D562" s="20" t="s">
        <v>1892</v>
      </c>
      <c r="E562" s="40" t="n">
        <v>19122</v>
      </c>
      <c r="F562" s="31" t="s">
        <v>224</v>
      </c>
      <c r="G562" s="20" t="str">
        <f aca="false">IFERROR(INDEX('Расчет Кплотн'!$C:$C,MATCH(F562,'Расчет Кплотн'!$A:$A,0)),"код не найден")</f>
        <v>Туркестан</v>
      </c>
      <c r="H562" s="20" t="s">
        <v>1851</v>
      </c>
      <c r="I562" s="20" t="s">
        <v>513</v>
      </c>
      <c r="J562" s="41" t="s">
        <v>503</v>
      </c>
      <c r="K562" s="20"/>
    </row>
    <row r="563" customFormat="false" ht="30" hidden="false" customHeight="true" outlineLevel="0" collapsed="false">
      <c r="A563" s="20" t="n">
        <v>560</v>
      </c>
      <c r="B563" s="20" t="s">
        <v>1837</v>
      </c>
      <c r="C563" s="20" t="s">
        <v>1893</v>
      </c>
      <c r="D563" s="20" t="s">
        <v>1894</v>
      </c>
      <c r="E563" s="40" t="n">
        <v>3526</v>
      </c>
      <c r="F563" s="31" t="s">
        <v>224</v>
      </c>
      <c r="G563" s="20" t="str">
        <f aca="false">IFERROR(INDEX('Расчет Кплотн'!$C:$C,MATCH(F563,'Расчет Кплотн'!$A:$A,0)),"код не найден")</f>
        <v>Туркестан</v>
      </c>
      <c r="H563" s="20" t="s">
        <v>1851</v>
      </c>
      <c r="I563" s="20" t="s">
        <v>513</v>
      </c>
      <c r="J563" s="41" t="s">
        <v>503</v>
      </c>
      <c r="K563" s="20"/>
    </row>
    <row r="564" customFormat="false" ht="30" hidden="false" customHeight="true" outlineLevel="0" collapsed="false">
      <c r="A564" s="20" t="n">
        <v>561</v>
      </c>
      <c r="B564" s="20" t="s">
        <v>1837</v>
      </c>
      <c r="C564" s="20" t="s">
        <v>1895</v>
      </c>
      <c r="D564" s="20" t="s">
        <v>1896</v>
      </c>
      <c r="E564" s="40" t="n">
        <v>6889</v>
      </c>
      <c r="F564" s="31" t="s">
        <v>234</v>
      </c>
      <c r="G564" s="20" t="str">
        <f aca="false">IFERROR(INDEX('Расчет Кплотн'!$C:$C,MATCH(F564,'Расчет Кплотн'!$A:$A,0)),"код не найден")</f>
        <v>Сайрамский район</v>
      </c>
      <c r="H564" s="20" t="s">
        <v>1863</v>
      </c>
      <c r="I564" s="20" t="s">
        <v>502</v>
      </c>
      <c r="J564" s="41" t="s">
        <v>503</v>
      </c>
      <c r="K564" s="20"/>
    </row>
    <row r="565" customFormat="false" ht="30" hidden="false" customHeight="true" outlineLevel="0" collapsed="false">
      <c r="A565" s="20" t="n">
        <v>562</v>
      </c>
      <c r="B565" s="20" t="s">
        <v>1837</v>
      </c>
      <c r="C565" s="20" t="s">
        <v>1897</v>
      </c>
      <c r="D565" s="20" t="s">
        <v>1898</v>
      </c>
      <c r="E565" s="40" t="n">
        <v>9670</v>
      </c>
      <c r="F565" s="31" t="s">
        <v>239</v>
      </c>
      <c r="G565" s="20" t="str">
        <f aca="false">IFERROR(INDEX('Расчет Кплотн'!$C:$C,MATCH(F565,'Расчет Кплотн'!$A:$A,0)),"код не найден")</f>
        <v>Тюлькубасский район</v>
      </c>
      <c r="H565" s="20" t="s">
        <v>1899</v>
      </c>
      <c r="I565" s="20" t="s">
        <v>502</v>
      </c>
      <c r="J565" s="41" t="s">
        <v>503</v>
      </c>
      <c r="K565" s="20"/>
    </row>
    <row r="566" customFormat="false" ht="30" hidden="false" customHeight="true" outlineLevel="0" collapsed="false">
      <c r="A566" s="20" t="n">
        <v>563</v>
      </c>
      <c r="B566" s="20" t="s">
        <v>1837</v>
      </c>
      <c r="C566" s="20" t="s">
        <v>1900</v>
      </c>
      <c r="D566" s="20" t="s">
        <v>1901</v>
      </c>
      <c r="E566" s="40" t="n">
        <v>9949</v>
      </c>
      <c r="F566" s="31" t="s">
        <v>232</v>
      </c>
      <c r="G566" s="20" t="str">
        <f aca="false">IFERROR(INDEX('Расчет Кплотн'!$C:$C,MATCH(F566,'Расчет Кплотн'!$A:$A,0)),"код не найден")</f>
        <v>Ордабасынский район</v>
      </c>
      <c r="H566" s="20" t="s">
        <v>1902</v>
      </c>
      <c r="I566" s="20" t="s">
        <v>502</v>
      </c>
      <c r="J566" s="41" t="s">
        <v>503</v>
      </c>
      <c r="K566" s="20"/>
    </row>
    <row r="567" customFormat="false" ht="30" hidden="false" customHeight="true" outlineLevel="0" collapsed="false">
      <c r="A567" s="20" t="n">
        <v>564</v>
      </c>
      <c r="B567" s="20" t="s">
        <v>1837</v>
      </c>
      <c r="C567" s="20" t="s">
        <v>1903</v>
      </c>
      <c r="D567" s="20" t="s">
        <v>1904</v>
      </c>
      <c r="E567" s="40" t="n">
        <v>1907</v>
      </c>
      <c r="F567" s="31" t="s">
        <v>240</v>
      </c>
      <c r="G567" s="20" t="str">
        <f aca="false">IFERROR(INDEX('Расчет Кплотн'!$C:$C,MATCH(F567,'Расчет Кплотн'!$A:$A,0)),"код не найден")</f>
        <v>Шардаринский район</v>
      </c>
      <c r="H567" s="20" t="s">
        <v>1905</v>
      </c>
      <c r="I567" s="20" t="s">
        <v>502</v>
      </c>
      <c r="J567" s="41" t="s">
        <v>503</v>
      </c>
      <c r="K567" s="20"/>
    </row>
    <row r="568" customFormat="false" ht="30" hidden="false" customHeight="true" outlineLevel="0" collapsed="false">
      <c r="A568" s="20" t="n">
        <v>565</v>
      </c>
      <c r="B568" s="20" t="s">
        <v>1837</v>
      </c>
      <c r="C568" s="20" t="s">
        <v>1906</v>
      </c>
      <c r="D568" s="20" t="s">
        <v>1907</v>
      </c>
      <c r="E568" s="40" t="n">
        <v>3187</v>
      </c>
      <c r="F568" s="31" t="s">
        <v>232</v>
      </c>
      <c r="G568" s="20" t="str">
        <f aca="false">IFERROR(INDEX('Расчет Кплотн'!$C:$C,MATCH(F568,'Расчет Кплотн'!$A:$A,0)),"код не найден")</f>
        <v>Ордабасынский район</v>
      </c>
      <c r="H568" s="20" t="s">
        <v>1908</v>
      </c>
      <c r="I568" s="20" t="s">
        <v>502</v>
      </c>
      <c r="J568" s="41" t="s">
        <v>503</v>
      </c>
      <c r="K568" s="20"/>
    </row>
    <row r="569" customFormat="false" ht="30" hidden="false" customHeight="true" outlineLevel="0" collapsed="false">
      <c r="A569" s="20" t="n">
        <v>566</v>
      </c>
      <c r="B569" s="20" t="s">
        <v>1837</v>
      </c>
      <c r="C569" s="20" t="s">
        <v>1909</v>
      </c>
      <c r="D569" s="20" t="s">
        <v>1910</v>
      </c>
      <c r="E569" s="40" t="n">
        <v>3260</v>
      </c>
      <c r="F569" s="31" t="s">
        <v>234</v>
      </c>
      <c r="G569" s="20" t="str">
        <f aca="false">IFERROR(INDEX('Расчет Кплотн'!$C:$C,MATCH(F569,'Расчет Кплотн'!$A:$A,0)),"код не найден")</f>
        <v>Сайрамский район</v>
      </c>
      <c r="H569" s="20" t="s">
        <v>1854</v>
      </c>
      <c r="I569" s="20" t="s">
        <v>502</v>
      </c>
      <c r="J569" s="41" t="s">
        <v>503</v>
      </c>
      <c r="K569" s="20"/>
    </row>
    <row r="570" customFormat="false" ht="30" hidden="false" customHeight="true" outlineLevel="0" collapsed="false">
      <c r="A570" s="20" t="n">
        <v>567</v>
      </c>
      <c r="B570" s="20" t="s">
        <v>1837</v>
      </c>
      <c r="C570" s="20" t="s">
        <v>1911</v>
      </c>
      <c r="D570" s="20" t="s">
        <v>1912</v>
      </c>
      <c r="E570" s="40" t="n">
        <v>9712</v>
      </c>
      <c r="F570" s="31" t="s">
        <v>226</v>
      </c>
      <c r="G570" s="20" t="str">
        <f aca="false">IFERROR(INDEX('Расчет Кплотн'!$C:$C,MATCH(F570,'Расчет Кплотн'!$A:$A,0)),"код не найден")</f>
        <v>Кентау</v>
      </c>
      <c r="H570" s="20" t="s">
        <v>1870</v>
      </c>
      <c r="I570" s="20" t="s">
        <v>513</v>
      </c>
      <c r="J570" s="41" t="s">
        <v>503</v>
      </c>
      <c r="K570" s="20"/>
    </row>
    <row r="571" customFormat="false" ht="30" hidden="false" customHeight="true" outlineLevel="0" collapsed="false">
      <c r="A571" s="20" t="n">
        <v>568</v>
      </c>
      <c r="B571" s="20" t="s">
        <v>1837</v>
      </c>
      <c r="C571" s="20" t="s">
        <v>1913</v>
      </c>
      <c r="D571" s="20" t="s">
        <v>1914</v>
      </c>
      <c r="E571" s="40" t="n">
        <v>8187</v>
      </c>
      <c r="F571" s="31" t="s">
        <v>230</v>
      </c>
      <c r="G571" s="20" t="str">
        <f aca="false">IFERROR(INDEX('Расчет Кплотн'!$C:$C,MATCH(F571,'Расчет Кплотн'!$A:$A,0)),"код не найден")</f>
        <v>Казыгуртский район</v>
      </c>
      <c r="H571" s="20" t="s">
        <v>1888</v>
      </c>
      <c r="I571" s="20" t="s">
        <v>502</v>
      </c>
      <c r="J571" s="41" t="s">
        <v>503</v>
      </c>
      <c r="K571" s="20"/>
    </row>
    <row r="572" customFormat="false" ht="30" hidden="false" customHeight="true" outlineLevel="0" collapsed="false">
      <c r="A572" s="20" t="n">
        <v>569</v>
      </c>
      <c r="B572" s="20" t="s">
        <v>1837</v>
      </c>
      <c r="C572" s="20" t="s">
        <v>1915</v>
      </c>
      <c r="D572" s="20" t="s">
        <v>1916</v>
      </c>
      <c r="E572" s="40" t="n">
        <v>9506</v>
      </c>
      <c r="F572" s="31" t="s">
        <v>234</v>
      </c>
      <c r="G572" s="20" t="str">
        <f aca="false">IFERROR(INDEX('Расчет Кплотн'!$C:$C,MATCH(F572,'Расчет Кплотн'!$A:$A,0)),"код не найден")</f>
        <v>Сайрамский район</v>
      </c>
      <c r="H572" s="20" t="s">
        <v>1863</v>
      </c>
      <c r="I572" s="20" t="s">
        <v>502</v>
      </c>
      <c r="J572" s="41" t="s">
        <v>503</v>
      </c>
      <c r="K572" s="20"/>
    </row>
    <row r="573" customFormat="false" ht="30" hidden="false" customHeight="true" outlineLevel="0" collapsed="false">
      <c r="A573" s="20" t="n">
        <v>570</v>
      </c>
      <c r="B573" s="20" t="s">
        <v>1837</v>
      </c>
      <c r="C573" s="20" t="s">
        <v>1917</v>
      </c>
      <c r="D573" s="20" t="s">
        <v>1918</v>
      </c>
      <c r="E573" s="40" t="n">
        <v>14787</v>
      </c>
      <c r="F573" s="31" t="s">
        <v>224</v>
      </c>
      <c r="G573" s="20" t="str">
        <f aca="false">IFERROR(INDEX('Расчет Кплотн'!$C:$C,MATCH(F573,'Расчет Кплотн'!$A:$A,0)),"код не найден")</f>
        <v>Туркестан</v>
      </c>
      <c r="H573" s="20" t="s">
        <v>1851</v>
      </c>
      <c r="I573" s="20" t="s">
        <v>513</v>
      </c>
      <c r="J573" s="41" t="s">
        <v>503</v>
      </c>
      <c r="K573" s="20"/>
    </row>
    <row r="574" customFormat="false" ht="30" hidden="false" customHeight="true" outlineLevel="0" collapsed="false">
      <c r="A574" s="20" t="n">
        <v>571</v>
      </c>
      <c r="B574" s="20" t="s">
        <v>1837</v>
      </c>
      <c r="C574" s="20" t="s">
        <v>1919</v>
      </c>
      <c r="D574" s="20" t="s">
        <v>1920</v>
      </c>
      <c r="E574" s="40" t="n">
        <v>9727</v>
      </c>
      <c r="F574" s="31" t="s">
        <v>226</v>
      </c>
      <c r="G574" s="20" t="str">
        <f aca="false">IFERROR(INDEX('Расчет Кплотн'!$C:$C,MATCH(F574,'Расчет Кплотн'!$A:$A,0)),"код не найден")</f>
        <v>Кентау</v>
      </c>
      <c r="H574" s="20" t="s">
        <v>1870</v>
      </c>
      <c r="I574" s="20" t="s">
        <v>513</v>
      </c>
      <c r="J574" s="41" t="s">
        <v>503</v>
      </c>
      <c r="K574" s="20"/>
    </row>
    <row r="575" customFormat="false" ht="30" hidden="false" customHeight="true" outlineLevel="0" collapsed="false">
      <c r="A575" s="20" t="n">
        <v>572</v>
      </c>
      <c r="B575" s="20" t="s">
        <v>1837</v>
      </c>
      <c r="C575" s="20" t="s">
        <v>1921</v>
      </c>
      <c r="D575" s="20" t="s">
        <v>1922</v>
      </c>
      <c r="E575" s="40" t="n">
        <v>11618</v>
      </c>
      <c r="F575" s="31" t="s">
        <v>238</v>
      </c>
      <c r="G575" s="20" t="str">
        <f aca="false">IFERROR(INDEX('Расчет Кплотн'!$C:$C,MATCH(F575,'Расчет Кплотн'!$A:$A,0)),"код не найден")</f>
        <v>Толебийский район</v>
      </c>
      <c r="H575" s="20" t="s">
        <v>1923</v>
      </c>
      <c r="I575" s="20" t="s">
        <v>502</v>
      </c>
      <c r="J575" s="41" t="s">
        <v>503</v>
      </c>
      <c r="K575" s="20"/>
    </row>
    <row r="576" customFormat="false" ht="30" hidden="false" customHeight="true" outlineLevel="0" collapsed="false">
      <c r="A576" s="20" t="n">
        <v>573</v>
      </c>
      <c r="B576" s="20" t="s">
        <v>1837</v>
      </c>
      <c r="C576" s="20" t="s">
        <v>1924</v>
      </c>
      <c r="D576" s="20" t="s">
        <v>1925</v>
      </c>
      <c r="E576" s="40" t="n">
        <v>3012</v>
      </c>
      <c r="F576" s="31" t="s">
        <v>234</v>
      </c>
      <c r="G576" s="20" t="str">
        <f aca="false">IFERROR(INDEX('Расчет Кплотн'!$C:$C,MATCH(F576,'Расчет Кплотн'!$A:$A,0)),"код не найден")</f>
        <v>Сайрамский район</v>
      </c>
      <c r="H576" s="20" t="s">
        <v>1857</v>
      </c>
      <c r="I576" s="20" t="s">
        <v>502</v>
      </c>
      <c r="J576" s="41" t="s">
        <v>1858</v>
      </c>
      <c r="K576" s="20"/>
    </row>
    <row r="577" customFormat="false" ht="30" hidden="false" customHeight="true" outlineLevel="0" collapsed="false">
      <c r="A577" s="20" t="n">
        <v>574</v>
      </c>
      <c r="B577" s="20" t="s">
        <v>1837</v>
      </c>
      <c r="C577" s="20" t="s">
        <v>1926</v>
      </c>
      <c r="D577" s="20" t="s">
        <v>1927</v>
      </c>
      <c r="E577" s="40" t="n">
        <v>17082</v>
      </c>
      <c r="F577" s="31" t="s">
        <v>232</v>
      </c>
      <c r="G577" s="20" t="str">
        <f aca="false">IFERROR(INDEX('Расчет Кплотн'!$C:$C,MATCH(F577,'Расчет Кплотн'!$A:$A,0)),"код не найден")</f>
        <v>Ордабасынский район</v>
      </c>
      <c r="H577" s="20" t="s">
        <v>1902</v>
      </c>
      <c r="I577" s="20" t="s">
        <v>502</v>
      </c>
      <c r="J577" s="41" t="s">
        <v>503</v>
      </c>
      <c r="K577" s="20"/>
    </row>
    <row r="578" customFormat="false" ht="30" hidden="false" customHeight="true" outlineLevel="0" collapsed="false">
      <c r="A578" s="20" t="n">
        <v>575</v>
      </c>
      <c r="B578" s="20" t="s">
        <v>1837</v>
      </c>
      <c r="C578" s="20" t="s">
        <v>1928</v>
      </c>
      <c r="D578" s="20" t="s">
        <v>1929</v>
      </c>
      <c r="E578" s="40" t="n">
        <v>10171</v>
      </c>
      <c r="F578" s="31" t="s">
        <v>234</v>
      </c>
      <c r="G578" s="20" t="str">
        <f aca="false">IFERROR(INDEX('Расчет Кплотн'!$C:$C,MATCH(F578,'Расчет Кплотн'!$A:$A,0)),"код не найден")</f>
        <v>Сайрамский район</v>
      </c>
      <c r="H578" s="20" t="s">
        <v>1854</v>
      </c>
      <c r="I578" s="20" t="s">
        <v>502</v>
      </c>
      <c r="J578" s="41" t="s">
        <v>503</v>
      </c>
      <c r="K578" s="20"/>
    </row>
    <row r="579" customFormat="false" ht="30" hidden="false" customHeight="true" outlineLevel="0" collapsed="false">
      <c r="A579" s="20" t="n">
        <v>576</v>
      </c>
      <c r="B579" s="20" t="s">
        <v>1837</v>
      </c>
      <c r="C579" s="20" t="s">
        <v>1930</v>
      </c>
      <c r="D579" s="20" t="s">
        <v>1931</v>
      </c>
      <c r="E579" s="40" t="n">
        <v>3072</v>
      </c>
      <c r="F579" s="31" t="s">
        <v>234</v>
      </c>
      <c r="G579" s="20" t="str">
        <f aca="false">IFERROR(INDEX('Расчет Кплотн'!$C:$C,MATCH(F579,'Расчет Кплотн'!$A:$A,0)),"код не найден")</f>
        <v>Сайрамский район</v>
      </c>
      <c r="H579" s="20" t="s">
        <v>1932</v>
      </c>
      <c r="I579" s="20" t="s">
        <v>502</v>
      </c>
      <c r="J579" s="41" t="s">
        <v>1933</v>
      </c>
      <c r="K579" s="20"/>
    </row>
    <row r="580" customFormat="false" ht="30" hidden="false" customHeight="true" outlineLevel="0" collapsed="false">
      <c r="A580" s="20" t="n">
        <v>577</v>
      </c>
      <c r="B580" s="20" t="s">
        <v>1837</v>
      </c>
      <c r="C580" s="20" t="s">
        <v>1934</v>
      </c>
      <c r="D580" s="20" t="s">
        <v>1935</v>
      </c>
      <c r="E580" s="40" t="n">
        <v>88568</v>
      </c>
      <c r="F580" s="31" t="s">
        <v>224</v>
      </c>
      <c r="G580" s="20" t="str">
        <f aca="false">IFERROR(INDEX('Расчет Кплотн'!$C:$C,MATCH(F580,'Расчет Кплотн'!$A:$A,0)),"код не найден")</f>
        <v>Туркестан</v>
      </c>
      <c r="H580" s="20" t="s">
        <v>1851</v>
      </c>
      <c r="I580" s="20" t="s">
        <v>513</v>
      </c>
      <c r="J580" s="41" t="s">
        <v>503</v>
      </c>
      <c r="K580" s="20"/>
    </row>
    <row r="581" customFormat="false" ht="30" hidden="false" customHeight="true" outlineLevel="0" collapsed="false">
      <c r="A581" s="20" t="n">
        <v>578</v>
      </c>
      <c r="B581" s="20" t="s">
        <v>1837</v>
      </c>
      <c r="C581" s="20" t="s">
        <v>1936</v>
      </c>
      <c r="D581" s="20" t="s">
        <v>1937</v>
      </c>
      <c r="E581" s="40" t="n">
        <v>3015</v>
      </c>
      <c r="F581" s="31" t="s">
        <v>261</v>
      </c>
      <c r="G581" s="20" t="str">
        <f aca="false">IFERROR(INDEX('Расчет Кплотн'!$C:$C,MATCH(F581,'Расчет Кплотн'!$A:$A,0)),"код не найден")</f>
        <v>г. Шымкент</v>
      </c>
      <c r="H581" s="20" t="s">
        <v>1938</v>
      </c>
      <c r="I581" s="20" t="s">
        <v>513</v>
      </c>
      <c r="J581" s="41" t="s">
        <v>503</v>
      </c>
      <c r="K581" s="20"/>
    </row>
    <row r="582" customFormat="false" ht="30" hidden="false" customHeight="true" outlineLevel="0" collapsed="false">
      <c r="A582" s="20" t="n">
        <v>579</v>
      </c>
      <c r="B582" s="20" t="s">
        <v>1837</v>
      </c>
      <c r="C582" s="20" t="s">
        <v>1939</v>
      </c>
      <c r="D582" s="20" t="s">
        <v>1940</v>
      </c>
      <c r="E582" s="40" t="n">
        <v>65931</v>
      </c>
      <c r="F582" s="31" t="s">
        <v>226</v>
      </c>
      <c r="G582" s="20" t="str">
        <f aca="false">IFERROR(INDEX('Расчет Кплотн'!$C:$C,MATCH(F582,'Расчет Кплотн'!$A:$A,0)),"код не найден")</f>
        <v>Кентау</v>
      </c>
      <c r="H582" s="20" t="s">
        <v>1870</v>
      </c>
      <c r="I582" s="20" t="s">
        <v>513</v>
      </c>
      <c r="J582" s="41" t="s">
        <v>503</v>
      </c>
      <c r="K582" s="20"/>
    </row>
    <row r="583" customFormat="false" ht="30" hidden="false" customHeight="true" outlineLevel="0" collapsed="false">
      <c r="A583" s="20" t="n">
        <v>580</v>
      </c>
      <c r="B583" s="20" t="s">
        <v>1837</v>
      </c>
      <c r="C583" s="20" t="s">
        <v>1941</v>
      </c>
      <c r="D583" s="20" t="s">
        <v>1942</v>
      </c>
      <c r="E583" s="40" t="n">
        <v>43524</v>
      </c>
      <c r="F583" s="31" t="s">
        <v>227</v>
      </c>
      <c r="G583" s="20" t="str">
        <f aca="false">IFERROR(INDEX('Расчет Кплотн'!$C:$C,MATCH(F583,'Расчет Кплотн'!$A:$A,0)),"код не найден")</f>
        <v>район Байдибека</v>
      </c>
      <c r="H583" s="20" t="s">
        <v>1943</v>
      </c>
      <c r="I583" s="20" t="s">
        <v>502</v>
      </c>
      <c r="J583" s="41" t="s">
        <v>503</v>
      </c>
      <c r="K583" s="20"/>
    </row>
    <row r="584" customFormat="false" ht="30" hidden="false" customHeight="true" outlineLevel="0" collapsed="false">
      <c r="A584" s="20" t="n">
        <v>581</v>
      </c>
      <c r="B584" s="20" t="s">
        <v>1837</v>
      </c>
      <c r="C584" s="20" t="s">
        <v>1944</v>
      </c>
      <c r="D584" s="20" t="s">
        <v>1945</v>
      </c>
      <c r="E584" s="40" t="n">
        <v>144122</v>
      </c>
      <c r="F584" s="31" t="s">
        <v>235</v>
      </c>
      <c r="G584" s="20" t="str">
        <f aca="false">IFERROR(INDEX('Расчет Кплотн'!$C:$C,MATCH(F584,'Расчет Кплотн'!$A:$A,0)),"код не найден")</f>
        <v>Сарыагашский район</v>
      </c>
      <c r="H584" s="20" t="s">
        <v>1866</v>
      </c>
      <c r="I584" s="20" t="s">
        <v>502</v>
      </c>
      <c r="J584" s="41" t="s">
        <v>1867</v>
      </c>
      <c r="K584" s="20"/>
    </row>
    <row r="585" customFormat="false" ht="30" hidden="false" customHeight="true" outlineLevel="0" collapsed="false">
      <c r="A585" s="20" t="n">
        <v>582</v>
      </c>
      <c r="B585" s="20" t="s">
        <v>1837</v>
      </c>
      <c r="C585" s="20" t="s">
        <v>1946</v>
      </c>
      <c r="D585" s="20" t="s">
        <v>1947</v>
      </c>
      <c r="E585" s="40" t="n">
        <v>67367</v>
      </c>
      <c r="F585" s="31" t="s">
        <v>240</v>
      </c>
      <c r="G585" s="20" t="str">
        <f aca="false">IFERROR(INDEX('Расчет Кплотн'!$C:$C,MATCH(F585,'Расчет Кплотн'!$A:$A,0)),"код не найден")</f>
        <v>Шардаринский район</v>
      </c>
      <c r="H585" s="20" t="s">
        <v>1948</v>
      </c>
      <c r="I585" s="20" t="s">
        <v>502</v>
      </c>
      <c r="J585" s="41" t="s">
        <v>503</v>
      </c>
      <c r="K585" s="20"/>
    </row>
    <row r="586" customFormat="false" ht="30" hidden="false" customHeight="true" outlineLevel="0" collapsed="false">
      <c r="A586" s="20" t="n">
        <v>583</v>
      </c>
      <c r="B586" s="20" t="s">
        <v>1837</v>
      </c>
      <c r="C586" s="20" t="s">
        <v>1949</v>
      </c>
      <c r="D586" s="20" t="s">
        <v>1950</v>
      </c>
      <c r="E586" s="40" t="n">
        <v>82634</v>
      </c>
      <c r="F586" s="31" t="s">
        <v>230</v>
      </c>
      <c r="G586" s="20" t="str">
        <f aca="false">IFERROR(INDEX('Расчет Кплотн'!$C:$C,MATCH(F586,'Расчет Кплотн'!$A:$A,0)),"код не найден")</f>
        <v>Казыгуртский район</v>
      </c>
      <c r="H586" s="20" t="s">
        <v>1888</v>
      </c>
      <c r="I586" s="20" t="s">
        <v>502</v>
      </c>
      <c r="J586" s="41" t="s">
        <v>503</v>
      </c>
      <c r="K586" s="20"/>
    </row>
    <row r="587" customFormat="false" ht="30" hidden="false" customHeight="true" outlineLevel="0" collapsed="false">
      <c r="A587" s="20" t="n">
        <v>584</v>
      </c>
      <c r="B587" s="20" t="s">
        <v>1837</v>
      </c>
      <c r="C587" s="20" t="s">
        <v>1951</v>
      </c>
      <c r="D587" s="20" t="s">
        <v>1952</v>
      </c>
      <c r="E587" s="40" t="n">
        <v>65838</v>
      </c>
      <c r="F587" s="31" t="s">
        <v>238</v>
      </c>
      <c r="G587" s="20" t="str">
        <f aca="false">IFERROR(INDEX('Расчет Кплотн'!$C:$C,MATCH(F587,'Расчет Кплотн'!$A:$A,0)),"код не найден")</f>
        <v>Толебийский район</v>
      </c>
      <c r="H587" s="20" t="s">
        <v>1953</v>
      </c>
      <c r="I587" s="20" t="s">
        <v>502</v>
      </c>
      <c r="J587" s="41" t="s">
        <v>503</v>
      </c>
      <c r="K587" s="20"/>
    </row>
    <row r="588" customFormat="false" ht="30" hidden="false" customHeight="true" outlineLevel="0" collapsed="false">
      <c r="A588" s="20" t="n">
        <v>585</v>
      </c>
      <c r="B588" s="20" t="s">
        <v>1837</v>
      </c>
      <c r="C588" s="20" t="s">
        <v>1954</v>
      </c>
      <c r="D588" s="20" t="s">
        <v>1955</v>
      </c>
      <c r="E588" s="40" t="n">
        <v>60068</v>
      </c>
      <c r="F588" s="31" t="s">
        <v>234</v>
      </c>
      <c r="G588" s="20" t="str">
        <f aca="false">IFERROR(INDEX('Расчет Кплотн'!$C:$C,MATCH(F588,'Расчет Кплотн'!$A:$A,0)),"код не найден")</f>
        <v>Сайрамский район</v>
      </c>
      <c r="H588" s="20" t="s">
        <v>1863</v>
      </c>
      <c r="I588" s="20" t="s">
        <v>502</v>
      </c>
      <c r="J588" s="41" t="s">
        <v>503</v>
      </c>
      <c r="K588" s="20"/>
    </row>
    <row r="589" customFormat="false" ht="30" hidden="false" customHeight="true" outlineLevel="0" collapsed="false">
      <c r="A589" s="20" t="n">
        <v>586</v>
      </c>
      <c r="B589" s="20" t="s">
        <v>1837</v>
      </c>
      <c r="C589" s="20" t="s">
        <v>1956</v>
      </c>
      <c r="D589" s="20" t="s">
        <v>1957</v>
      </c>
      <c r="E589" s="40" t="n">
        <v>36862</v>
      </c>
      <c r="F589" s="31" t="s">
        <v>238</v>
      </c>
      <c r="G589" s="20" t="str">
        <f aca="false">IFERROR(INDEX('Расчет Кплотн'!$C:$C,MATCH(F589,'Расчет Кплотн'!$A:$A,0)),"код не найден")</f>
        <v>Толебийский район</v>
      </c>
      <c r="H589" s="20" t="s">
        <v>1923</v>
      </c>
      <c r="I589" s="20" t="s">
        <v>502</v>
      </c>
      <c r="J589" s="41" t="s">
        <v>503</v>
      </c>
      <c r="K589" s="20"/>
    </row>
    <row r="590" customFormat="false" ht="30" hidden="false" customHeight="true" outlineLevel="0" collapsed="false">
      <c r="A590" s="20" t="n">
        <v>587</v>
      </c>
      <c r="B590" s="20" t="s">
        <v>1837</v>
      </c>
      <c r="C590" s="20" t="s">
        <v>1958</v>
      </c>
      <c r="D590" s="20" t="s">
        <v>1959</v>
      </c>
      <c r="E590" s="40" t="n">
        <v>56808</v>
      </c>
      <c r="F590" s="31" t="s">
        <v>225</v>
      </c>
      <c r="G590" s="20" t="str">
        <f aca="false">IFERROR(INDEX('Расчет Кплотн'!$C:$C,MATCH(F590,'Расчет Кплотн'!$A:$A,0)),"код не найден")</f>
        <v>Арысь</v>
      </c>
      <c r="H590" s="20" t="s">
        <v>1960</v>
      </c>
      <c r="I590" s="20" t="s">
        <v>513</v>
      </c>
      <c r="J590" s="41" t="s">
        <v>503</v>
      </c>
      <c r="K590" s="20"/>
    </row>
    <row r="591" customFormat="false" ht="30" hidden="false" customHeight="true" outlineLevel="0" collapsed="false">
      <c r="A591" s="20" t="n">
        <v>588</v>
      </c>
      <c r="B591" s="20" t="s">
        <v>1837</v>
      </c>
      <c r="C591" s="20" t="s">
        <v>1961</v>
      </c>
      <c r="D591" s="20" t="s">
        <v>1962</v>
      </c>
      <c r="E591" s="40" t="n">
        <v>78656</v>
      </c>
      <c r="F591" s="31" t="s">
        <v>239</v>
      </c>
      <c r="G591" s="20" t="str">
        <f aca="false">IFERROR(INDEX('Расчет Кплотн'!$C:$C,MATCH(F591,'Расчет Кплотн'!$A:$A,0)),"код не найден")</f>
        <v>Тюлькубасский район</v>
      </c>
      <c r="H591" s="20" t="s">
        <v>1963</v>
      </c>
      <c r="I591" s="20" t="s">
        <v>502</v>
      </c>
      <c r="J591" s="41" t="s">
        <v>503</v>
      </c>
      <c r="K591" s="20"/>
    </row>
    <row r="592" customFormat="false" ht="30" hidden="false" customHeight="true" outlineLevel="0" collapsed="false">
      <c r="A592" s="20" t="n">
        <v>589</v>
      </c>
      <c r="B592" s="20" t="s">
        <v>1837</v>
      </c>
      <c r="C592" s="20" t="s">
        <v>1964</v>
      </c>
      <c r="D592" s="20" t="s">
        <v>1965</v>
      </c>
      <c r="E592" s="40" t="n">
        <v>43264</v>
      </c>
      <c r="F592" s="31" t="s">
        <v>233</v>
      </c>
      <c r="G592" s="20" t="str">
        <f aca="false">IFERROR(INDEX('Расчет Кплотн'!$C:$C,MATCH(F592,'Расчет Кплотн'!$A:$A,0)),"код не найден")</f>
        <v>Отрарский район</v>
      </c>
      <c r="H592" s="20" t="s">
        <v>1966</v>
      </c>
      <c r="I592" s="20" t="s">
        <v>502</v>
      </c>
      <c r="J592" s="41" t="s">
        <v>503</v>
      </c>
      <c r="K592" s="20"/>
    </row>
    <row r="593" customFormat="false" ht="30" hidden="false" customHeight="true" outlineLevel="0" collapsed="false">
      <c r="A593" s="20" t="n">
        <v>590</v>
      </c>
      <c r="B593" s="20" t="s">
        <v>1837</v>
      </c>
      <c r="C593" s="20" t="s">
        <v>1967</v>
      </c>
      <c r="D593" s="20" t="s">
        <v>1968</v>
      </c>
      <c r="E593" s="40" t="n">
        <v>10282</v>
      </c>
      <c r="F593" s="31" t="s">
        <v>234</v>
      </c>
      <c r="G593" s="20" t="str">
        <f aca="false">IFERROR(INDEX('Расчет Кплотн'!$C:$C,MATCH(F593,'Расчет Кплотн'!$A:$A,0)),"код не найден")</f>
        <v>Сайрамский район</v>
      </c>
      <c r="H593" s="20" t="s">
        <v>1863</v>
      </c>
      <c r="I593" s="20" t="s">
        <v>502</v>
      </c>
      <c r="J593" s="41" t="s">
        <v>503</v>
      </c>
      <c r="K593" s="20"/>
    </row>
    <row r="594" customFormat="false" ht="30" hidden="false" customHeight="true" outlineLevel="0" collapsed="false">
      <c r="A594" s="20" t="n">
        <v>591</v>
      </c>
      <c r="B594" s="20" t="s">
        <v>1837</v>
      </c>
      <c r="C594" s="20" t="s">
        <v>1969</v>
      </c>
      <c r="D594" s="20" t="s">
        <v>1970</v>
      </c>
      <c r="E594" s="40" t="n">
        <v>55087</v>
      </c>
      <c r="F594" s="31" t="s">
        <v>237</v>
      </c>
      <c r="G594" s="20" t="str">
        <f aca="false">IFERROR(INDEX('Расчет Кплотн'!$C:$C,MATCH(F594,'Расчет Кплотн'!$A:$A,0)),"код не найден")</f>
        <v>Сузакский район</v>
      </c>
      <c r="H594" s="20" t="s">
        <v>1971</v>
      </c>
      <c r="I594" s="20" t="s">
        <v>502</v>
      </c>
      <c r="J594" s="41" t="s">
        <v>1972</v>
      </c>
      <c r="K594" s="20"/>
    </row>
    <row r="595" customFormat="false" ht="30" hidden="false" customHeight="true" outlineLevel="0" collapsed="false">
      <c r="A595" s="20" t="n">
        <v>592</v>
      </c>
      <c r="B595" s="20" t="s">
        <v>1837</v>
      </c>
      <c r="C595" s="20" t="s">
        <v>1973</v>
      </c>
      <c r="D595" s="20" t="s">
        <v>1974</v>
      </c>
      <c r="E595" s="40" t="n">
        <v>83986</v>
      </c>
      <c r="F595" s="31" t="s">
        <v>228</v>
      </c>
      <c r="G595" s="20" t="str">
        <f aca="false">IFERROR(INDEX('Расчет Кплотн'!$C:$C,MATCH(F595,'Расчет Кплотн'!$A:$A,0)),"код не найден")</f>
        <v>Жетысайский район</v>
      </c>
      <c r="H595" s="20" t="s">
        <v>1975</v>
      </c>
      <c r="I595" s="20" t="s">
        <v>502</v>
      </c>
      <c r="J595" s="41" t="s">
        <v>503</v>
      </c>
      <c r="K595" s="20"/>
    </row>
    <row r="596" customFormat="false" ht="30" hidden="false" customHeight="true" outlineLevel="0" collapsed="false">
      <c r="A596" s="20" t="n">
        <v>593</v>
      </c>
      <c r="B596" s="20" t="s">
        <v>1837</v>
      </c>
      <c r="C596" s="20" t="s">
        <v>1976</v>
      </c>
      <c r="D596" s="20" t="s">
        <v>1977</v>
      </c>
      <c r="E596" s="40" t="n">
        <v>62656</v>
      </c>
      <c r="F596" s="31" t="s">
        <v>236</v>
      </c>
      <c r="G596" s="20" t="str">
        <f aca="false">IFERROR(INDEX('Расчет Кплотн'!$C:$C,MATCH(F596,'Расчет Кплотн'!$A:$A,0)),"код не найден")</f>
        <v>район Сауран</v>
      </c>
      <c r="H596" s="20" t="s">
        <v>1978</v>
      </c>
      <c r="I596" s="20" t="s">
        <v>502</v>
      </c>
      <c r="J596" s="41" t="s">
        <v>1979</v>
      </c>
      <c r="K596" s="20"/>
    </row>
    <row r="597" customFormat="false" ht="30" hidden="false" customHeight="true" outlineLevel="0" collapsed="false">
      <c r="A597" s="20" t="n">
        <v>594</v>
      </c>
      <c r="B597" s="20" t="s">
        <v>1837</v>
      </c>
      <c r="C597" s="20" t="s">
        <v>1980</v>
      </c>
      <c r="D597" s="20" t="s">
        <v>1981</v>
      </c>
      <c r="E597" s="40" t="n">
        <v>62604</v>
      </c>
      <c r="F597" s="31" t="s">
        <v>231</v>
      </c>
      <c r="G597" s="20" t="str">
        <f aca="false">IFERROR(INDEX('Расчет Кплотн'!$C:$C,MATCH(F597,'Расчет Кплотн'!$A:$A,0)),"код не найден")</f>
        <v>Мактааральский район</v>
      </c>
      <c r="H597" s="20" t="s">
        <v>1982</v>
      </c>
      <c r="I597" s="20" t="s">
        <v>502</v>
      </c>
      <c r="J597" s="41" t="s">
        <v>503</v>
      </c>
      <c r="K597" s="20"/>
    </row>
    <row r="598" customFormat="false" ht="30" hidden="false" customHeight="true" outlineLevel="0" collapsed="false">
      <c r="A598" s="20" t="n">
        <v>595</v>
      </c>
      <c r="B598" s="20" t="s">
        <v>1837</v>
      </c>
      <c r="C598" s="20" t="s">
        <v>1983</v>
      </c>
      <c r="D598" s="20" t="s">
        <v>1984</v>
      </c>
      <c r="E598" s="40" t="n">
        <v>24756</v>
      </c>
      <c r="F598" s="31" t="s">
        <v>232</v>
      </c>
      <c r="G598" s="20" t="str">
        <f aca="false">IFERROR(INDEX('Расчет Кплотн'!$C:$C,MATCH(F598,'Расчет Кплотн'!$A:$A,0)),"код не найден")</f>
        <v>Ордабасынский район</v>
      </c>
      <c r="H598" s="20" t="s">
        <v>1902</v>
      </c>
      <c r="I598" s="20" t="s">
        <v>502</v>
      </c>
      <c r="J598" s="41" t="s">
        <v>503</v>
      </c>
      <c r="K598" s="20"/>
    </row>
    <row r="599" customFormat="false" ht="30" hidden="false" customHeight="true" outlineLevel="0" collapsed="false">
      <c r="A599" s="20" t="n">
        <v>596</v>
      </c>
      <c r="B599" s="20" t="s">
        <v>1837</v>
      </c>
      <c r="C599" s="20" t="s">
        <v>1985</v>
      </c>
      <c r="D599" s="20" t="s">
        <v>1986</v>
      </c>
      <c r="E599" s="40" t="n">
        <v>6101</v>
      </c>
      <c r="F599" s="31" t="s">
        <v>234</v>
      </c>
      <c r="G599" s="20" t="str">
        <f aca="false">IFERROR(INDEX('Расчет Кплотн'!$C:$C,MATCH(F599,'Расчет Кплотн'!$A:$A,0)),"код не найден")</f>
        <v>Сайрамский район</v>
      </c>
      <c r="H599" s="20" t="s">
        <v>1987</v>
      </c>
      <c r="I599" s="20" t="s">
        <v>502</v>
      </c>
      <c r="J599" s="41" t="s">
        <v>503</v>
      </c>
      <c r="K599" s="20"/>
    </row>
    <row r="600" customFormat="false" ht="30" hidden="false" customHeight="true" outlineLevel="0" collapsed="false">
      <c r="A600" s="20" t="n">
        <v>597</v>
      </c>
      <c r="B600" s="20" t="s">
        <v>1837</v>
      </c>
      <c r="C600" s="20" t="s">
        <v>1988</v>
      </c>
      <c r="D600" s="20" t="s">
        <v>1989</v>
      </c>
      <c r="E600" s="40" t="n">
        <v>14317</v>
      </c>
      <c r="F600" s="31" t="s">
        <v>224</v>
      </c>
      <c r="G600" s="20" t="str">
        <f aca="false">IFERROR(INDEX('Расчет Кплотн'!$C:$C,MATCH(F600,'Расчет Кплотн'!$A:$A,0)),"код не найден")</f>
        <v>Туркестан</v>
      </c>
      <c r="H600" s="20" t="s">
        <v>1851</v>
      </c>
      <c r="I600" s="20" t="s">
        <v>513</v>
      </c>
      <c r="J600" s="41" t="s">
        <v>503</v>
      </c>
      <c r="K600" s="20"/>
    </row>
    <row r="601" customFormat="false" ht="30" hidden="false" customHeight="true" outlineLevel="0" collapsed="false">
      <c r="A601" s="20" t="n">
        <v>598</v>
      </c>
      <c r="B601" s="20" t="s">
        <v>1837</v>
      </c>
      <c r="C601" s="20" t="s">
        <v>1990</v>
      </c>
      <c r="D601" s="20" t="s">
        <v>1991</v>
      </c>
      <c r="E601" s="40" t="n">
        <v>11984</v>
      </c>
      <c r="F601" s="31" t="s">
        <v>224</v>
      </c>
      <c r="G601" s="20" t="str">
        <f aca="false">IFERROR(INDEX('Расчет Кплотн'!$C:$C,MATCH(F601,'Расчет Кплотн'!$A:$A,0)),"код не найден")</f>
        <v>Туркестан</v>
      </c>
      <c r="H601" s="20" t="s">
        <v>1851</v>
      </c>
      <c r="I601" s="20" t="s">
        <v>513</v>
      </c>
      <c r="J601" s="41" t="s">
        <v>503</v>
      </c>
      <c r="K601" s="20"/>
    </row>
    <row r="602" customFormat="false" ht="30" hidden="false" customHeight="true" outlineLevel="0" collapsed="false">
      <c r="A602" s="20" t="n">
        <v>599</v>
      </c>
      <c r="B602" s="20" t="s">
        <v>1837</v>
      </c>
      <c r="C602" s="20" t="s">
        <v>1992</v>
      </c>
      <c r="D602" s="20" t="s">
        <v>1993</v>
      </c>
      <c r="E602" s="40" t="n">
        <v>50413</v>
      </c>
      <c r="F602" s="31" t="s">
        <v>231</v>
      </c>
      <c r="G602" s="20" t="str">
        <f aca="false">IFERROR(INDEX('Расчет Кплотн'!$C:$C,MATCH(F602,'Расчет Кплотн'!$A:$A,0)),"код не найден")</f>
        <v>Мактааральский район</v>
      </c>
      <c r="H602" s="20" t="s">
        <v>1994</v>
      </c>
      <c r="I602" s="20" t="s">
        <v>502</v>
      </c>
      <c r="J602" s="41" t="s">
        <v>503</v>
      </c>
      <c r="K602" s="20"/>
    </row>
    <row r="603" customFormat="false" ht="30" hidden="false" customHeight="true" outlineLevel="0" collapsed="false">
      <c r="A603" s="20" t="n">
        <v>600</v>
      </c>
      <c r="B603" s="20" t="s">
        <v>1837</v>
      </c>
      <c r="C603" s="20" t="s">
        <v>1995</v>
      </c>
      <c r="D603" s="20" t="s">
        <v>1996</v>
      </c>
      <c r="E603" s="40" t="n">
        <v>11479</v>
      </c>
      <c r="F603" s="31" t="s">
        <v>229</v>
      </c>
      <c r="G603" s="20" t="str">
        <f aca="false">IFERROR(INDEX('Расчет Кплотн'!$C:$C,MATCH(F603,'Расчет Кплотн'!$A:$A,0)),"код не найден")</f>
        <v>Келесский район</v>
      </c>
      <c r="H603" s="20" t="s">
        <v>1997</v>
      </c>
      <c r="I603" s="20" t="s">
        <v>502</v>
      </c>
      <c r="J603" s="41" t="s">
        <v>503</v>
      </c>
      <c r="K603" s="20"/>
    </row>
    <row r="604" customFormat="false" ht="30" hidden="false" customHeight="true" outlineLevel="0" collapsed="false">
      <c r="A604" s="20" t="n">
        <v>601</v>
      </c>
      <c r="B604" s="20" t="s">
        <v>1837</v>
      </c>
      <c r="C604" s="20" t="s">
        <v>1998</v>
      </c>
      <c r="D604" s="20" t="s">
        <v>1999</v>
      </c>
      <c r="E604" s="40" t="n">
        <v>6060</v>
      </c>
      <c r="F604" s="31" t="s">
        <v>232</v>
      </c>
      <c r="G604" s="20" t="str">
        <f aca="false">IFERROR(INDEX('Расчет Кплотн'!$C:$C,MATCH(F604,'Расчет Кплотн'!$A:$A,0)),"код не найден")</f>
        <v>Ордабасынский район</v>
      </c>
      <c r="H604" s="20" t="s">
        <v>1902</v>
      </c>
      <c r="I604" s="20" t="s">
        <v>502</v>
      </c>
      <c r="J604" s="41" t="s">
        <v>503</v>
      </c>
      <c r="K604" s="20"/>
    </row>
    <row r="605" customFormat="false" ht="30" hidden="false" customHeight="true" outlineLevel="0" collapsed="false">
      <c r="A605" s="20" t="n">
        <v>602</v>
      </c>
      <c r="B605" s="20" t="s">
        <v>1837</v>
      </c>
      <c r="C605" s="20" t="s">
        <v>2000</v>
      </c>
      <c r="D605" s="20" t="s">
        <v>2001</v>
      </c>
      <c r="E605" s="40" t="n">
        <v>8520</v>
      </c>
      <c r="F605" s="31" t="s">
        <v>239</v>
      </c>
      <c r="G605" s="20" t="str">
        <f aca="false">IFERROR(INDEX('Расчет Кплотн'!$C:$C,MATCH(F605,'Расчет Кплотн'!$A:$A,0)),"код не найден")</f>
        <v>Тюлькубасский район</v>
      </c>
      <c r="H605" s="20" t="s">
        <v>1963</v>
      </c>
      <c r="I605" s="20" t="s">
        <v>502</v>
      </c>
      <c r="J605" s="41" t="s">
        <v>503</v>
      </c>
      <c r="K605" s="20"/>
    </row>
    <row r="606" customFormat="false" ht="30" hidden="false" customHeight="true" outlineLevel="0" collapsed="false">
      <c r="A606" s="20" t="n">
        <v>603</v>
      </c>
      <c r="B606" s="20" t="s">
        <v>1837</v>
      </c>
      <c r="C606" s="20" t="s">
        <v>2002</v>
      </c>
      <c r="D606" s="20" t="s">
        <v>2003</v>
      </c>
      <c r="E606" s="40" t="n">
        <v>1498</v>
      </c>
      <c r="F606" s="31" t="s">
        <v>235</v>
      </c>
      <c r="G606" s="20" t="str">
        <f aca="false">IFERROR(INDEX('Расчет Кплотн'!$C:$C,MATCH(F606,'Расчет Кплотн'!$A:$A,0)),"код не найден")</f>
        <v>Сарыагашский район</v>
      </c>
      <c r="H606" s="20" t="s">
        <v>1866</v>
      </c>
      <c r="I606" s="20" t="s">
        <v>502</v>
      </c>
      <c r="J606" s="41" t="s">
        <v>1867</v>
      </c>
      <c r="K606" s="20"/>
    </row>
    <row r="607" customFormat="false" ht="30" hidden="false" customHeight="true" outlineLevel="0" collapsed="false">
      <c r="A607" s="20" t="n">
        <v>604</v>
      </c>
      <c r="B607" s="20" t="s">
        <v>1837</v>
      </c>
      <c r="C607" s="20" t="s">
        <v>2004</v>
      </c>
      <c r="D607" s="20" t="s">
        <v>2005</v>
      </c>
      <c r="E607" s="40" t="n">
        <v>41932</v>
      </c>
      <c r="F607" s="31" t="s">
        <v>235</v>
      </c>
      <c r="G607" s="20" t="str">
        <f aca="false">IFERROR(INDEX('Расчет Кплотн'!$C:$C,MATCH(F607,'Расчет Кплотн'!$A:$A,0)),"код не найден")</f>
        <v>Сарыагашский район</v>
      </c>
      <c r="H607" s="20" t="s">
        <v>1866</v>
      </c>
      <c r="I607" s="20" t="s">
        <v>502</v>
      </c>
      <c r="J607" s="41" t="s">
        <v>1867</v>
      </c>
      <c r="K607" s="20"/>
    </row>
    <row r="608" customFormat="false" ht="30" hidden="false" customHeight="true" outlineLevel="0" collapsed="false">
      <c r="A608" s="20" t="n">
        <v>605</v>
      </c>
      <c r="B608" s="20" t="s">
        <v>1837</v>
      </c>
      <c r="C608" s="20" t="s">
        <v>2006</v>
      </c>
      <c r="D608" s="20" t="s">
        <v>2007</v>
      </c>
      <c r="E608" s="40" t="n">
        <v>12583</v>
      </c>
      <c r="F608" s="31" t="s">
        <v>225</v>
      </c>
      <c r="G608" s="20" t="str">
        <f aca="false">IFERROR(INDEX('Расчет Кплотн'!$C:$C,MATCH(F608,'Расчет Кплотн'!$A:$A,0)),"код не найден")</f>
        <v>Арысь</v>
      </c>
      <c r="H608" s="20" t="s">
        <v>1960</v>
      </c>
      <c r="I608" s="20" t="s">
        <v>513</v>
      </c>
      <c r="J608" s="41" t="s">
        <v>503</v>
      </c>
      <c r="K608" s="20"/>
    </row>
    <row r="609" customFormat="false" ht="30" hidden="false" customHeight="true" outlineLevel="0" collapsed="false">
      <c r="A609" s="20" t="n">
        <v>606</v>
      </c>
      <c r="B609" s="20" t="s">
        <v>1837</v>
      </c>
      <c r="C609" s="20" t="s">
        <v>2008</v>
      </c>
      <c r="D609" s="20" t="s">
        <v>2009</v>
      </c>
      <c r="E609" s="40" t="n">
        <v>92955</v>
      </c>
      <c r="F609" s="31" t="s">
        <v>229</v>
      </c>
      <c r="G609" s="20" t="str">
        <f aca="false">IFERROR(INDEX('Расчет Кплотн'!$C:$C,MATCH(F609,'Расчет Кплотн'!$A:$A,0)),"код не найден")</f>
        <v>Келесский район</v>
      </c>
      <c r="H609" s="20" t="s">
        <v>1997</v>
      </c>
      <c r="I609" s="20" t="s">
        <v>502</v>
      </c>
      <c r="J609" s="41" t="s">
        <v>503</v>
      </c>
      <c r="K609" s="20"/>
    </row>
    <row r="610" customFormat="false" ht="30" hidden="false" customHeight="true" outlineLevel="0" collapsed="false">
      <c r="A610" s="20" t="n">
        <v>607</v>
      </c>
      <c r="B610" s="20" t="s">
        <v>1837</v>
      </c>
      <c r="C610" s="20" t="s">
        <v>2010</v>
      </c>
      <c r="D610" s="20" t="s">
        <v>2011</v>
      </c>
      <c r="E610" s="40" t="n">
        <v>78289</v>
      </c>
      <c r="F610" s="31" t="s">
        <v>228</v>
      </c>
      <c r="G610" s="20" t="str">
        <f aca="false">IFERROR(INDEX('Расчет Кплотн'!$C:$C,MATCH(F610,'Расчет Кплотн'!$A:$A,0)),"код не найден")</f>
        <v>Жетысайский район</v>
      </c>
      <c r="H610" s="20" t="s">
        <v>1881</v>
      </c>
      <c r="I610" s="20" t="s">
        <v>502</v>
      </c>
      <c r="J610" s="41" t="s">
        <v>503</v>
      </c>
      <c r="K610" s="20"/>
    </row>
    <row r="611" customFormat="false" ht="30" hidden="false" customHeight="true" outlineLevel="0" collapsed="false">
      <c r="A611" s="20" t="n">
        <v>608</v>
      </c>
      <c r="B611" s="20" t="s">
        <v>1837</v>
      </c>
      <c r="C611" s="20" t="s">
        <v>2012</v>
      </c>
      <c r="D611" s="20" t="s">
        <v>2013</v>
      </c>
      <c r="E611" s="40" t="n">
        <v>111240</v>
      </c>
      <c r="F611" s="31" t="s">
        <v>234</v>
      </c>
      <c r="G611" s="20" t="str">
        <f aca="false">IFERROR(INDEX('Расчет Кплотн'!$C:$C,MATCH(F611,'Расчет Кплотн'!$A:$A,0)),"код не найден")</f>
        <v>Сайрамский район</v>
      </c>
      <c r="H611" s="20" t="s">
        <v>2014</v>
      </c>
      <c r="I611" s="20" t="s">
        <v>502</v>
      </c>
      <c r="J611" s="41" t="s">
        <v>2015</v>
      </c>
      <c r="K611" s="20"/>
    </row>
    <row r="612" customFormat="false" ht="30" hidden="false" customHeight="true" outlineLevel="0" collapsed="false">
      <c r="A612" s="20" t="n">
        <v>609</v>
      </c>
      <c r="B612" s="20" t="s">
        <v>1837</v>
      </c>
      <c r="C612" s="20" t="s">
        <v>2016</v>
      </c>
      <c r="D612" s="20" t="s">
        <v>2017</v>
      </c>
      <c r="E612" s="40" t="n">
        <v>81420</v>
      </c>
      <c r="F612" s="31" t="s">
        <v>232</v>
      </c>
      <c r="G612" s="20" t="str">
        <f aca="false">IFERROR(INDEX('Расчет Кплотн'!$C:$C,MATCH(F612,'Расчет Кплотн'!$A:$A,0)),"код не найден")</f>
        <v>Ордабасынский район</v>
      </c>
      <c r="H612" s="20" t="s">
        <v>1908</v>
      </c>
      <c r="I612" s="20" t="s">
        <v>502</v>
      </c>
      <c r="J612" s="41" t="s">
        <v>503</v>
      </c>
      <c r="K612" s="20"/>
    </row>
    <row r="613" customFormat="false" ht="30" hidden="false" customHeight="true" outlineLevel="0" collapsed="false">
      <c r="A613" s="20" t="n">
        <v>610</v>
      </c>
      <c r="B613" s="20" t="s">
        <v>1837</v>
      </c>
      <c r="C613" s="20" t="s">
        <v>2018</v>
      </c>
      <c r="D613" s="20" t="s">
        <v>2019</v>
      </c>
      <c r="E613" s="40" t="n">
        <v>5680</v>
      </c>
      <c r="F613" s="31" t="s">
        <v>226</v>
      </c>
      <c r="G613" s="20" t="str">
        <f aca="false">IFERROR(INDEX('Расчет Кплотн'!$C:$C,MATCH(F613,'Расчет Кплотн'!$A:$A,0)),"код не найден")</f>
        <v>Кентау</v>
      </c>
      <c r="H613" s="20" t="s">
        <v>2020</v>
      </c>
      <c r="I613" s="20" t="s">
        <v>513</v>
      </c>
      <c r="J613" s="41" t="s">
        <v>2021</v>
      </c>
      <c r="K613" s="20"/>
    </row>
    <row r="614" customFormat="false" ht="30" hidden="false" customHeight="true" outlineLevel="0" collapsed="false">
      <c r="A614" s="20" t="n">
        <v>611</v>
      </c>
      <c r="B614" s="20" t="s">
        <v>2022</v>
      </c>
      <c r="C614" s="20" t="s">
        <v>2023</v>
      </c>
      <c r="D614" s="20" t="s">
        <v>2024</v>
      </c>
      <c r="E614" s="40" t="n">
        <v>10362</v>
      </c>
      <c r="F614" s="31" t="s">
        <v>241</v>
      </c>
      <c r="G614" s="20" t="str">
        <f aca="false">IFERROR(INDEX('Расчет Кплотн'!$C:$C,MATCH(F614,'Расчет Кплотн'!$A:$A,0)),"код не найден")</f>
        <v>Жезказган</v>
      </c>
      <c r="H614" s="20" t="s">
        <v>2025</v>
      </c>
      <c r="I614" s="20" t="s">
        <v>513</v>
      </c>
      <c r="J614" s="41" t="s">
        <v>503</v>
      </c>
      <c r="K614" s="20"/>
    </row>
    <row r="615" customFormat="false" ht="30" hidden="false" customHeight="true" outlineLevel="0" collapsed="false">
      <c r="A615" s="20" t="n">
        <v>612</v>
      </c>
      <c r="B615" s="20" t="s">
        <v>2022</v>
      </c>
      <c r="C615" s="20" t="s">
        <v>2026</v>
      </c>
      <c r="D615" s="20" t="s">
        <v>2027</v>
      </c>
      <c r="E615" s="40" t="n">
        <v>11517</v>
      </c>
      <c r="F615" s="31" t="s">
        <v>241</v>
      </c>
      <c r="G615" s="20" t="str">
        <f aca="false">IFERROR(INDEX('Расчет Кплотн'!$C:$C,MATCH(F615,'Расчет Кплотн'!$A:$A,0)),"код не найден")</f>
        <v>Жезказган</v>
      </c>
      <c r="H615" s="20"/>
      <c r="I615" s="20" t="s">
        <v>513</v>
      </c>
      <c r="J615" s="41" t="s">
        <v>2028</v>
      </c>
      <c r="K615" s="20"/>
    </row>
    <row r="616" customFormat="false" ht="30" hidden="false" customHeight="true" outlineLevel="0" collapsed="false">
      <c r="A616" s="20" t="n">
        <v>613</v>
      </c>
      <c r="B616" s="20" t="s">
        <v>2022</v>
      </c>
      <c r="C616" s="20" t="s">
        <v>2029</v>
      </c>
      <c r="D616" s="20" t="s">
        <v>2030</v>
      </c>
      <c r="E616" s="40" t="n">
        <v>34374</v>
      </c>
      <c r="F616" s="31" t="s">
        <v>241</v>
      </c>
      <c r="G616" s="20" t="str">
        <f aca="false">IFERROR(INDEX('Расчет Кплотн'!$C:$C,MATCH(F616,'Расчет Кплотн'!$A:$A,0)),"код не найден")</f>
        <v>Жезказган</v>
      </c>
      <c r="H616" s="20" t="s">
        <v>2025</v>
      </c>
      <c r="I616" s="20" t="s">
        <v>513</v>
      </c>
      <c r="J616" s="41" t="s">
        <v>503</v>
      </c>
      <c r="K616" s="20"/>
    </row>
    <row r="617" customFormat="false" ht="30" hidden="false" customHeight="true" outlineLevel="0" collapsed="false">
      <c r="A617" s="20" t="n">
        <v>614</v>
      </c>
      <c r="B617" s="20" t="s">
        <v>2022</v>
      </c>
      <c r="C617" s="20" t="s">
        <v>2031</v>
      </c>
      <c r="D617" s="20" t="s">
        <v>2032</v>
      </c>
      <c r="E617" s="40" t="n">
        <v>12981</v>
      </c>
      <c r="F617" s="31" t="s">
        <v>241</v>
      </c>
      <c r="G617" s="20" t="str">
        <f aca="false">IFERROR(INDEX('Расчет Кплотн'!$C:$C,MATCH(F617,'Расчет Кплотн'!$A:$A,0)),"код не найден")</f>
        <v>Жезказган</v>
      </c>
      <c r="H617" s="20" t="s">
        <v>2025</v>
      </c>
      <c r="I617" s="20" t="s">
        <v>513</v>
      </c>
      <c r="J617" s="41" t="s">
        <v>503</v>
      </c>
      <c r="K617" s="20"/>
    </row>
    <row r="618" customFormat="false" ht="30" hidden="false" customHeight="true" outlineLevel="0" collapsed="false">
      <c r="A618" s="20" t="n">
        <v>615</v>
      </c>
      <c r="B618" s="20" t="s">
        <v>2022</v>
      </c>
      <c r="C618" s="20" t="s">
        <v>2033</v>
      </c>
      <c r="D618" s="20" t="s">
        <v>2034</v>
      </c>
      <c r="E618" s="40" t="n">
        <v>9122</v>
      </c>
      <c r="F618" s="31" t="s">
        <v>243</v>
      </c>
      <c r="G618" s="20" t="str">
        <f aca="false">IFERROR(INDEX('Расчет Кплотн'!$C:$C,MATCH(F618,'Расчет Кплотн'!$A:$A,0)),"код не найден")</f>
        <v>Сатпаев</v>
      </c>
      <c r="H618" s="20" t="s">
        <v>2035</v>
      </c>
      <c r="I618" s="20" t="s">
        <v>513</v>
      </c>
      <c r="J618" s="41" t="s">
        <v>503</v>
      </c>
      <c r="K618" s="20"/>
    </row>
    <row r="619" customFormat="false" ht="30" hidden="false" customHeight="true" outlineLevel="0" collapsed="false">
      <c r="A619" s="20" t="n">
        <v>616</v>
      </c>
      <c r="B619" s="20" t="s">
        <v>2022</v>
      </c>
      <c r="C619" s="20" t="s">
        <v>2036</v>
      </c>
      <c r="D619" s="20" t="s">
        <v>2037</v>
      </c>
      <c r="E619" s="40" t="n">
        <v>6619</v>
      </c>
      <c r="F619" s="31" t="s">
        <v>241</v>
      </c>
      <c r="G619" s="20" t="str">
        <f aca="false">IFERROR(INDEX('Расчет Кплотн'!$C:$C,MATCH(F619,'Расчет Кплотн'!$A:$A,0)),"код не найден")</f>
        <v>Жезказган</v>
      </c>
      <c r="H619" s="20" t="s">
        <v>2025</v>
      </c>
      <c r="I619" s="20" t="s">
        <v>513</v>
      </c>
      <c r="J619" s="41" t="s">
        <v>503</v>
      </c>
      <c r="K619" s="20"/>
    </row>
    <row r="620" customFormat="false" ht="30" hidden="false" customHeight="true" outlineLevel="0" collapsed="false">
      <c r="A620" s="20" t="n">
        <v>617</v>
      </c>
      <c r="B620" s="20" t="s">
        <v>2022</v>
      </c>
      <c r="C620" s="20" t="s">
        <v>2038</v>
      </c>
      <c r="D620" s="20" t="s">
        <v>2039</v>
      </c>
      <c r="E620" s="40" t="n">
        <v>9802</v>
      </c>
      <c r="F620" s="31" t="s">
        <v>241</v>
      </c>
      <c r="G620" s="20" t="str">
        <f aca="false">IFERROR(INDEX('Расчет Кплотн'!$C:$C,MATCH(F620,'Расчет Кплотн'!$A:$A,0)),"код не найден")</f>
        <v>Жезказган</v>
      </c>
      <c r="H620" s="20" t="s">
        <v>2025</v>
      </c>
      <c r="I620" s="20" t="s">
        <v>513</v>
      </c>
      <c r="J620" s="41" t="s">
        <v>503</v>
      </c>
      <c r="K620" s="20"/>
    </row>
    <row r="621" customFormat="false" ht="30" hidden="false" customHeight="true" outlineLevel="0" collapsed="false">
      <c r="A621" s="20" t="n">
        <v>618</v>
      </c>
      <c r="B621" s="20" t="s">
        <v>2022</v>
      </c>
      <c r="C621" s="20" t="s">
        <v>2040</v>
      </c>
      <c r="D621" s="20" t="s">
        <v>2041</v>
      </c>
      <c r="E621" s="40" t="n">
        <v>5922</v>
      </c>
      <c r="F621" s="31" t="s">
        <v>241</v>
      </c>
      <c r="G621" s="20" t="str">
        <f aca="false">IFERROR(INDEX('Расчет Кплотн'!$C:$C,MATCH(F621,'Расчет Кплотн'!$A:$A,0)),"код не найден")</f>
        <v>Жезказган</v>
      </c>
      <c r="H621" s="20" t="s">
        <v>2025</v>
      </c>
      <c r="I621" s="20" t="s">
        <v>513</v>
      </c>
      <c r="J621" s="41" t="s">
        <v>503</v>
      </c>
      <c r="K621" s="20"/>
    </row>
    <row r="622" customFormat="false" ht="30" hidden="false" customHeight="true" outlineLevel="0" collapsed="false">
      <c r="A622" s="20" t="n">
        <v>619</v>
      </c>
      <c r="B622" s="20" t="s">
        <v>2022</v>
      </c>
      <c r="C622" s="20" t="s">
        <v>2042</v>
      </c>
      <c r="D622" s="20" t="s">
        <v>2043</v>
      </c>
      <c r="E622" s="40" t="n">
        <v>14861</v>
      </c>
      <c r="F622" s="31" t="s">
        <v>241</v>
      </c>
      <c r="G622" s="20" t="str">
        <f aca="false">IFERROR(INDEX('Расчет Кплотн'!$C:$C,MATCH(F622,'Расчет Кплотн'!$A:$A,0)),"код не найден")</f>
        <v>Жезказган</v>
      </c>
      <c r="H622" s="20" t="s">
        <v>2025</v>
      </c>
      <c r="I622" s="20" t="s">
        <v>513</v>
      </c>
      <c r="J622" s="41" t="s">
        <v>503</v>
      </c>
      <c r="K622" s="20"/>
    </row>
    <row r="623" customFormat="false" ht="30" hidden="false" customHeight="true" outlineLevel="0" collapsed="false">
      <c r="A623" s="20" t="n">
        <v>620</v>
      </c>
      <c r="B623" s="20" t="s">
        <v>2022</v>
      </c>
      <c r="C623" s="20" t="s">
        <v>2044</v>
      </c>
      <c r="D623" s="20" t="s">
        <v>2045</v>
      </c>
      <c r="E623" s="40" t="n">
        <v>6568</v>
      </c>
      <c r="F623" s="31" t="s">
        <v>241</v>
      </c>
      <c r="G623" s="20" t="str">
        <f aca="false">IFERROR(INDEX('Расчет Кплотн'!$C:$C,MATCH(F623,'Расчет Кплотн'!$A:$A,0)),"код не найден")</f>
        <v>Жезказган</v>
      </c>
      <c r="H623" s="20" t="s">
        <v>2025</v>
      </c>
      <c r="I623" s="20" t="s">
        <v>513</v>
      </c>
      <c r="J623" s="41" t="s">
        <v>503</v>
      </c>
      <c r="K623" s="20"/>
    </row>
    <row r="624" customFormat="false" ht="30" hidden="false" customHeight="true" outlineLevel="0" collapsed="false">
      <c r="A624" s="20" t="n">
        <v>621</v>
      </c>
      <c r="B624" s="20" t="s">
        <v>2022</v>
      </c>
      <c r="C624" s="20" t="s">
        <v>2046</v>
      </c>
      <c r="D624" s="20" t="s">
        <v>2047</v>
      </c>
      <c r="E624" s="40" t="n">
        <v>27450</v>
      </c>
      <c r="F624" s="31" t="s">
        <v>244</v>
      </c>
      <c r="G624" s="20" t="str">
        <f aca="false">IFERROR(INDEX('Расчет Кплотн'!$C:$C,MATCH(F624,'Расчет Кплотн'!$A:$A,0)),"код не найден")</f>
        <v>Жанааркинский район</v>
      </c>
      <c r="H624" s="20" t="s">
        <v>2048</v>
      </c>
      <c r="I624" s="20" t="s">
        <v>502</v>
      </c>
      <c r="J624" s="41" t="s">
        <v>503</v>
      </c>
      <c r="K624" s="20"/>
    </row>
    <row r="625" customFormat="false" ht="30" hidden="false" customHeight="true" outlineLevel="0" collapsed="false">
      <c r="A625" s="20" t="n">
        <v>622</v>
      </c>
      <c r="B625" s="20" t="s">
        <v>2022</v>
      </c>
      <c r="C625" s="20" t="s">
        <v>2049</v>
      </c>
      <c r="D625" s="20" t="s">
        <v>2050</v>
      </c>
      <c r="E625" s="40" t="n">
        <v>8232</v>
      </c>
      <c r="F625" s="31" t="s">
        <v>243</v>
      </c>
      <c r="G625" s="20" t="str">
        <f aca="false">IFERROR(INDEX('Расчет Кплотн'!$C:$C,MATCH(F625,'Расчет Кплотн'!$A:$A,0)),"код не найден")</f>
        <v>Сатпаев</v>
      </c>
      <c r="H625" s="20" t="s">
        <v>2035</v>
      </c>
      <c r="I625" s="20" t="s">
        <v>513</v>
      </c>
      <c r="J625" s="41" t="s">
        <v>503</v>
      </c>
      <c r="K625" s="20"/>
    </row>
    <row r="626" customFormat="false" ht="30" hidden="false" customHeight="true" outlineLevel="0" collapsed="false">
      <c r="A626" s="20" t="n">
        <v>623</v>
      </c>
      <c r="B626" s="20" t="s">
        <v>2022</v>
      </c>
      <c r="C626" s="20" t="s">
        <v>2051</v>
      </c>
      <c r="D626" s="20" t="s">
        <v>2052</v>
      </c>
      <c r="E626" s="40" t="n">
        <v>8244</v>
      </c>
      <c r="F626" s="31" t="s">
        <v>245</v>
      </c>
      <c r="G626" s="20" t="str">
        <f aca="false">IFERROR(INDEX('Расчет Кплотн'!$C:$C,MATCH(F626,'Расчет Кплотн'!$A:$A,0)),"код не найден")</f>
        <v>Улытауский район</v>
      </c>
      <c r="H626" s="20" t="s">
        <v>2053</v>
      </c>
      <c r="I626" s="20" t="s">
        <v>502</v>
      </c>
      <c r="J626" s="41" t="s">
        <v>503</v>
      </c>
      <c r="K626" s="20"/>
    </row>
    <row r="627" customFormat="false" ht="30" hidden="false" customHeight="true" outlineLevel="0" collapsed="false">
      <c r="A627" s="20" t="n">
        <v>624</v>
      </c>
      <c r="B627" s="20" t="s">
        <v>2022</v>
      </c>
      <c r="C627" s="20" t="s">
        <v>2054</v>
      </c>
      <c r="D627" s="20" t="s">
        <v>2055</v>
      </c>
      <c r="E627" s="40" t="n">
        <v>7698</v>
      </c>
      <c r="F627" s="31" t="s">
        <v>242</v>
      </c>
      <c r="G627" s="20" t="str">
        <f aca="false">IFERROR(INDEX('Расчет Кплотн'!$C:$C,MATCH(F627,'Расчет Кплотн'!$A:$A,0)),"код не найден")</f>
        <v>Каражал</v>
      </c>
      <c r="H627" s="20" t="s">
        <v>2056</v>
      </c>
      <c r="I627" s="20" t="s">
        <v>513</v>
      </c>
      <c r="J627" s="41" t="s">
        <v>503</v>
      </c>
      <c r="K627" s="20"/>
    </row>
    <row r="628" customFormat="false" ht="30" hidden="false" customHeight="true" outlineLevel="0" collapsed="false">
      <c r="A628" s="20" t="n">
        <v>625</v>
      </c>
      <c r="B628" s="20" t="s">
        <v>2022</v>
      </c>
      <c r="C628" s="20" t="s">
        <v>2057</v>
      </c>
      <c r="D628" s="20" t="s">
        <v>2058</v>
      </c>
      <c r="E628" s="40" t="n">
        <v>30711</v>
      </c>
      <c r="F628" s="31" t="s">
        <v>243</v>
      </c>
      <c r="G628" s="20" t="str">
        <f aca="false">IFERROR(INDEX('Расчет Кплотн'!$C:$C,MATCH(F628,'Расчет Кплотн'!$A:$A,0)),"код не найден")</f>
        <v>Сатпаев</v>
      </c>
      <c r="H628" s="20" t="s">
        <v>2035</v>
      </c>
      <c r="I628" s="20" t="s">
        <v>513</v>
      </c>
      <c r="J628" s="41" t="s">
        <v>503</v>
      </c>
      <c r="K628" s="20"/>
    </row>
    <row r="629" customFormat="false" ht="30" hidden="false" customHeight="true" outlineLevel="0" collapsed="false">
      <c r="A629" s="20" t="n">
        <v>626</v>
      </c>
      <c r="B629" s="20" t="s">
        <v>2022</v>
      </c>
      <c r="C629" s="20" t="s">
        <v>2059</v>
      </c>
      <c r="D629" s="20" t="s">
        <v>2060</v>
      </c>
      <c r="E629" s="40" t="n">
        <v>8631</v>
      </c>
      <c r="F629" s="31" t="s">
        <v>242</v>
      </c>
      <c r="G629" s="20" t="str">
        <f aca="false">IFERROR(INDEX('Расчет Кплотн'!$C:$C,MATCH(F629,'Расчет Кплотн'!$A:$A,0)),"код не найден")</f>
        <v>Каражал</v>
      </c>
      <c r="H629" s="20" t="s">
        <v>2061</v>
      </c>
      <c r="I629" s="20" t="s">
        <v>513</v>
      </c>
      <c r="J629" s="41" t="s">
        <v>503</v>
      </c>
      <c r="K629" s="20"/>
    </row>
    <row r="630" customFormat="false" ht="30" hidden="false" customHeight="true" outlineLevel="0" collapsed="false">
      <c r="A630" s="20" t="n">
        <v>627</v>
      </c>
      <c r="B630" s="20" t="s">
        <v>2062</v>
      </c>
      <c r="C630" s="20" t="s">
        <v>2063</v>
      </c>
      <c r="D630" s="20" t="s">
        <v>2064</v>
      </c>
      <c r="E630" s="40" t="n">
        <v>35818</v>
      </c>
      <c r="F630" s="31" t="s">
        <v>261</v>
      </c>
      <c r="G630" s="20" t="str">
        <f aca="false">IFERROR(INDEX('Расчет Кплотн'!$C:$C,MATCH(F630,'Расчет Кплотн'!$A:$A,0)),"код не найден")</f>
        <v>г. Шымкент</v>
      </c>
      <c r="H630" s="20" t="s">
        <v>2065</v>
      </c>
      <c r="I630" s="20" t="s">
        <v>513</v>
      </c>
      <c r="J630" s="41" t="s">
        <v>503</v>
      </c>
      <c r="K630" s="20"/>
    </row>
    <row r="631" customFormat="false" ht="30" hidden="false" customHeight="true" outlineLevel="0" collapsed="false">
      <c r="A631" s="20" t="n">
        <v>628</v>
      </c>
      <c r="B631" s="20" t="s">
        <v>2062</v>
      </c>
      <c r="C631" s="20" t="s">
        <v>2066</v>
      </c>
      <c r="D631" s="20" t="s">
        <v>2067</v>
      </c>
      <c r="E631" s="40" t="n">
        <v>36436</v>
      </c>
      <c r="F631" s="31" t="s">
        <v>261</v>
      </c>
      <c r="G631" s="20" t="str">
        <f aca="false">IFERROR(INDEX('Расчет Кплотн'!$C:$C,MATCH(F631,'Расчет Кплотн'!$A:$A,0)),"код не найден")</f>
        <v>г. Шымкент</v>
      </c>
      <c r="H631" s="20" t="s">
        <v>2068</v>
      </c>
      <c r="I631" s="20" t="s">
        <v>513</v>
      </c>
      <c r="J631" s="41" t="s">
        <v>503</v>
      </c>
      <c r="K631" s="20"/>
    </row>
    <row r="632" customFormat="false" ht="30" hidden="false" customHeight="true" outlineLevel="0" collapsed="false">
      <c r="A632" s="20" t="n">
        <v>629</v>
      </c>
      <c r="B632" s="20" t="s">
        <v>2062</v>
      </c>
      <c r="C632" s="20" t="s">
        <v>2069</v>
      </c>
      <c r="D632" s="20" t="s">
        <v>2070</v>
      </c>
      <c r="E632" s="40" t="n">
        <v>5099</v>
      </c>
      <c r="F632" s="31" t="s">
        <v>261</v>
      </c>
      <c r="G632" s="20" t="str">
        <f aca="false">IFERROR(INDEX('Расчет Кплотн'!$C:$C,MATCH(F632,'Расчет Кплотн'!$A:$A,0)),"код не найден")</f>
        <v>г. Шымкент</v>
      </c>
      <c r="H632" s="20" t="s">
        <v>2065</v>
      </c>
      <c r="I632" s="20" t="s">
        <v>513</v>
      </c>
      <c r="J632" s="41" t="s">
        <v>503</v>
      </c>
      <c r="K632" s="20"/>
    </row>
    <row r="633" customFormat="false" ht="30" hidden="false" customHeight="true" outlineLevel="0" collapsed="false">
      <c r="A633" s="20" t="n">
        <v>630</v>
      </c>
      <c r="B633" s="20" t="s">
        <v>2062</v>
      </c>
      <c r="C633" s="20" t="s">
        <v>2071</v>
      </c>
      <c r="D633" s="20" t="s">
        <v>2072</v>
      </c>
      <c r="E633" s="40" t="n">
        <v>10325</v>
      </c>
      <c r="F633" s="31" t="s">
        <v>261</v>
      </c>
      <c r="G633" s="20" t="str">
        <f aca="false">IFERROR(INDEX('Расчет Кплотн'!$C:$C,MATCH(F633,'Расчет Кплотн'!$A:$A,0)),"код не найден")</f>
        <v>г. Шымкент</v>
      </c>
      <c r="H633" s="20" t="s">
        <v>2068</v>
      </c>
      <c r="I633" s="20" t="s">
        <v>513</v>
      </c>
      <c r="J633" s="41" t="s">
        <v>503</v>
      </c>
      <c r="K633" s="20"/>
    </row>
    <row r="634" customFormat="false" ht="30" hidden="false" customHeight="true" outlineLevel="0" collapsed="false">
      <c r="A634" s="20" t="n">
        <v>631</v>
      </c>
      <c r="B634" s="20" t="s">
        <v>2062</v>
      </c>
      <c r="C634" s="20" t="s">
        <v>2073</v>
      </c>
      <c r="D634" s="20" t="s">
        <v>2074</v>
      </c>
      <c r="E634" s="40" t="n">
        <v>9465</v>
      </c>
      <c r="F634" s="31" t="s">
        <v>261</v>
      </c>
      <c r="G634" s="20" t="str">
        <f aca="false">IFERROR(INDEX('Расчет Кплотн'!$C:$C,MATCH(F634,'Расчет Кплотн'!$A:$A,0)),"код не найден")</f>
        <v>г. Шымкент</v>
      </c>
      <c r="H634" s="20" t="s">
        <v>2065</v>
      </c>
      <c r="I634" s="20" t="s">
        <v>513</v>
      </c>
      <c r="J634" s="41" t="s">
        <v>503</v>
      </c>
      <c r="K634" s="20"/>
    </row>
    <row r="635" customFormat="false" ht="30" hidden="false" customHeight="true" outlineLevel="0" collapsed="false">
      <c r="A635" s="20" t="n">
        <v>632</v>
      </c>
      <c r="B635" s="20" t="s">
        <v>2062</v>
      </c>
      <c r="C635" s="20" t="s">
        <v>2075</v>
      </c>
      <c r="D635" s="20" t="s">
        <v>2076</v>
      </c>
      <c r="E635" s="40" t="n">
        <v>8417</v>
      </c>
      <c r="F635" s="31" t="s">
        <v>261</v>
      </c>
      <c r="G635" s="20" t="str">
        <f aca="false">IFERROR(INDEX('Расчет Кплотн'!$C:$C,MATCH(F635,'Расчет Кплотн'!$A:$A,0)),"код не найден")</f>
        <v>г. Шымкент</v>
      </c>
      <c r="H635" s="20" t="s">
        <v>1938</v>
      </c>
      <c r="I635" s="20" t="s">
        <v>513</v>
      </c>
      <c r="J635" s="41" t="s">
        <v>503</v>
      </c>
      <c r="K635" s="20"/>
    </row>
    <row r="636" customFormat="false" ht="30" hidden="false" customHeight="true" outlineLevel="0" collapsed="false">
      <c r="A636" s="20" t="n">
        <v>633</v>
      </c>
      <c r="B636" s="20" t="s">
        <v>2062</v>
      </c>
      <c r="C636" s="20" t="s">
        <v>2077</v>
      </c>
      <c r="D636" s="20" t="s">
        <v>2078</v>
      </c>
      <c r="E636" s="40" t="n">
        <v>9803</v>
      </c>
      <c r="F636" s="31" t="s">
        <v>261</v>
      </c>
      <c r="G636" s="20" t="str">
        <f aca="false">IFERROR(INDEX('Расчет Кплотн'!$C:$C,MATCH(F636,'Расчет Кплотн'!$A:$A,0)),"код не найден")</f>
        <v>г. Шымкент</v>
      </c>
      <c r="H636" s="20" t="s">
        <v>2079</v>
      </c>
      <c r="I636" s="20" t="s">
        <v>513</v>
      </c>
      <c r="J636" s="41" t="s">
        <v>503</v>
      </c>
      <c r="K636" s="20"/>
    </row>
    <row r="637" customFormat="false" ht="30" hidden="false" customHeight="true" outlineLevel="0" collapsed="false">
      <c r="A637" s="20" t="n">
        <v>634</v>
      </c>
      <c r="B637" s="20" t="s">
        <v>2062</v>
      </c>
      <c r="C637" s="20" t="s">
        <v>2080</v>
      </c>
      <c r="D637" s="20" t="s">
        <v>2081</v>
      </c>
      <c r="E637" s="40" t="n">
        <v>14148</v>
      </c>
      <c r="F637" s="31" t="s">
        <v>261</v>
      </c>
      <c r="G637" s="20" t="str">
        <f aca="false">IFERROR(INDEX('Расчет Кплотн'!$C:$C,MATCH(F637,'Расчет Кплотн'!$A:$A,0)),"код не найден")</f>
        <v>г. Шымкент</v>
      </c>
      <c r="H637" s="20" t="s">
        <v>2068</v>
      </c>
      <c r="I637" s="20" t="s">
        <v>513</v>
      </c>
      <c r="J637" s="41" t="s">
        <v>503</v>
      </c>
      <c r="K637" s="20"/>
    </row>
    <row r="638" customFormat="false" ht="30" hidden="false" customHeight="true" outlineLevel="0" collapsed="false">
      <c r="A638" s="20" t="n">
        <v>635</v>
      </c>
      <c r="B638" s="20" t="s">
        <v>2062</v>
      </c>
      <c r="C638" s="20" t="s">
        <v>2082</v>
      </c>
      <c r="D638" s="20" t="s">
        <v>2083</v>
      </c>
      <c r="E638" s="40" t="n">
        <v>18339</v>
      </c>
      <c r="F638" s="31" t="s">
        <v>261</v>
      </c>
      <c r="G638" s="20" t="str">
        <f aca="false">IFERROR(INDEX('Расчет Кплотн'!$C:$C,MATCH(F638,'Расчет Кплотн'!$A:$A,0)),"код не найден")</f>
        <v>г. Шымкент</v>
      </c>
      <c r="H638" s="20" t="s">
        <v>1938</v>
      </c>
      <c r="I638" s="20" t="s">
        <v>513</v>
      </c>
      <c r="J638" s="41" t="s">
        <v>503</v>
      </c>
      <c r="K638" s="20"/>
    </row>
    <row r="639" customFormat="false" ht="30" hidden="false" customHeight="true" outlineLevel="0" collapsed="false">
      <c r="A639" s="20" t="n">
        <v>636</v>
      </c>
      <c r="B639" s="20" t="s">
        <v>2062</v>
      </c>
      <c r="C639" s="20" t="s">
        <v>2084</v>
      </c>
      <c r="D639" s="20" t="s">
        <v>2085</v>
      </c>
      <c r="E639" s="40" t="n">
        <v>59497</v>
      </c>
      <c r="F639" s="31" t="s">
        <v>261</v>
      </c>
      <c r="G639" s="20" t="str">
        <f aca="false">IFERROR(INDEX('Расчет Кплотн'!$C:$C,MATCH(F639,'Расчет Кплотн'!$A:$A,0)),"код не найден")</f>
        <v>г. Шымкент</v>
      </c>
      <c r="H639" s="20" t="s">
        <v>2065</v>
      </c>
      <c r="I639" s="20" t="s">
        <v>513</v>
      </c>
      <c r="J639" s="41" t="s">
        <v>503</v>
      </c>
      <c r="K639" s="20"/>
    </row>
    <row r="640" customFormat="false" ht="30" hidden="false" customHeight="true" outlineLevel="0" collapsed="false">
      <c r="A640" s="20" t="n">
        <v>637</v>
      </c>
      <c r="B640" s="20" t="s">
        <v>2062</v>
      </c>
      <c r="C640" s="20" t="s">
        <v>2086</v>
      </c>
      <c r="D640" s="20" t="s">
        <v>2087</v>
      </c>
      <c r="E640" s="40" t="n">
        <v>55211</v>
      </c>
      <c r="F640" s="31" t="s">
        <v>261</v>
      </c>
      <c r="G640" s="20" t="str">
        <f aca="false">IFERROR(INDEX('Расчет Кплотн'!$C:$C,MATCH(F640,'Расчет Кплотн'!$A:$A,0)),"код не найден")</f>
        <v>г. Шымкент</v>
      </c>
      <c r="H640" s="20" t="s">
        <v>2068</v>
      </c>
      <c r="I640" s="20" t="s">
        <v>513</v>
      </c>
      <c r="J640" s="41" t="s">
        <v>503</v>
      </c>
      <c r="K640" s="20"/>
    </row>
    <row r="641" customFormat="false" ht="30" hidden="false" customHeight="true" outlineLevel="0" collapsed="false">
      <c r="A641" s="20" t="n">
        <v>638</v>
      </c>
      <c r="B641" s="20" t="s">
        <v>2062</v>
      </c>
      <c r="C641" s="20" t="s">
        <v>2088</v>
      </c>
      <c r="D641" s="20" t="s">
        <v>2089</v>
      </c>
      <c r="E641" s="40" t="n">
        <v>3039</v>
      </c>
      <c r="F641" s="31" t="s">
        <v>261</v>
      </c>
      <c r="G641" s="20" t="str">
        <f aca="false">IFERROR(INDEX('Расчет Кплотн'!$C:$C,MATCH(F641,'Расчет Кплотн'!$A:$A,0)),"код не найден")</f>
        <v>г. Шымкент</v>
      </c>
      <c r="H641" s="20" t="s">
        <v>2079</v>
      </c>
      <c r="I641" s="20" t="s">
        <v>513</v>
      </c>
      <c r="J641" s="41" t="s">
        <v>503</v>
      </c>
      <c r="K641" s="20"/>
    </row>
    <row r="642" customFormat="false" ht="30" hidden="false" customHeight="true" outlineLevel="0" collapsed="false">
      <c r="A642" s="20" t="n">
        <v>639</v>
      </c>
      <c r="B642" s="20" t="s">
        <v>2062</v>
      </c>
      <c r="C642" s="20" t="s">
        <v>2090</v>
      </c>
      <c r="D642" s="20" t="s">
        <v>2091</v>
      </c>
      <c r="E642" s="40" t="n">
        <v>26396</v>
      </c>
      <c r="F642" s="31" t="s">
        <v>261</v>
      </c>
      <c r="G642" s="20" t="str">
        <f aca="false">IFERROR(INDEX('Расчет Кплотн'!$C:$C,MATCH(F642,'Расчет Кплотн'!$A:$A,0)),"код не найден")</f>
        <v>г. Шымкент</v>
      </c>
      <c r="H642" s="20" t="s">
        <v>2079</v>
      </c>
      <c r="I642" s="20" t="s">
        <v>513</v>
      </c>
      <c r="J642" s="41" t="s">
        <v>503</v>
      </c>
      <c r="K642" s="20"/>
    </row>
    <row r="643" customFormat="false" ht="30" hidden="false" customHeight="true" outlineLevel="0" collapsed="false">
      <c r="A643" s="20" t="n">
        <v>640</v>
      </c>
      <c r="B643" s="20" t="s">
        <v>2062</v>
      </c>
      <c r="C643" s="20" t="s">
        <v>2092</v>
      </c>
      <c r="D643" s="20" t="s">
        <v>2093</v>
      </c>
      <c r="E643" s="40" t="n">
        <v>11472</v>
      </c>
      <c r="F643" s="31" t="s">
        <v>261</v>
      </c>
      <c r="G643" s="20" t="str">
        <f aca="false">IFERROR(INDEX('Расчет Кплотн'!$C:$C,MATCH(F643,'Расчет Кплотн'!$A:$A,0)),"код не найден")</f>
        <v>г. Шымкент</v>
      </c>
      <c r="H643" s="20" t="s">
        <v>2068</v>
      </c>
      <c r="I643" s="20" t="s">
        <v>513</v>
      </c>
      <c r="J643" s="41" t="s">
        <v>503</v>
      </c>
      <c r="K643" s="20"/>
    </row>
    <row r="644" customFormat="false" ht="30" hidden="false" customHeight="true" outlineLevel="0" collapsed="false">
      <c r="A644" s="20" t="n">
        <v>641</v>
      </c>
      <c r="B644" s="20" t="s">
        <v>2062</v>
      </c>
      <c r="C644" s="20" t="s">
        <v>2094</v>
      </c>
      <c r="D644" s="20" t="s">
        <v>2095</v>
      </c>
      <c r="E644" s="40" t="n">
        <v>43939</v>
      </c>
      <c r="F644" s="31" t="s">
        <v>261</v>
      </c>
      <c r="G644" s="20" t="str">
        <f aca="false">IFERROR(INDEX('Расчет Кплотн'!$C:$C,MATCH(F644,'Расчет Кплотн'!$A:$A,0)),"код не найден")</f>
        <v>г. Шымкент</v>
      </c>
      <c r="H644" s="20" t="s">
        <v>2065</v>
      </c>
      <c r="I644" s="20" t="s">
        <v>513</v>
      </c>
      <c r="J644" s="41" t="s">
        <v>503</v>
      </c>
      <c r="K644" s="20"/>
    </row>
    <row r="645" customFormat="false" ht="30" hidden="false" customHeight="true" outlineLevel="0" collapsed="false">
      <c r="A645" s="20" t="n">
        <v>642</v>
      </c>
      <c r="B645" s="20" t="s">
        <v>2062</v>
      </c>
      <c r="C645" s="20" t="s">
        <v>2096</v>
      </c>
      <c r="D645" s="20" t="s">
        <v>2097</v>
      </c>
      <c r="E645" s="40" t="n">
        <v>3533</v>
      </c>
      <c r="F645" s="31" t="s">
        <v>261</v>
      </c>
      <c r="G645" s="20" t="str">
        <f aca="false">IFERROR(INDEX('Расчет Кплотн'!$C:$C,MATCH(F645,'Расчет Кплотн'!$A:$A,0)),"код не найден")</f>
        <v>г. Шымкент</v>
      </c>
      <c r="H645" s="20" t="s">
        <v>2065</v>
      </c>
      <c r="I645" s="20" t="s">
        <v>513</v>
      </c>
      <c r="J645" s="41" t="s">
        <v>503</v>
      </c>
      <c r="K645" s="20"/>
    </row>
    <row r="646" customFormat="false" ht="30" hidden="false" customHeight="true" outlineLevel="0" collapsed="false">
      <c r="A646" s="20" t="n">
        <v>643</v>
      </c>
      <c r="B646" s="20" t="s">
        <v>2062</v>
      </c>
      <c r="C646" s="20" t="s">
        <v>2098</v>
      </c>
      <c r="D646" s="20" t="s">
        <v>2099</v>
      </c>
      <c r="E646" s="40" t="n">
        <v>19856</v>
      </c>
      <c r="F646" s="31" t="s">
        <v>261</v>
      </c>
      <c r="G646" s="20" t="str">
        <f aca="false">IFERROR(INDEX('Расчет Кплотн'!$C:$C,MATCH(F646,'Расчет Кплотн'!$A:$A,0)),"код не найден")</f>
        <v>г. Шымкент</v>
      </c>
      <c r="H646" s="20" t="s">
        <v>2065</v>
      </c>
      <c r="I646" s="20" t="s">
        <v>513</v>
      </c>
      <c r="J646" s="41" t="s">
        <v>503</v>
      </c>
      <c r="K646" s="20"/>
    </row>
    <row r="647" customFormat="false" ht="30" hidden="false" customHeight="true" outlineLevel="0" collapsed="false">
      <c r="A647" s="20" t="n">
        <v>644</v>
      </c>
      <c r="B647" s="20" t="s">
        <v>2062</v>
      </c>
      <c r="C647" s="20" t="s">
        <v>2100</v>
      </c>
      <c r="D647" s="20" t="s">
        <v>2101</v>
      </c>
      <c r="E647" s="40" t="n">
        <v>17760</v>
      </c>
      <c r="F647" s="31" t="s">
        <v>261</v>
      </c>
      <c r="G647" s="20" t="str">
        <f aca="false">IFERROR(INDEX('Расчет Кплотн'!$C:$C,MATCH(F647,'Расчет Кплотн'!$A:$A,0)),"код не найден")</f>
        <v>г. Шымкент</v>
      </c>
      <c r="H647" s="20" t="s">
        <v>2068</v>
      </c>
      <c r="I647" s="20" t="s">
        <v>513</v>
      </c>
      <c r="J647" s="41" t="s">
        <v>503</v>
      </c>
      <c r="K647" s="20"/>
    </row>
    <row r="648" customFormat="false" ht="30" hidden="false" customHeight="true" outlineLevel="0" collapsed="false">
      <c r="A648" s="20" t="n">
        <v>645</v>
      </c>
      <c r="B648" s="20" t="s">
        <v>2062</v>
      </c>
      <c r="C648" s="20" t="s">
        <v>2102</v>
      </c>
      <c r="D648" s="20" t="s">
        <v>2103</v>
      </c>
      <c r="E648" s="40" t="n">
        <v>7581</v>
      </c>
      <c r="F648" s="31" t="s">
        <v>261</v>
      </c>
      <c r="G648" s="20" t="str">
        <f aca="false">IFERROR(INDEX('Расчет Кплотн'!$C:$C,MATCH(F648,'Расчет Кплотн'!$A:$A,0)),"код не найден")</f>
        <v>г. Шымкент</v>
      </c>
      <c r="H648" s="20" t="s">
        <v>2068</v>
      </c>
      <c r="I648" s="20" t="s">
        <v>513</v>
      </c>
      <c r="J648" s="41" t="s">
        <v>503</v>
      </c>
      <c r="K648" s="20"/>
    </row>
    <row r="649" customFormat="false" ht="30" hidden="false" customHeight="true" outlineLevel="0" collapsed="false">
      <c r="A649" s="20" t="n">
        <v>646</v>
      </c>
      <c r="B649" s="20" t="s">
        <v>2062</v>
      </c>
      <c r="C649" s="20" t="s">
        <v>2104</v>
      </c>
      <c r="D649" s="20" t="s">
        <v>2105</v>
      </c>
      <c r="E649" s="40" t="n">
        <v>23978</v>
      </c>
      <c r="F649" s="31" t="s">
        <v>261</v>
      </c>
      <c r="G649" s="20" t="str">
        <f aca="false">IFERROR(INDEX('Расчет Кплотн'!$C:$C,MATCH(F649,'Расчет Кплотн'!$A:$A,0)),"код не найден")</f>
        <v>г. Шымкент</v>
      </c>
      <c r="H649" s="20" t="s">
        <v>1938</v>
      </c>
      <c r="I649" s="20" t="s">
        <v>513</v>
      </c>
      <c r="J649" s="41" t="s">
        <v>503</v>
      </c>
      <c r="K649" s="20"/>
    </row>
    <row r="650" customFormat="false" ht="30" hidden="false" customHeight="true" outlineLevel="0" collapsed="false">
      <c r="A650" s="20" t="n">
        <v>647</v>
      </c>
      <c r="B650" s="20" t="s">
        <v>2062</v>
      </c>
      <c r="C650" s="20" t="s">
        <v>2106</v>
      </c>
      <c r="D650" s="20" t="s">
        <v>2107</v>
      </c>
      <c r="E650" s="40" t="n">
        <v>4330</v>
      </c>
      <c r="F650" s="31" t="s">
        <v>261</v>
      </c>
      <c r="G650" s="20" t="str">
        <f aca="false">IFERROR(INDEX('Расчет Кплотн'!$C:$C,MATCH(F650,'Расчет Кплотн'!$A:$A,0)),"код не найден")</f>
        <v>г. Шымкент</v>
      </c>
      <c r="H650" s="20" t="s">
        <v>2065</v>
      </c>
      <c r="I650" s="20" t="s">
        <v>513</v>
      </c>
      <c r="J650" s="41" t="s">
        <v>503</v>
      </c>
      <c r="K650" s="20"/>
    </row>
    <row r="651" customFormat="false" ht="30" hidden="false" customHeight="true" outlineLevel="0" collapsed="false">
      <c r="A651" s="20" t="n">
        <v>648</v>
      </c>
      <c r="B651" s="20" t="s">
        <v>2062</v>
      </c>
      <c r="C651" s="20" t="s">
        <v>2108</v>
      </c>
      <c r="D651" s="20" t="s">
        <v>2109</v>
      </c>
      <c r="E651" s="40" t="n">
        <v>21615</v>
      </c>
      <c r="F651" s="31" t="s">
        <v>261</v>
      </c>
      <c r="G651" s="20" t="str">
        <f aca="false">IFERROR(INDEX('Расчет Кплотн'!$C:$C,MATCH(F651,'Расчет Кплотн'!$A:$A,0)),"код не найден")</f>
        <v>г. Шымкент</v>
      </c>
      <c r="H651" s="20" t="s">
        <v>2068</v>
      </c>
      <c r="I651" s="20" t="s">
        <v>513</v>
      </c>
      <c r="J651" s="41" t="s">
        <v>503</v>
      </c>
      <c r="K651" s="20"/>
    </row>
    <row r="652" customFormat="false" ht="30" hidden="false" customHeight="true" outlineLevel="0" collapsed="false">
      <c r="A652" s="20" t="n">
        <v>649</v>
      </c>
      <c r="B652" s="20" t="s">
        <v>2062</v>
      </c>
      <c r="C652" s="20" t="s">
        <v>2110</v>
      </c>
      <c r="D652" s="20" t="s">
        <v>2111</v>
      </c>
      <c r="E652" s="40" t="n">
        <v>4501</v>
      </c>
      <c r="F652" s="31" t="s">
        <v>261</v>
      </c>
      <c r="G652" s="20" t="str">
        <f aca="false">IFERROR(INDEX('Расчет Кплотн'!$C:$C,MATCH(F652,'Расчет Кплотн'!$A:$A,0)),"код не найден")</f>
        <v>г. Шымкент</v>
      </c>
      <c r="H652" s="20" t="s">
        <v>2065</v>
      </c>
      <c r="I652" s="20" t="s">
        <v>513</v>
      </c>
      <c r="J652" s="41" t="s">
        <v>503</v>
      </c>
      <c r="K652" s="20"/>
    </row>
    <row r="653" customFormat="false" ht="30" hidden="false" customHeight="true" outlineLevel="0" collapsed="false">
      <c r="A653" s="20" t="n">
        <v>650</v>
      </c>
      <c r="B653" s="20" t="s">
        <v>2062</v>
      </c>
      <c r="C653" s="20" t="s">
        <v>2112</v>
      </c>
      <c r="D653" s="20" t="s">
        <v>2113</v>
      </c>
      <c r="E653" s="40" t="n">
        <v>12733</v>
      </c>
      <c r="F653" s="31" t="s">
        <v>261</v>
      </c>
      <c r="G653" s="20" t="str">
        <f aca="false">IFERROR(INDEX('Расчет Кплотн'!$C:$C,MATCH(F653,'Расчет Кплотн'!$A:$A,0)),"код не найден")</f>
        <v>г. Шымкент</v>
      </c>
      <c r="H653" s="20" t="s">
        <v>1938</v>
      </c>
      <c r="I653" s="20" t="s">
        <v>513</v>
      </c>
      <c r="J653" s="41" t="s">
        <v>503</v>
      </c>
      <c r="K653" s="20"/>
    </row>
    <row r="654" customFormat="false" ht="30" hidden="false" customHeight="true" outlineLevel="0" collapsed="false">
      <c r="A654" s="20" t="n">
        <v>651</v>
      </c>
      <c r="B654" s="20" t="s">
        <v>2062</v>
      </c>
      <c r="C654" s="20" t="s">
        <v>2114</v>
      </c>
      <c r="D654" s="20" t="s">
        <v>2115</v>
      </c>
      <c r="E654" s="40" t="n">
        <v>15245</v>
      </c>
      <c r="F654" s="31" t="s">
        <v>261</v>
      </c>
      <c r="G654" s="20" t="str">
        <f aca="false">IFERROR(INDEX('Расчет Кплотн'!$C:$C,MATCH(F654,'Расчет Кплотн'!$A:$A,0)),"код не найден")</f>
        <v>г. Шымкент</v>
      </c>
      <c r="H654" s="20" t="s">
        <v>2068</v>
      </c>
      <c r="I654" s="20" t="s">
        <v>513</v>
      </c>
      <c r="J654" s="41" t="s">
        <v>503</v>
      </c>
      <c r="K654" s="20"/>
    </row>
    <row r="655" customFormat="false" ht="30" hidden="false" customHeight="true" outlineLevel="0" collapsed="false">
      <c r="A655" s="20" t="n">
        <v>652</v>
      </c>
      <c r="B655" s="20" t="s">
        <v>2062</v>
      </c>
      <c r="C655" s="20" t="s">
        <v>2116</v>
      </c>
      <c r="D655" s="20" t="s">
        <v>2117</v>
      </c>
      <c r="E655" s="40" t="n">
        <v>2986</v>
      </c>
      <c r="F655" s="31" t="s">
        <v>261</v>
      </c>
      <c r="G655" s="20" t="str">
        <f aca="false">IFERROR(INDEX('Расчет Кплотн'!$C:$C,MATCH(F655,'Расчет Кплотн'!$A:$A,0)),"код не найден")</f>
        <v>г. Шымкент</v>
      </c>
      <c r="H655" s="20" t="s">
        <v>2065</v>
      </c>
      <c r="I655" s="20" t="s">
        <v>513</v>
      </c>
      <c r="J655" s="41" t="s">
        <v>503</v>
      </c>
      <c r="K655" s="20"/>
    </row>
    <row r="656" customFormat="false" ht="30" hidden="false" customHeight="true" outlineLevel="0" collapsed="false">
      <c r="A656" s="20" t="n">
        <v>653</v>
      </c>
      <c r="B656" s="20" t="s">
        <v>2062</v>
      </c>
      <c r="C656" s="20" t="s">
        <v>2118</v>
      </c>
      <c r="D656" s="20" t="s">
        <v>2119</v>
      </c>
      <c r="E656" s="40" t="n">
        <v>3753</v>
      </c>
      <c r="F656" s="31" t="s">
        <v>261</v>
      </c>
      <c r="G656" s="20" t="str">
        <f aca="false">IFERROR(INDEX('Расчет Кплотн'!$C:$C,MATCH(F656,'Расчет Кплотн'!$A:$A,0)),"код не найден")</f>
        <v>г. Шымкент</v>
      </c>
      <c r="H656" s="20" t="s">
        <v>2065</v>
      </c>
      <c r="I656" s="20" t="s">
        <v>513</v>
      </c>
      <c r="J656" s="41" t="s">
        <v>503</v>
      </c>
      <c r="K656" s="20"/>
    </row>
    <row r="657" customFormat="false" ht="30" hidden="false" customHeight="true" outlineLevel="0" collapsed="false">
      <c r="A657" s="20" t="n">
        <v>654</v>
      </c>
      <c r="B657" s="20" t="s">
        <v>2062</v>
      </c>
      <c r="C657" s="20" t="s">
        <v>2120</v>
      </c>
      <c r="D657" s="20" t="s">
        <v>2121</v>
      </c>
      <c r="E657" s="40" t="n">
        <v>3160</v>
      </c>
      <c r="F657" s="31" t="s">
        <v>261</v>
      </c>
      <c r="G657" s="20" t="str">
        <f aca="false">IFERROR(INDEX('Расчет Кплотн'!$C:$C,MATCH(F657,'Расчет Кплотн'!$A:$A,0)),"код не найден")</f>
        <v>г. Шымкент</v>
      </c>
      <c r="H657" s="20" t="s">
        <v>2065</v>
      </c>
      <c r="I657" s="20" t="s">
        <v>513</v>
      </c>
      <c r="J657" s="41" t="s">
        <v>503</v>
      </c>
      <c r="K657" s="20"/>
    </row>
    <row r="658" customFormat="false" ht="30" hidden="false" customHeight="true" outlineLevel="0" collapsed="false">
      <c r="A658" s="20" t="n">
        <v>655</v>
      </c>
      <c r="B658" s="20" t="s">
        <v>2062</v>
      </c>
      <c r="C658" s="20" t="s">
        <v>2122</v>
      </c>
      <c r="D658" s="20" t="s">
        <v>2123</v>
      </c>
      <c r="E658" s="40" t="n">
        <v>36156</v>
      </c>
      <c r="F658" s="31" t="s">
        <v>261</v>
      </c>
      <c r="G658" s="20" t="str">
        <f aca="false">IFERROR(INDEX('Расчет Кплотн'!$C:$C,MATCH(F658,'Расчет Кплотн'!$A:$A,0)),"код не найден")</f>
        <v>г. Шымкент</v>
      </c>
      <c r="H658" s="20" t="s">
        <v>2065</v>
      </c>
      <c r="I658" s="20" t="s">
        <v>513</v>
      </c>
      <c r="J658" s="41" t="s">
        <v>503</v>
      </c>
      <c r="K658" s="20"/>
    </row>
    <row r="659" customFormat="false" ht="30" hidden="false" customHeight="true" outlineLevel="0" collapsed="false">
      <c r="A659" s="20" t="n">
        <v>656</v>
      </c>
      <c r="B659" s="20" t="s">
        <v>2062</v>
      </c>
      <c r="C659" s="20" t="s">
        <v>2124</v>
      </c>
      <c r="D659" s="20" t="s">
        <v>2125</v>
      </c>
      <c r="E659" s="40" t="n">
        <v>16853</v>
      </c>
      <c r="F659" s="31" t="s">
        <v>261</v>
      </c>
      <c r="G659" s="20" t="str">
        <f aca="false">IFERROR(INDEX('Расчет Кплотн'!$C:$C,MATCH(F659,'Расчет Кплотн'!$A:$A,0)),"код не найден")</f>
        <v>г. Шымкент</v>
      </c>
      <c r="H659" s="20" t="s">
        <v>2079</v>
      </c>
      <c r="I659" s="20" t="s">
        <v>513</v>
      </c>
      <c r="J659" s="41" t="s">
        <v>503</v>
      </c>
      <c r="K659" s="20"/>
    </row>
    <row r="660" customFormat="false" ht="30" hidden="false" customHeight="true" outlineLevel="0" collapsed="false">
      <c r="A660" s="20" t="n">
        <v>657</v>
      </c>
      <c r="B660" s="20" t="s">
        <v>2062</v>
      </c>
      <c r="C660" s="20" t="s">
        <v>2126</v>
      </c>
      <c r="D660" s="20" t="s">
        <v>2127</v>
      </c>
      <c r="E660" s="40" t="n">
        <v>12802</v>
      </c>
      <c r="F660" s="31" t="s">
        <v>261</v>
      </c>
      <c r="G660" s="20" t="str">
        <f aca="false">IFERROR(INDEX('Расчет Кплотн'!$C:$C,MATCH(F660,'Расчет Кплотн'!$A:$A,0)),"код не найден")</f>
        <v>г. Шымкент</v>
      </c>
      <c r="H660" s="20" t="s">
        <v>2068</v>
      </c>
      <c r="I660" s="20" t="s">
        <v>513</v>
      </c>
      <c r="J660" s="41" t="s">
        <v>503</v>
      </c>
      <c r="K660" s="20"/>
    </row>
    <row r="661" customFormat="false" ht="30" hidden="false" customHeight="true" outlineLevel="0" collapsed="false">
      <c r="A661" s="20" t="n">
        <v>658</v>
      </c>
      <c r="B661" s="20" t="s">
        <v>2062</v>
      </c>
      <c r="C661" s="20" t="s">
        <v>2128</v>
      </c>
      <c r="D661" s="20" t="s">
        <v>2129</v>
      </c>
      <c r="E661" s="40" t="n">
        <v>37783</v>
      </c>
      <c r="F661" s="31" t="s">
        <v>261</v>
      </c>
      <c r="G661" s="20" t="str">
        <f aca="false">IFERROR(INDEX('Расчет Кплотн'!$C:$C,MATCH(F661,'Расчет Кплотн'!$A:$A,0)),"код не найден")</f>
        <v>г. Шымкент</v>
      </c>
      <c r="H661" s="20" t="s">
        <v>1938</v>
      </c>
      <c r="I661" s="20" t="s">
        <v>513</v>
      </c>
      <c r="J661" s="41" t="s">
        <v>503</v>
      </c>
      <c r="K661" s="20"/>
    </row>
    <row r="662" customFormat="false" ht="30" hidden="false" customHeight="true" outlineLevel="0" collapsed="false">
      <c r="A662" s="20" t="n">
        <v>659</v>
      </c>
      <c r="B662" s="20" t="s">
        <v>2062</v>
      </c>
      <c r="C662" s="20" t="s">
        <v>2130</v>
      </c>
      <c r="D662" s="20" t="s">
        <v>2131</v>
      </c>
      <c r="E662" s="40" t="n">
        <v>32452</v>
      </c>
      <c r="F662" s="31" t="s">
        <v>261</v>
      </c>
      <c r="G662" s="20" t="str">
        <f aca="false">IFERROR(INDEX('Расчет Кплотн'!$C:$C,MATCH(F662,'Расчет Кплотн'!$A:$A,0)),"код не найден")</f>
        <v>г. Шымкент</v>
      </c>
      <c r="H662" s="20" t="s">
        <v>2068</v>
      </c>
      <c r="I662" s="20" t="s">
        <v>513</v>
      </c>
      <c r="J662" s="41" t="s">
        <v>503</v>
      </c>
      <c r="K662" s="20"/>
    </row>
    <row r="663" customFormat="false" ht="30" hidden="false" customHeight="true" outlineLevel="0" collapsed="false">
      <c r="A663" s="20" t="n">
        <v>660</v>
      </c>
      <c r="B663" s="20" t="s">
        <v>2062</v>
      </c>
      <c r="C663" s="20" t="s">
        <v>2132</v>
      </c>
      <c r="D663" s="20" t="s">
        <v>2133</v>
      </c>
      <c r="E663" s="40" t="n">
        <v>54134</v>
      </c>
      <c r="F663" s="31" t="s">
        <v>261</v>
      </c>
      <c r="G663" s="20" t="str">
        <f aca="false">IFERROR(INDEX('Расчет Кплотн'!$C:$C,MATCH(F663,'Расчет Кплотн'!$A:$A,0)),"код не найден")</f>
        <v>г. Шымкент</v>
      </c>
      <c r="H663" s="20" t="s">
        <v>2079</v>
      </c>
      <c r="I663" s="20" t="s">
        <v>513</v>
      </c>
      <c r="J663" s="41" t="s">
        <v>503</v>
      </c>
      <c r="K663" s="20"/>
    </row>
    <row r="664" customFormat="false" ht="30" hidden="false" customHeight="true" outlineLevel="0" collapsed="false">
      <c r="A664" s="20" t="n">
        <v>661</v>
      </c>
      <c r="B664" s="20" t="s">
        <v>2062</v>
      </c>
      <c r="C664" s="20" t="s">
        <v>2134</v>
      </c>
      <c r="D664" s="20" t="s">
        <v>2135</v>
      </c>
      <c r="E664" s="40" t="n">
        <v>62662</v>
      </c>
      <c r="F664" s="31" t="s">
        <v>261</v>
      </c>
      <c r="G664" s="20" t="str">
        <f aca="false">IFERROR(INDEX('Расчет Кплотн'!$C:$C,MATCH(F664,'Расчет Кплотн'!$A:$A,0)),"код не найден")</f>
        <v>г. Шымкент</v>
      </c>
      <c r="H664" s="20" t="s">
        <v>2065</v>
      </c>
      <c r="I664" s="20" t="s">
        <v>513</v>
      </c>
      <c r="J664" s="41" t="s">
        <v>503</v>
      </c>
      <c r="K664" s="20"/>
    </row>
    <row r="665" customFormat="false" ht="30" hidden="false" customHeight="true" outlineLevel="0" collapsed="false">
      <c r="A665" s="20" t="n">
        <v>662</v>
      </c>
      <c r="B665" s="20" t="s">
        <v>2062</v>
      </c>
      <c r="C665" s="20" t="s">
        <v>2136</v>
      </c>
      <c r="D665" s="20" t="s">
        <v>2137</v>
      </c>
      <c r="E665" s="40" t="n">
        <v>53917</v>
      </c>
      <c r="F665" s="31" t="s">
        <v>261</v>
      </c>
      <c r="G665" s="20" t="str">
        <f aca="false">IFERROR(INDEX('Расчет Кплотн'!$C:$C,MATCH(F665,'Расчет Кплотн'!$A:$A,0)),"код не найден")</f>
        <v>г. Шымкент</v>
      </c>
      <c r="H665" s="20" t="s">
        <v>2065</v>
      </c>
      <c r="I665" s="20" t="s">
        <v>513</v>
      </c>
      <c r="J665" s="41" t="s">
        <v>503</v>
      </c>
      <c r="K665" s="20"/>
    </row>
    <row r="666" customFormat="false" ht="30" hidden="false" customHeight="true" outlineLevel="0" collapsed="false">
      <c r="A666" s="20" t="n">
        <v>663</v>
      </c>
      <c r="B666" s="20" t="s">
        <v>2062</v>
      </c>
      <c r="C666" s="20" t="s">
        <v>2138</v>
      </c>
      <c r="D666" s="20" t="s">
        <v>2139</v>
      </c>
      <c r="E666" s="40" t="n">
        <v>35586</v>
      </c>
      <c r="F666" s="31" t="s">
        <v>261</v>
      </c>
      <c r="G666" s="20" t="str">
        <f aca="false">IFERROR(INDEX('Расчет Кплотн'!$C:$C,MATCH(F666,'Расчет Кплотн'!$A:$A,0)),"код не найден")</f>
        <v>г. Шымкент</v>
      </c>
      <c r="H666" s="20" t="s">
        <v>1938</v>
      </c>
      <c r="I666" s="20" t="s">
        <v>513</v>
      </c>
      <c r="J666" s="41" t="s">
        <v>503</v>
      </c>
      <c r="K666" s="20"/>
    </row>
    <row r="667" customFormat="false" ht="30" hidden="false" customHeight="true" outlineLevel="0" collapsed="false">
      <c r="A667" s="20" t="n">
        <v>664</v>
      </c>
      <c r="B667" s="20" t="s">
        <v>2062</v>
      </c>
      <c r="C667" s="20" t="s">
        <v>2140</v>
      </c>
      <c r="D667" s="20" t="s">
        <v>2141</v>
      </c>
      <c r="E667" s="40" t="n">
        <v>55248</v>
      </c>
      <c r="F667" s="31" t="s">
        <v>261</v>
      </c>
      <c r="G667" s="20" t="str">
        <f aca="false">IFERROR(INDEX('Расчет Кплотн'!$C:$C,MATCH(F667,'Расчет Кплотн'!$A:$A,0)),"код не найден")</f>
        <v>г. Шымкент</v>
      </c>
      <c r="H667" s="20" t="s">
        <v>2068</v>
      </c>
      <c r="I667" s="20" t="s">
        <v>513</v>
      </c>
      <c r="J667" s="41" t="s">
        <v>503</v>
      </c>
      <c r="K667" s="20"/>
    </row>
    <row r="668" customFormat="false" ht="30" hidden="false" customHeight="true" outlineLevel="0" collapsed="false">
      <c r="A668" s="20" t="n">
        <v>665</v>
      </c>
      <c r="B668" s="20" t="s">
        <v>2062</v>
      </c>
      <c r="C668" s="20" t="s">
        <v>2142</v>
      </c>
      <c r="D668" s="20" t="s">
        <v>2143</v>
      </c>
      <c r="E668" s="40" t="n">
        <v>60792</v>
      </c>
      <c r="F668" s="31" t="s">
        <v>261</v>
      </c>
      <c r="G668" s="20" t="str">
        <f aca="false">IFERROR(INDEX('Расчет Кплотн'!$C:$C,MATCH(F668,'Расчет Кплотн'!$A:$A,0)),"код не найден")</f>
        <v>г. Шымкент</v>
      </c>
      <c r="H668" s="20" t="s">
        <v>2079</v>
      </c>
      <c r="I668" s="20" t="s">
        <v>513</v>
      </c>
      <c r="J668" s="41" t="s">
        <v>503</v>
      </c>
      <c r="K668" s="20"/>
    </row>
    <row r="669" customFormat="false" ht="30" hidden="false" customHeight="true" outlineLevel="0" collapsed="false">
      <c r="A669" s="20" t="n">
        <v>666</v>
      </c>
      <c r="B669" s="20" t="s">
        <v>2062</v>
      </c>
      <c r="C669" s="20" t="s">
        <v>2144</v>
      </c>
      <c r="D669" s="20" t="s">
        <v>2145</v>
      </c>
      <c r="E669" s="40" t="n">
        <v>40851</v>
      </c>
      <c r="F669" s="31" t="s">
        <v>261</v>
      </c>
      <c r="G669" s="20" t="str">
        <f aca="false">IFERROR(INDEX('Расчет Кплотн'!$C:$C,MATCH(F669,'Расчет Кплотн'!$A:$A,0)),"код не найден")</f>
        <v>г. Шымкент</v>
      </c>
      <c r="H669" s="20" t="s">
        <v>2068</v>
      </c>
      <c r="I669" s="20" t="s">
        <v>513</v>
      </c>
      <c r="J669" s="41" t="s">
        <v>503</v>
      </c>
      <c r="K669" s="20"/>
    </row>
    <row r="670" customFormat="false" ht="30" hidden="false" customHeight="true" outlineLevel="0" collapsed="false">
      <c r="A670" s="20" t="n">
        <v>667</v>
      </c>
      <c r="B670" s="20" t="s">
        <v>2062</v>
      </c>
      <c r="C670" s="20" t="s">
        <v>2146</v>
      </c>
      <c r="D670" s="20" t="s">
        <v>2147</v>
      </c>
      <c r="E670" s="40" t="n">
        <v>25982</v>
      </c>
      <c r="F670" s="31" t="s">
        <v>261</v>
      </c>
      <c r="G670" s="20" t="str">
        <f aca="false">IFERROR(INDEX('Расчет Кплотн'!$C:$C,MATCH(F670,'Расчет Кплотн'!$A:$A,0)),"код не найден")</f>
        <v>г. Шымкент</v>
      </c>
      <c r="H670" s="20" t="s">
        <v>2079</v>
      </c>
      <c r="I670" s="20" t="s">
        <v>513</v>
      </c>
      <c r="J670" s="41" t="s">
        <v>503</v>
      </c>
      <c r="K670" s="20"/>
    </row>
    <row r="671" customFormat="false" ht="30" hidden="false" customHeight="true" outlineLevel="0" collapsed="false">
      <c r="A671" s="20" t="n">
        <v>668</v>
      </c>
      <c r="B671" s="20" t="s">
        <v>2062</v>
      </c>
      <c r="C671" s="20" t="s">
        <v>2148</v>
      </c>
      <c r="D671" s="20" t="s">
        <v>2149</v>
      </c>
      <c r="E671" s="40" t="n">
        <v>32728</v>
      </c>
      <c r="F671" s="31" t="s">
        <v>261</v>
      </c>
      <c r="G671" s="20" t="str">
        <f aca="false">IFERROR(INDEX('Расчет Кплотн'!$C:$C,MATCH(F671,'Расчет Кплотн'!$A:$A,0)),"код не найден")</f>
        <v>г. Шымкент</v>
      </c>
      <c r="H671" s="20" t="s">
        <v>1938</v>
      </c>
      <c r="I671" s="20" t="s">
        <v>513</v>
      </c>
      <c r="J671" s="41" t="s">
        <v>503</v>
      </c>
      <c r="K671" s="20"/>
    </row>
    <row r="672" customFormat="false" ht="30" hidden="false" customHeight="true" outlineLevel="0" collapsed="false">
      <c r="A672" s="20" t="n">
        <v>669</v>
      </c>
      <c r="B672" s="20" t="s">
        <v>2062</v>
      </c>
      <c r="C672" s="20" t="s">
        <v>1983</v>
      </c>
      <c r="D672" s="20"/>
      <c r="E672" s="40" t="n">
        <v>23119</v>
      </c>
      <c r="F672" s="31" t="s">
        <v>261</v>
      </c>
      <c r="G672" s="20" t="str">
        <f aca="false">IFERROR(INDEX('Расчет Кплотн'!$C:$C,MATCH(F672,'Расчет Кплотн'!$A:$A,0)),"код не найден")</f>
        <v>г. Шымкент</v>
      </c>
      <c r="H672" s="20" t="s">
        <v>2079</v>
      </c>
      <c r="I672" s="20" t="s">
        <v>513</v>
      </c>
      <c r="J672" s="41" t="s">
        <v>503</v>
      </c>
      <c r="K672" s="20"/>
    </row>
    <row r="673" customFormat="false" ht="30" hidden="false" customHeight="true" outlineLevel="0" collapsed="false">
      <c r="A673" s="20" t="n">
        <v>670</v>
      </c>
      <c r="B673" s="20" t="s">
        <v>2062</v>
      </c>
      <c r="C673" s="20" t="s">
        <v>2150</v>
      </c>
      <c r="D673" s="20" t="s">
        <v>2151</v>
      </c>
      <c r="E673" s="40" t="n">
        <v>24538</v>
      </c>
      <c r="F673" s="31" t="s">
        <v>261</v>
      </c>
      <c r="G673" s="20" t="str">
        <f aca="false">IFERROR(INDEX('Расчет Кплотн'!$C:$C,MATCH(F673,'Расчет Кплотн'!$A:$A,0)),"код не найден")</f>
        <v>г. Шымкент</v>
      </c>
      <c r="H673" s="20"/>
      <c r="I673" s="20" t="s">
        <v>513</v>
      </c>
      <c r="J673" s="41" t="s">
        <v>1069</v>
      </c>
      <c r="K673" s="20"/>
    </row>
    <row r="674" customFormat="false" ht="30" hidden="false" customHeight="true" outlineLevel="0" collapsed="false">
      <c r="A674" s="20" t="n">
        <v>671</v>
      </c>
      <c r="B674" s="20" t="s">
        <v>2062</v>
      </c>
      <c r="C674" s="20" t="s">
        <v>2152</v>
      </c>
      <c r="D674" s="20" t="s">
        <v>2153</v>
      </c>
      <c r="E674" s="40" t="n">
        <v>19902</v>
      </c>
      <c r="F674" s="31" t="s">
        <v>261</v>
      </c>
      <c r="G674" s="20" t="str">
        <f aca="false">IFERROR(INDEX('Расчет Кплотн'!$C:$C,MATCH(F674,'Расчет Кплотн'!$A:$A,0)),"код не найден")</f>
        <v>г. Шымкент</v>
      </c>
      <c r="H674" s="20" t="s">
        <v>2068</v>
      </c>
      <c r="I674" s="20" t="s">
        <v>513</v>
      </c>
      <c r="J674" s="41" t="s">
        <v>503</v>
      </c>
      <c r="K674" s="20"/>
    </row>
    <row r="675" customFormat="false" ht="30" hidden="false" customHeight="true" outlineLevel="0" collapsed="false">
      <c r="A675" s="20" t="n">
        <v>672</v>
      </c>
      <c r="B675" s="20" t="s">
        <v>2062</v>
      </c>
      <c r="C675" s="20" t="s">
        <v>2154</v>
      </c>
      <c r="D675" s="20" t="s">
        <v>2155</v>
      </c>
      <c r="E675" s="40" t="n">
        <v>16559</v>
      </c>
      <c r="F675" s="31" t="s">
        <v>261</v>
      </c>
      <c r="G675" s="20" t="str">
        <f aca="false">IFERROR(INDEX('Расчет Кплотн'!$C:$C,MATCH(F675,'Расчет Кплотн'!$A:$A,0)),"код не найден")</f>
        <v>г. Шымкент</v>
      </c>
      <c r="H675" s="20" t="s">
        <v>1938</v>
      </c>
      <c r="I675" s="20" t="s">
        <v>513</v>
      </c>
      <c r="J675" s="41" t="s">
        <v>503</v>
      </c>
      <c r="K675" s="20"/>
    </row>
    <row r="676" customFormat="false" ht="30" hidden="false" customHeight="true" outlineLevel="0" collapsed="false">
      <c r="A676" s="20" t="n">
        <v>673</v>
      </c>
      <c r="B676" s="20" t="s">
        <v>2062</v>
      </c>
      <c r="C676" s="20" t="s">
        <v>2156</v>
      </c>
      <c r="D676" s="20" t="s">
        <v>2157</v>
      </c>
      <c r="E676" s="40" t="n">
        <v>10243</v>
      </c>
      <c r="F676" s="31" t="s">
        <v>261</v>
      </c>
      <c r="G676" s="20" t="str">
        <f aca="false">IFERROR(INDEX('Расчет Кплотн'!$C:$C,MATCH(F676,'Расчет Кплотн'!$A:$A,0)),"код не найден")</f>
        <v>г. Шымкент</v>
      </c>
      <c r="H676" s="20" t="s">
        <v>1938</v>
      </c>
      <c r="I676" s="20" t="s">
        <v>513</v>
      </c>
      <c r="J676" s="41" t="s">
        <v>503</v>
      </c>
      <c r="K676" s="20"/>
    </row>
    <row r="677" customFormat="false" ht="30" hidden="false" customHeight="true" outlineLevel="0" collapsed="false">
      <c r="A677" s="20" t="n">
        <v>674</v>
      </c>
      <c r="B677" s="20" t="s">
        <v>2062</v>
      </c>
      <c r="C677" s="20" t="s">
        <v>2158</v>
      </c>
      <c r="D677" s="20" t="s">
        <v>2159</v>
      </c>
      <c r="E677" s="40" t="n">
        <v>5884</v>
      </c>
      <c r="F677" s="31" t="s">
        <v>261</v>
      </c>
      <c r="G677" s="20" t="str">
        <f aca="false">IFERROR(INDEX('Расчет Кплотн'!$C:$C,MATCH(F677,'Расчет Кплотн'!$A:$A,0)),"код не найден")</f>
        <v>г. Шымкент</v>
      </c>
      <c r="H677" s="20" t="s">
        <v>2065</v>
      </c>
      <c r="I677" s="20" t="s">
        <v>513</v>
      </c>
      <c r="J677" s="41" t="s">
        <v>503</v>
      </c>
      <c r="K677" s="20"/>
    </row>
    <row r="678" customFormat="false" ht="30" hidden="false" customHeight="true" outlineLevel="0" collapsed="false">
      <c r="A678" s="20" t="n">
        <v>675</v>
      </c>
      <c r="B678" s="20" t="s">
        <v>2062</v>
      </c>
      <c r="C678" s="20" t="s">
        <v>2160</v>
      </c>
      <c r="D678" s="20" t="s">
        <v>2161</v>
      </c>
      <c r="E678" s="40" t="n">
        <v>29453</v>
      </c>
      <c r="F678" s="31" t="s">
        <v>261</v>
      </c>
      <c r="G678" s="20" t="str">
        <f aca="false">IFERROR(INDEX('Расчет Кплотн'!$C:$C,MATCH(F678,'Расчет Кплотн'!$A:$A,0)),"код не найден")</f>
        <v>г. Шымкент</v>
      </c>
      <c r="H678" s="20" t="s">
        <v>2079</v>
      </c>
      <c r="I678" s="20" t="s">
        <v>513</v>
      </c>
      <c r="J678" s="41" t="s">
        <v>503</v>
      </c>
      <c r="K678" s="20"/>
    </row>
    <row r="679" customFormat="false" ht="30" hidden="false" customHeight="true" outlineLevel="0" collapsed="false">
      <c r="A679" s="20" t="n">
        <v>676</v>
      </c>
      <c r="B679" s="20" t="s">
        <v>2062</v>
      </c>
      <c r="C679" s="20" t="s">
        <v>2162</v>
      </c>
      <c r="D679" s="20" t="s">
        <v>2163</v>
      </c>
      <c r="E679" s="40" t="n">
        <v>6708</v>
      </c>
      <c r="F679" s="31" t="s">
        <v>261</v>
      </c>
      <c r="G679" s="20" t="str">
        <f aca="false">IFERROR(INDEX('Расчет Кплотн'!$C:$C,MATCH(F679,'Расчет Кплотн'!$A:$A,0)),"код не найден")</f>
        <v>г. Шымкент</v>
      </c>
      <c r="H679" s="20" t="s">
        <v>1938</v>
      </c>
      <c r="I679" s="20" t="s">
        <v>513</v>
      </c>
      <c r="J679" s="41" t="s">
        <v>503</v>
      </c>
      <c r="K679" s="20"/>
    </row>
    <row r="680" customFormat="false" ht="30" hidden="false" customHeight="true" outlineLevel="0" collapsed="false">
      <c r="A680" s="20" t="n">
        <v>677</v>
      </c>
      <c r="B680" s="20" t="s">
        <v>2062</v>
      </c>
      <c r="C680" s="20" t="s">
        <v>2164</v>
      </c>
      <c r="D680" s="20" t="s">
        <v>2165</v>
      </c>
      <c r="E680" s="40" t="n">
        <v>11365</v>
      </c>
      <c r="F680" s="31" t="s">
        <v>261</v>
      </c>
      <c r="G680" s="20" t="str">
        <f aca="false">IFERROR(INDEX('Расчет Кплотн'!$C:$C,MATCH(F680,'Расчет Кплотн'!$A:$A,0)),"код не найден")</f>
        <v>г. Шымкент</v>
      </c>
      <c r="H680" s="20" t="s">
        <v>1938</v>
      </c>
      <c r="I680" s="20" t="s">
        <v>513</v>
      </c>
      <c r="J680" s="41" t="s">
        <v>503</v>
      </c>
      <c r="K680" s="20"/>
    </row>
    <row r="681" customFormat="false" ht="30" hidden="false" customHeight="true" outlineLevel="0" collapsed="false">
      <c r="A681" s="20" t="n">
        <v>678</v>
      </c>
      <c r="B681" s="20" t="s">
        <v>2062</v>
      </c>
      <c r="C681" s="20" t="s">
        <v>2166</v>
      </c>
      <c r="D681" s="20" t="s">
        <v>2167</v>
      </c>
      <c r="E681" s="40" t="n">
        <v>3464</v>
      </c>
      <c r="F681" s="31" t="s">
        <v>261</v>
      </c>
      <c r="G681" s="20" t="str">
        <f aca="false">IFERROR(INDEX('Расчет Кплотн'!$C:$C,MATCH(F681,'Расчет Кплотн'!$A:$A,0)),"код не найден")</f>
        <v>г. Шымкент</v>
      </c>
      <c r="H681" s="20" t="s">
        <v>2065</v>
      </c>
      <c r="I681" s="20" t="s">
        <v>513</v>
      </c>
      <c r="J681" s="41" t="s">
        <v>503</v>
      </c>
      <c r="K681" s="20"/>
    </row>
    <row r="682" customFormat="false" ht="30" hidden="false" customHeight="true" outlineLevel="0" collapsed="false">
      <c r="A682" s="20" t="n">
        <v>679</v>
      </c>
      <c r="B682" s="20" t="s">
        <v>2062</v>
      </c>
      <c r="C682" s="20" t="s">
        <v>2168</v>
      </c>
      <c r="D682" s="20" t="s">
        <v>2169</v>
      </c>
      <c r="E682" s="40" t="n">
        <v>22764</v>
      </c>
      <c r="F682" s="31" t="s">
        <v>261</v>
      </c>
      <c r="G682" s="20" t="str">
        <f aca="false">IFERROR(INDEX('Расчет Кплотн'!$C:$C,MATCH(F682,'Расчет Кплотн'!$A:$A,0)),"код не найден")</f>
        <v>г. Шымкент</v>
      </c>
      <c r="H682" s="20" t="s">
        <v>2079</v>
      </c>
      <c r="I682" s="20" t="s">
        <v>513</v>
      </c>
      <c r="J682" s="41" t="s">
        <v>503</v>
      </c>
      <c r="K682" s="20"/>
    </row>
    <row r="683" customFormat="false" ht="30" hidden="false" customHeight="true" outlineLevel="0" collapsed="false">
      <c r="A683" s="20" t="n">
        <v>680</v>
      </c>
      <c r="B683" s="20" t="s">
        <v>2062</v>
      </c>
      <c r="C683" s="20" t="s">
        <v>2170</v>
      </c>
      <c r="D683" s="20" t="s">
        <v>2171</v>
      </c>
      <c r="E683" s="40" t="n">
        <v>5963</v>
      </c>
      <c r="F683" s="31" t="s">
        <v>261</v>
      </c>
      <c r="G683" s="20" t="str">
        <f aca="false">IFERROR(INDEX('Расчет Кплотн'!$C:$C,MATCH(F683,'Расчет Кплотн'!$A:$A,0)),"код не найден")</f>
        <v>г. Шымкент</v>
      </c>
      <c r="H683" s="20" t="s">
        <v>2079</v>
      </c>
      <c r="I683" s="20" t="s">
        <v>513</v>
      </c>
      <c r="J683" s="41" t="s">
        <v>503</v>
      </c>
      <c r="K683" s="20"/>
    </row>
    <row r="684" customFormat="false" ht="30" hidden="false" customHeight="true" outlineLevel="0" collapsed="false">
      <c r="A684" s="20" t="n">
        <v>681</v>
      </c>
      <c r="B684" s="20" t="s">
        <v>2062</v>
      </c>
      <c r="C684" s="20" t="s">
        <v>2172</v>
      </c>
      <c r="D684" s="20" t="s">
        <v>2173</v>
      </c>
      <c r="E684" s="40" t="n">
        <v>4037</v>
      </c>
      <c r="F684" s="31" t="s">
        <v>261</v>
      </c>
      <c r="G684" s="20" t="str">
        <f aca="false">IFERROR(INDEX('Расчет Кплотн'!$C:$C,MATCH(F684,'Расчет Кплотн'!$A:$A,0)),"код не найден")</f>
        <v>г. Шымкент</v>
      </c>
      <c r="H684" s="20" t="s">
        <v>2065</v>
      </c>
      <c r="I684" s="20" t="s">
        <v>513</v>
      </c>
      <c r="J684" s="41" t="s">
        <v>503</v>
      </c>
      <c r="K684" s="20"/>
    </row>
    <row r="685" customFormat="false" ht="30" hidden="false" customHeight="true" outlineLevel="0" collapsed="false">
      <c r="A685" s="20" t="n">
        <v>682</v>
      </c>
      <c r="B685" s="20" t="s">
        <v>2062</v>
      </c>
      <c r="C685" s="20" t="s">
        <v>2174</v>
      </c>
      <c r="D685" s="20" t="s">
        <v>2175</v>
      </c>
      <c r="E685" s="40" t="n">
        <v>6031</v>
      </c>
      <c r="F685" s="31" t="s">
        <v>261</v>
      </c>
      <c r="G685" s="20" t="str">
        <f aca="false">IFERROR(INDEX('Расчет Кплотн'!$C:$C,MATCH(F685,'Расчет Кплотн'!$A:$A,0)),"код не найден")</f>
        <v>г. Шымкент</v>
      </c>
      <c r="H685" s="20" t="s">
        <v>2065</v>
      </c>
      <c r="I685" s="20" t="s">
        <v>513</v>
      </c>
      <c r="J685" s="41" t="s">
        <v>503</v>
      </c>
      <c r="K685" s="20"/>
    </row>
    <row r="686" customFormat="false" ht="30" hidden="false" customHeight="true" outlineLevel="0" collapsed="false">
      <c r="A686" s="20" t="n">
        <v>683</v>
      </c>
      <c r="B686" s="20" t="s">
        <v>2062</v>
      </c>
      <c r="C686" s="20" t="s">
        <v>2176</v>
      </c>
      <c r="D686" s="20" t="s">
        <v>2177</v>
      </c>
      <c r="E686" s="40" t="n">
        <v>43620</v>
      </c>
      <c r="F686" s="31" t="s">
        <v>261</v>
      </c>
      <c r="G686" s="20" t="str">
        <f aca="false">IFERROR(INDEX('Расчет Кплотн'!$C:$C,MATCH(F686,'Расчет Кплотн'!$A:$A,0)),"код не найден")</f>
        <v>г. Шымкент</v>
      </c>
      <c r="H686" s="20" t="s">
        <v>2079</v>
      </c>
      <c r="I686" s="20" t="s">
        <v>513</v>
      </c>
      <c r="J686" s="41" t="s">
        <v>503</v>
      </c>
      <c r="K686" s="20"/>
    </row>
    <row r="687" customFormat="false" ht="30" hidden="false" customHeight="true" outlineLevel="0" collapsed="false">
      <c r="A687" s="20" t="n">
        <v>684</v>
      </c>
      <c r="B687" s="20" t="s">
        <v>2062</v>
      </c>
      <c r="C687" s="20" t="s">
        <v>2178</v>
      </c>
      <c r="D687" s="20" t="s">
        <v>2179</v>
      </c>
      <c r="E687" s="40" t="n">
        <v>3472</v>
      </c>
      <c r="F687" s="31" t="s">
        <v>261</v>
      </c>
      <c r="G687" s="20" t="str">
        <f aca="false">IFERROR(INDEX('Расчет Кплотн'!$C:$C,MATCH(F687,'Расчет Кплотн'!$A:$A,0)),"код не найден")</f>
        <v>г. Шымкент</v>
      </c>
      <c r="H687" s="20" t="s">
        <v>1938</v>
      </c>
      <c r="I687" s="20" t="s">
        <v>513</v>
      </c>
      <c r="J687" s="41" t="s">
        <v>503</v>
      </c>
      <c r="K687" s="20"/>
    </row>
    <row r="688" customFormat="false" ht="15" hidden="false" customHeight="false" outlineLevel="0" collapsed="false">
      <c r="A688" s="42"/>
      <c r="B688" s="42"/>
      <c r="C688" s="42" t="s">
        <v>2180</v>
      </c>
      <c r="D688" s="42"/>
      <c r="E688" s="43" t="n">
        <f aca="false">SUM(E4:E687)</f>
        <v>20285119</v>
      </c>
      <c r="F688" s="42"/>
      <c r="G688" s="42"/>
      <c r="H688" s="42"/>
      <c r="I688" s="42"/>
      <c r="J688" s="42"/>
      <c r="K688" s="42"/>
    </row>
  </sheetData>
  <autoFilter ref="A3:K6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G4" activeCellId="0" sqref="G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8" min="7" style="0" width="30"/>
    <col collapsed="false" customWidth="true" hidden="false" outlineLevel="0" max="10" min="9" style="0" width="12"/>
  </cols>
  <sheetData>
    <row r="1" customFormat="false" ht="15.75" hidden="false" customHeight="true" outlineLevel="0" collapsed="false">
      <c r="A1" s="1" t="s">
        <v>2181</v>
      </c>
    </row>
    <row r="2" customFormat="false" ht="15" hidden="false" customHeight="false" outlineLevel="0" collapsed="false">
      <c r="A2" s="7" t="s">
        <v>2182</v>
      </c>
    </row>
    <row r="4" customFormat="false" ht="45" hidden="false" customHeight="true" outlineLevel="0" collapsed="false">
      <c r="A4" s="2" t="s">
        <v>33</v>
      </c>
      <c r="B4" s="2" t="s">
        <v>2183</v>
      </c>
      <c r="C4" s="2" t="s">
        <v>490</v>
      </c>
      <c r="D4" s="2" t="s">
        <v>491</v>
      </c>
      <c r="E4" s="2" t="s">
        <v>492</v>
      </c>
      <c r="F4" s="2" t="s">
        <v>2184</v>
      </c>
      <c r="G4" s="2" t="s">
        <v>2185</v>
      </c>
      <c r="H4" s="2" t="s">
        <v>2186</v>
      </c>
      <c r="I4" s="2" t="s">
        <v>2187</v>
      </c>
      <c r="J4" s="2" t="s">
        <v>2188</v>
      </c>
    </row>
    <row r="5" customFormat="false" ht="15" hidden="false" customHeight="false" outlineLevel="0" collapsed="false">
      <c r="A5" s="12" t="n">
        <v>1</v>
      </c>
      <c r="B5" s="12" t="s">
        <v>1837</v>
      </c>
      <c r="C5" s="12" t="s">
        <v>1944</v>
      </c>
      <c r="D5" s="12" t="s">
        <v>1945</v>
      </c>
      <c r="E5" s="13" t="n">
        <v>144122</v>
      </c>
      <c r="F5" s="12" t="s">
        <v>459</v>
      </c>
      <c r="G5" s="44"/>
      <c r="H5" s="44"/>
      <c r="I5" s="44"/>
      <c r="J5" s="44"/>
    </row>
    <row r="6" customFormat="false" ht="15" hidden="false" customHeight="false" outlineLevel="0" collapsed="false">
      <c r="A6" s="12" t="n">
        <v>2</v>
      </c>
      <c r="B6" s="12" t="s">
        <v>1837</v>
      </c>
      <c r="C6" s="12" t="s">
        <v>2012</v>
      </c>
      <c r="D6" s="12" t="s">
        <v>2013</v>
      </c>
      <c r="E6" s="13" t="n">
        <v>111240</v>
      </c>
      <c r="F6" s="12" t="s">
        <v>458</v>
      </c>
      <c r="G6" s="44"/>
      <c r="H6" s="44"/>
      <c r="I6" s="44"/>
      <c r="J6" s="44"/>
    </row>
    <row r="7" customFormat="false" ht="15" hidden="false" customHeight="false" outlineLevel="0" collapsed="false">
      <c r="A7" s="12" t="n">
        <v>3</v>
      </c>
      <c r="B7" s="12" t="s">
        <v>840</v>
      </c>
      <c r="C7" s="12" t="s">
        <v>873</v>
      </c>
      <c r="D7" s="12" t="s">
        <v>874</v>
      </c>
      <c r="E7" s="13" t="n">
        <v>64039</v>
      </c>
      <c r="F7" s="12" t="s">
        <v>24</v>
      </c>
      <c r="G7" s="44"/>
      <c r="H7" s="44"/>
      <c r="I7" s="44"/>
      <c r="J7" s="44"/>
    </row>
    <row r="8" customFormat="false" ht="15" hidden="false" customHeight="false" outlineLevel="0" collapsed="false">
      <c r="A8" s="12" t="n">
        <v>4</v>
      </c>
      <c r="B8" s="12" t="s">
        <v>1837</v>
      </c>
      <c r="C8" s="12" t="s">
        <v>1976</v>
      </c>
      <c r="D8" s="12" t="s">
        <v>1977</v>
      </c>
      <c r="E8" s="13" t="n">
        <v>62656</v>
      </c>
      <c r="F8" s="12" t="s">
        <v>460</v>
      </c>
      <c r="G8" s="44"/>
      <c r="H8" s="44"/>
      <c r="I8" s="44"/>
      <c r="J8" s="44"/>
    </row>
    <row r="9" customFormat="false" ht="15" hidden="false" customHeight="false" outlineLevel="0" collapsed="false">
      <c r="A9" s="12" t="n">
        <v>5</v>
      </c>
      <c r="B9" s="12" t="s">
        <v>1837</v>
      </c>
      <c r="C9" s="12" t="s">
        <v>1969</v>
      </c>
      <c r="D9" s="12" t="s">
        <v>1970</v>
      </c>
      <c r="E9" s="13" t="n">
        <v>55087</v>
      </c>
      <c r="F9" s="12" t="s">
        <v>461</v>
      </c>
      <c r="G9" s="44"/>
      <c r="H9" s="44"/>
      <c r="I9" s="44"/>
      <c r="J9" s="44"/>
    </row>
    <row r="10" customFormat="false" ht="15" hidden="false" customHeight="false" outlineLevel="0" collapsed="false">
      <c r="A10" s="12" t="n">
        <v>6</v>
      </c>
      <c r="B10" s="12" t="s">
        <v>1487</v>
      </c>
      <c r="C10" s="12" t="s">
        <v>1553</v>
      </c>
      <c r="D10" s="12" t="s">
        <v>1554</v>
      </c>
      <c r="E10" s="13" t="n">
        <v>52228</v>
      </c>
      <c r="F10" s="12" t="s">
        <v>401</v>
      </c>
      <c r="G10" s="44"/>
      <c r="H10" s="44"/>
      <c r="I10" s="44"/>
      <c r="J10" s="44"/>
    </row>
    <row r="11" customFormat="false" ht="15" hidden="false" customHeight="false" outlineLevel="0" collapsed="false">
      <c r="A11" s="12" t="n">
        <v>7</v>
      </c>
      <c r="B11" s="12" t="s">
        <v>1837</v>
      </c>
      <c r="C11" s="12" t="s">
        <v>2004</v>
      </c>
      <c r="D11" s="12" t="s">
        <v>2005</v>
      </c>
      <c r="E11" s="13" t="n">
        <v>41932</v>
      </c>
      <c r="F11" s="12" t="s">
        <v>459</v>
      </c>
      <c r="G11" s="44"/>
      <c r="H11" s="44"/>
      <c r="I11" s="44"/>
      <c r="J11" s="44"/>
    </row>
    <row r="12" customFormat="false" ht="15" hidden="false" customHeight="false" outlineLevel="0" collapsed="false">
      <c r="A12" s="12" t="n">
        <v>8</v>
      </c>
      <c r="B12" s="12" t="s">
        <v>1635</v>
      </c>
      <c r="C12" s="12" t="s">
        <v>1682</v>
      </c>
      <c r="D12" s="12" t="s">
        <v>1683</v>
      </c>
      <c r="E12" s="13" t="n">
        <v>35610</v>
      </c>
      <c r="F12" s="12" t="s">
        <v>418</v>
      </c>
      <c r="G12" s="44"/>
      <c r="H12" s="44"/>
      <c r="I12" s="44"/>
      <c r="J12" s="44"/>
    </row>
    <row r="13" customFormat="false" ht="15" hidden="false" customHeight="false" outlineLevel="0" collapsed="false">
      <c r="A13" s="12" t="n">
        <v>9</v>
      </c>
      <c r="B13" s="12" t="s">
        <v>581</v>
      </c>
      <c r="C13" s="12" t="s">
        <v>610</v>
      </c>
      <c r="D13" s="12"/>
      <c r="E13" s="13" t="n">
        <v>29170</v>
      </c>
      <c r="F13" s="12" t="s">
        <v>291</v>
      </c>
      <c r="G13" s="44"/>
      <c r="H13" s="44"/>
      <c r="I13" s="44"/>
      <c r="J13" s="44"/>
    </row>
    <row r="14" customFormat="false" ht="15" hidden="false" customHeight="false" outlineLevel="0" collapsed="false">
      <c r="A14" s="12" t="n">
        <v>10</v>
      </c>
      <c r="B14" s="12" t="s">
        <v>751</v>
      </c>
      <c r="C14" s="12" t="s">
        <v>828</v>
      </c>
      <c r="D14" s="12" t="s">
        <v>829</v>
      </c>
      <c r="E14" s="13" t="n">
        <v>26041</v>
      </c>
      <c r="F14" s="12" t="s">
        <v>331</v>
      </c>
      <c r="G14" s="44"/>
      <c r="H14" s="44"/>
      <c r="I14" s="44"/>
      <c r="J14" s="44"/>
    </row>
    <row r="15" customFormat="false" ht="15" hidden="false" customHeight="false" outlineLevel="0" collapsed="false">
      <c r="A15" s="12" t="n">
        <v>11</v>
      </c>
      <c r="B15" s="12" t="s">
        <v>654</v>
      </c>
      <c r="C15" s="12" t="s">
        <v>689</v>
      </c>
      <c r="D15" s="12" t="s">
        <v>690</v>
      </c>
      <c r="E15" s="13" t="n">
        <v>23868</v>
      </c>
      <c r="F15" s="12" t="s">
        <v>310</v>
      </c>
      <c r="G15" s="44"/>
      <c r="H15" s="44"/>
      <c r="I15" s="44"/>
      <c r="J15" s="44"/>
    </row>
    <row r="16" customFormat="false" ht="15" hidden="false" customHeight="false" outlineLevel="0" collapsed="false">
      <c r="A16" s="12" t="n">
        <v>12</v>
      </c>
      <c r="B16" s="12" t="s">
        <v>1716</v>
      </c>
      <c r="C16" s="12" t="s">
        <v>1775</v>
      </c>
      <c r="D16" s="12" t="s">
        <v>1776</v>
      </c>
      <c r="E16" s="13" t="n">
        <v>23193</v>
      </c>
      <c r="F16" s="12" t="s">
        <v>433</v>
      </c>
      <c r="G16" s="44"/>
      <c r="H16" s="44"/>
      <c r="I16" s="44"/>
      <c r="J16" s="44"/>
    </row>
    <row r="17" customFormat="false" ht="15" hidden="false" customHeight="false" outlineLevel="0" collapsed="false">
      <c r="A17" s="12" t="n">
        <v>13</v>
      </c>
      <c r="B17" s="12" t="s">
        <v>498</v>
      </c>
      <c r="C17" s="12" t="s">
        <v>539</v>
      </c>
      <c r="D17" s="12" t="s">
        <v>540</v>
      </c>
      <c r="E17" s="13" t="n">
        <v>22908</v>
      </c>
      <c r="F17" s="12" t="s">
        <v>288</v>
      </c>
      <c r="G17" s="44"/>
      <c r="H17" s="44"/>
      <c r="I17" s="44"/>
      <c r="J17" s="44"/>
    </row>
    <row r="18" customFormat="false" ht="15" hidden="false" customHeight="false" outlineLevel="0" collapsed="false">
      <c r="A18" s="12" t="n">
        <v>14</v>
      </c>
      <c r="B18" s="12" t="s">
        <v>751</v>
      </c>
      <c r="C18" s="12" t="s">
        <v>824</v>
      </c>
      <c r="D18" s="12" t="s">
        <v>825</v>
      </c>
      <c r="E18" s="13" t="n">
        <v>22750</v>
      </c>
      <c r="F18" s="12" t="s">
        <v>329</v>
      </c>
      <c r="G18" s="44"/>
      <c r="H18" s="44"/>
      <c r="I18" s="44"/>
      <c r="J18" s="44"/>
    </row>
    <row r="19" customFormat="false" ht="15" hidden="false" customHeight="false" outlineLevel="0" collapsed="false">
      <c r="A19" s="12" t="n">
        <v>15</v>
      </c>
      <c r="B19" s="12" t="s">
        <v>1837</v>
      </c>
      <c r="C19" s="12" t="s">
        <v>1864</v>
      </c>
      <c r="D19" s="12" t="s">
        <v>1865</v>
      </c>
      <c r="E19" s="13" t="n">
        <v>15660</v>
      </c>
      <c r="F19" s="12" t="s">
        <v>459</v>
      </c>
      <c r="G19" s="44"/>
      <c r="H19" s="44"/>
      <c r="I19" s="44"/>
      <c r="J19" s="44"/>
    </row>
    <row r="20" customFormat="false" ht="15" hidden="false" customHeight="false" outlineLevel="0" collapsed="false">
      <c r="A20" s="12" t="n">
        <v>16</v>
      </c>
      <c r="B20" s="12" t="s">
        <v>1837</v>
      </c>
      <c r="C20" s="12" t="s">
        <v>1877</v>
      </c>
      <c r="D20" s="12" t="s">
        <v>1878</v>
      </c>
      <c r="E20" s="13" t="n">
        <v>14867</v>
      </c>
      <c r="F20" s="12" t="s">
        <v>459</v>
      </c>
      <c r="G20" s="44"/>
      <c r="H20" s="44"/>
      <c r="I20" s="44"/>
      <c r="J20" s="44"/>
    </row>
    <row r="21" customFormat="false" ht="15" hidden="false" customHeight="false" outlineLevel="0" collapsed="false">
      <c r="A21" s="12" t="n">
        <v>17</v>
      </c>
      <c r="B21" s="12" t="s">
        <v>1837</v>
      </c>
      <c r="C21" s="12" t="s">
        <v>1882</v>
      </c>
      <c r="D21" s="12" t="s">
        <v>1883</v>
      </c>
      <c r="E21" s="13" t="n">
        <v>14315</v>
      </c>
      <c r="F21" s="12" t="s">
        <v>459</v>
      </c>
      <c r="G21" s="44"/>
      <c r="H21" s="44"/>
      <c r="I21" s="44"/>
      <c r="J21" s="44"/>
    </row>
    <row r="22" customFormat="false" ht="15" hidden="false" customHeight="false" outlineLevel="0" collapsed="false">
      <c r="A22" s="12" t="n">
        <v>18</v>
      </c>
      <c r="B22" s="12" t="s">
        <v>1837</v>
      </c>
      <c r="C22" s="12" t="s">
        <v>1838</v>
      </c>
      <c r="D22" s="12" t="s">
        <v>1839</v>
      </c>
      <c r="E22" s="13" t="n">
        <v>12915</v>
      </c>
      <c r="F22" s="12" t="s">
        <v>459</v>
      </c>
      <c r="G22" s="44"/>
      <c r="H22" s="44"/>
      <c r="I22" s="44"/>
      <c r="J22" s="44"/>
    </row>
    <row r="23" customFormat="false" ht="15" hidden="false" customHeight="false" outlineLevel="0" collapsed="false">
      <c r="A23" s="12" t="n">
        <v>19</v>
      </c>
      <c r="B23" s="12" t="s">
        <v>1837</v>
      </c>
      <c r="C23" s="12" t="s">
        <v>1875</v>
      </c>
      <c r="D23" s="12" t="s">
        <v>1876</v>
      </c>
      <c r="E23" s="13" t="n">
        <v>12371</v>
      </c>
      <c r="F23" s="12" t="s">
        <v>458</v>
      </c>
      <c r="G23" s="44"/>
      <c r="H23" s="44"/>
      <c r="I23" s="44"/>
      <c r="J23" s="44"/>
    </row>
    <row r="24" customFormat="false" ht="15" hidden="false" customHeight="false" outlineLevel="0" collapsed="false">
      <c r="A24" s="12" t="n">
        <v>20</v>
      </c>
      <c r="B24" s="12" t="s">
        <v>2022</v>
      </c>
      <c r="C24" s="12" t="s">
        <v>2026</v>
      </c>
      <c r="D24" s="12" t="s">
        <v>2027</v>
      </c>
      <c r="E24" s="13" t="n">
        <v>11517</v>
      </c>
      <c r="F24" s="12" t="s">
        <v>465</v>
      </c>
      <c r="G24" s="44"/>
      <c r="H24" s="44"/>
      <c r="I24" s="44"/>
      <c r="J24" s="44"/>
    </row>
    <row r="25" customFormat="false" ht="15" hidden="false" customHeight="false" outlineLevel="0" collapsed="false">
      <c r="A25" s="12" t="n">
        <v>21</v>
      </c>
      <c r="B25" s="12" t="s">
        <v>1146</v>
      </c>
      <c r="C25" s="12" t="s">
        <v>1168</v>
      </c>
      <c r="D25" s="12" t="s">
        <v>1169</v>
      </c>
      <c r="E25" s="13" t="n">
        <v>9530</v>
      </c>
      <c r="F25" s="12" t="s">
        <v>481</v>
      </c>
      <c r="G25" s="44"/>
      <c r="H25" s="44"/>
      <c r="I25" s="44"/>
      <c r="J25" s="44"/>
    </row>
    <row r="26" customFormat="false" ht="15" hidden="false" customHeight="false" outlineLevel="0" collapsed="false">
      <c r="A26" s="12" t="n">
        <v>22</v>
      </c>
      <c r="B26" s="12" t="s">
        <v>1146</v>
      </c>
      <c r="C26" s="12" t="s">
        <v>1174</v>
      </c>
      <c r="D26" s="12" t="s">
        <v>1175</v>
      </c>
      <c r="E26" s="13" t="n">
        <v>8639</v>
      </c>
      <c r="F26" s="12" t="s">
        <v>476</v>
      </c>
      <c r="G26" s="44"/>
      <c r="H26" s="44"/>
      <c r="I26" s="44"/>
      <c r="J26" s="44"/>
    </row>
    <row r="27" customFormat="false" ht="15" hidden="false" customHeight="false" outlineLevel="0" collapsed="false">
      <c r="A27" s="12" t="n">
        <v>23</v>
      </c>
      <c r="B27" s="12" t="s">
        <v>654</v>
      </c>
      <c r="C27" s="12" t="s">
        <v>670</v>
      </c>
      <c r="D27" s="12" t="s">
        <v>671</v>
      </c>
      <c r="E27" s="13" t="n">
        <v>8417</v>
      </c>
      <c r="F27" s="12" t="s">
        <v>310</v>
      </c>
      <c r="G27" s="44"/>
      <c r="H27" s="44"/>
      <c r="I27" s="44"/>
      <c r="J27" s="44"/>
    </row>
    <row r="28" customFormat="false" ht="15" hidden="false" customHeight="false" outlineLevel="0" collapsed="false">
      <c r="A28" s="12" t="n">
        <v>24</v>
      </c>
      <c r="B28" s="12" t="s">
        <v>1837</v>
      </c>
      <c r="C28" s="12" t="s">
        <v>1842</v>
      </c>
      <c r="D28" s="12" t="s">
        <v>1843</v>
      </c>
      <c r="E28" s="13" t="n">
        <v>8063</v>
      </c>
      <c r="F28" s="12" t="s">
        <v>450</v>
      </c>
      <c r="G28" s="44"/>
      <c r="H28" s="44"/>
      <c r="I28" s="44"/>
      <c r="J28" s="44"/>
    </row>
    <row r="29" customFormat="false" ht="15" hidden="false" customHeight="false" outlineLevel="0" collapsed="false">
      <c r="A29" s="12" t="n">
        <v>25</v>
      </c>
      <c r="B29" s="12" t="s">
        <v>751</v>
      </c>
      <c r="C29" s="12" t="s">
        <v>768</v>
      </c>
      <c r="D29" s="12" t="s">
        <v>769</v>
      </c>
      <c r="E29" s="13" t="n">
        <v>7551</v>
      </c>
      <c r="F29" s="12" t="s">
        <v>324</v>
      </c>
      <c r="G29" s="44"/>
      <c r="H29" s="44"/>
      <c r="I29" s="44"/>
      <c r="J29" s="44"/>
    </row>
    <row r="30" customFormat="false" ht="15" hidden="false" customHeight="false" outlineLevel="0" collapsed="false">
      <c r="A30" s="12" t="n">
        <v>26</v>
      </c>
      <c r="B30" s="12" t="s">
        <v>1217</v>
      </c>
      <c r="C30" s="12" t="s">
        <v>1232</v>
      </c>
      <c r="D30" s="12" t="s">
        <v>1233</v>
      </c>
      <c r="E30" s="13" t="n">
        <v>6656</v>
      </c>
      <c r="F30" s="12" t="s">
        <v>328</v>
      </c>
      <c r="G30" s="44"/>
      <c r="H30" s="44"/>
      <c r="I30" s="44"/>
      <c r="J30" s="44"/>
    </row>
    <row r="31" customFormat="false" ht="15" hidden="false" customHeight="false" outlineLevel="0" collapsed="false">
      <c r="A31" s="12" t="n">
        <v>27</v>
      </c>
      <c r="B31" s="12" t="s">
        <v>1487</v>
      </c>
      <c r="C31" s="12" t="s">
        <v>1509</v>
      </c>
      <c r="D31" s="12" t="s">
        <v>1510</v>
      </c>
      <c r="E31" s="13" t="n">
        <v>6200</v>
      </c>
      <c r="F31" s="12" t="s">
        <v>401</v>
      </c>
      <c r="G31" s="44"/>
      <c r="H31" s="44"/>
      <c r="I31" s="44"/>
      <c r="J31" s="44"/>
    </row>
    <row r="32" customFormat="false" ht="15" hidden="false" customHeight="false" outlineLevel="0" collapsed="false">
      <c r="A32" s="12" t="n">
        <v>28</v>
      </c>
      <c r="B32" s="12" t="s">
        <v>1837</v>
      </c>
      <c r="C32" s="12" t="s">
        <v>1855</v>
      </c>
      <c r="D32" s="12" t="s">
        <v>1856</v>
      </c>
      <c r="E32" s="13" t="n">
        <v>6089</v>
      </c>
      <c r="F32" s="12" t="s">
        <v>458</v>
      </c>
      <c r="G32" s="44"/>
      <c r="H32" s="44"/>
      <c r="I32" s="44"/>
      <c r="J32" s="44"/>
    </row>
    <row r="33" customFormat="false" ht="15" hidden="false" customHeight="false" outlineLevel="0" collapsed="false">
      <c r="A33" s="12" t="n">
        <v>29</v>
      </c>
      <c r="B33" s="12" t="s">
        <v>1837</v>
      </c>
      <c r="C33" s="12" t="s">
        <v>2018</v>
      </c>
      <c r="D33" s="12" t="s">
        <v>2019</v>
      </c>
      <c r="E33" s="13" t="n">
        <v>5680</v>
      </c>
      <c r="F33" s="12" t="s">
        <v>450</v>
      </c>
      <c r="G33" s="44"/>
      <c r="H33" s="44"/>
      <c r="I33" s="44"/>
      <c r="J33" s="44"/>
    </row>
    <row r="34" customFormat="false" ht="15" hidden="false" customHeight="false" outlineLevel="0" collapsed="false">
      <c r="A34" s="12" t="n">
        <v>30</v>
      </c>
      <c r="B34" s="12" t="s">
        <v>1837</v>
      </c>
      <c r="C34" s="12" t="s">
        <v>1930</v>
      </c>
      <c r="D34" s="12" t="s">
        <v>1931</v>
      </c>
      <c r="E34" s="13" t="n">
        <v>3072</v>
      </c>
      <c r="F34" s="12" t="s">
        <v>458</v>
      </c>
      <c r="G34" s="44"/>
      <c r="H34" s="44"/>
      <c r="I34" s="44"/>
      <c r="J34" s="44"/>
    </row>
    <row r="35" customFormat="false" ht="15" hidden="false" customHeight="false" outlineLevel="0" collapsed="false">
      <c r="A35" s="12" t="n">
        <v>31</v>
      </c>
      <c r="B35" s="12" t="s">
        <v>1837</v>
      </c>
      <c r="C35" s="12" t="s">
        <v>1924</v>
      </c>
      <c r="D35" s="12" t="s">
        <v>1925</v>
      </c>
      <c r="E35" s="13" t="n">
        <v>3012</v>
      </c>
      <c r="F35" s="12" t="s">
        <v>458</v>
      </c>
      <c r="G35" s="44"/>
      <c r="H35" s="44"/>
      <c r="I35" s="44"/>
      <c r="J35" s="44"/>
    </row>
    <row r="36" customFormat="false" ht="15" hidden="false" customHeight="false" outlineLevel="0" collapsed="false">
      <c r="A36" s="12" t="n">
        <v>32</v>
      </c>
      <c r="B36" s="12" t="s">
        <v>1837</v>
      </c>
      <c r="C36" s="12" t="s">
        <v>2002</v>
      </c>
      <c r="D36" s="12" t="s">
        <v>2003</v>
      </c>
      <c r="E36" s="13" t="n">
        <v>1498</v>
      </c>
      <c r="F36" s="12" t="s">
        <v>459</v>
      </c>
      <c r="G36" s="44"/>
      <c r="H36" s="44"/>
      <c r="I36" s="44"/>
      <c r="J36" s="44"/>
    </row>
    <row r="37" customFormat="false" ht="15" hidden="false" customHeight="false" outlineLevel="0" collapsed="false">
      <c r="A37" s="42"/>
      <c r="B37" s="42"/>
      <c r="C37" s="42" t="s">
        <v>2180</v>
      </c>
      <c r="D37" s="42"/>
      <c r="E37" s="43" t="n">
        <f aca="false">SUM(E5:E36)</f>
        <v>870896</v>
      </c>
      <c r="F37" s="42"/>
      <c r="G37" s="42"/>
      <c r="H37" s="42"/>
      <c r="I37" s="42"/>
      <c r="J37" s="42"/>
    </row>
  </sheetData>
  <autoFilter ref="A4:J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.75" hidden="false" customHeight="true" outlineLevel="0" collapsed="false">
      <c r="A1" s="1" t="s">
        <v>2189</v>
      </c>
    </row>
    <row r="3" customFormat="false" ht="30" hidden="false" customHeight="true" outlineLevel="0" collapsed="false">
      <c r="A3" s="2" t="s">
        <v>2183</v>
      </c>
      <c r="B3" s="2" t="s">
        <v>2190</v>
      </c>
      <c r="C3" s="2" t="s">
        <v>33</v>
      </c>
      <c r="D3" s="2" t="s">
        <v>2191</v>
      </c>
      <c r="E3" s="2" t="s">
        <v>266</v>
      </c>
    </row>
    <row r="4" customFormat="false" ht="15" hidden="false" customHeight="false" outlineLevel="0" collapsed="false">
      <c r="A4" s="12" t="s">
        <v>2192</v>
      </c>
      <c r="B4" s="12" t="s">
        <v>2193</v>
      </c>
      <c r="C4" s="12" t="n">
        <v>1</v>
      </c>
      <c r="D4" s="45" t="n">
        <v>2009.391</v>
      </c>
      <c r="E4" s="31" t="s">
        <v>52</v>
      </c>
    </row>
    <row r="5" customFormat="false" ht="15" hidden="false" customHeight="false" outlineLevel="0" collapsed="false">
      <c r="A5" s="12" t="s">
        <v>2192</v>
      </c>
      <c r="B5" s="12" t="s">
        <v>2194</v>
      </c>
      <c r="C5" s="12" t="n">
        <v>2</v>
      </c>
      <c r="D5" s="45" t="n">
        <v>1356.19</v>
      </c>
      <c r="E5" s="31" t="s">
        <v>53</v>
      </c>
    </row>
    <row r="6" customFormat="false" ht="15" hidden="false" customHeight="false" outlineLevel="0" collapsed="false">
      <c r="A6" s="12" t="s">
        <v>2192</v>
      </c>
      <c r="B6" s="12" t="s">
        <v>2195</v>
      </c>
      <c r="C6" s="12" t="n">
        <v>3</v>
      </c>
      <c r="D6" s="45" t="n">
        <v>4958.803</v>
      </c>
      <c r="E6" s="31" t="s">
        <v>54</v>
      </c>
    </row>
    <row r="7" customFormat="false" ht="15" hidden="false" customHeight="false" outlineLevel="0" collapsed="false">
      <c r="A7" s="12" t="s">
        <v>2192</v>
      </c>
      <c r="B7" s="12" t="s">
        <v>2196</v>
      </c>
      <c r="C7" s="12" t="n">
        <v>4</v>
      </c>
      <c r="D7" s="45" t="n">
        <v>1137.3767</v>
      </c>
      <c r="E7" s="31" t="s">
        <v>55</v>
      </c>
    </row>
    <row r="8" customFormat="false" ht="15" hidden="false" customHeight="false" outlineLevel="0" collapsed="false">
      <c r="A8" s="12" t="s">
        <v>2192</v>
      </c>
      <c r="B8" s="12" t="s">
        <v>2197</v>
      </c>
      <c r="C8" s="12" t="n">
        <v>5</v>
      </c>
      <c r="D8" s="45" t="n">
        <v>698.992</v>
      </c>
      <c r="E8" s="31" t="s">
        <v>56</v>
      </c>
    </row>
    <row r="9" customFormat="false" ht="15" hidden="false" customHeight="false" outlineLevel="0" collapsed="false">
      <c r="A9" s="12" t="s">
        <v>2192</v>
      </c>
      <c r="B9" s="12" t="s">
        <v>285</v>
      </c>
      <c r="C9" s="12" t="n">
        <v>6</v>
      </c>
      <c r="D9" s="45" t="n">
        <v>2754.401</v>
      </c>
      <c r="E9" s="31" t="s">
        <v>57</v>
      </c>
    </row>
    <row r="10" customFormat="false" ht="15" hidden="false" customHeight="false" outlineLevel="0" collapsed="false">
      <c r="A10" s="12" t="s">
        <v>2192</v>
      </c>
      <c r="B10" s="12" t="s">
        <v>2198</v>
      </c>
      <c r="C10" s="12" t="n">
        <v>7</v>
      </c>
      <c r="D10" s="45" t="n">
        <v>2340.38</v>
      </c>
      <c r="E10" s="31" t="s">
        <v>58</v>
      </c>
    </row>
    <row r="11" customFormat="false" ht="15" hidden="false" customHeight="false" outlineLevel="0" collapsed="false">
      <c r="A11" s="12" t="s">
        <v>2192</v>
      </c>
      <c r="B11" s="12" t="s">
        <v>2199</v>
      </c>
      <c r="C11" s="12" t="n">
        <v>8</v>
      </c>
      <c r="D11" s="45" t="n">
        <v>909.936</v>
      </c>
      <c r="E11" s="31" t="s">
        <v>59</v>
      </c>
    </row>
    <row r="12" customFormat="false" ht="15" hidden="false" customHeight="false" outlineLevel="0" collapsed="false">
      <c r="A12" s="12" t="s">
        <v>2192</v>
      </c>
      <c r="B12" s="12" t="s">
        <v>288</v>
      </c>
      <c r="C12" s="12" t="n">
        <v>9</v>
      </c>
      <c r="D12" s="45" t="n">
        <v>1137.466</v>
      </c>
      <c r="E12" s="31" t="s">
        <v>60</v>
      </c>
    </row>
    <row r="13" customFormat="false" ht="15" hidden="false" customHeight="false" outlineLevel="0" collapsed="false">
      <c r="A13" s="12" t="s">
        <v>2192</v>
      </c>
      <c r="B13" s="12" t="s">
        <v>2200</v>
      </c>
      <c r="C13" s="12" t="n">
        <v>10</v>
      </c>
      <c r="D13" s="45" t="n">
        <v>1203.906</v>
      </c>
      <c r="E13" s="31" t="s">
        <v>61</v>
      </c>
    </row>
    <row r="14" customFormat="false" ht="15" hidden="false" customHeight="false" outlineLevel="0" collapsed="false">
      <c r="A14" s="12" t="s">
        <v>2192</v>
      </c>
      <c r="B14" s="12" t="s">
        <v>2201</v>
      </c>
      <c r="C14" s="12" t="n">
        <v>11</v>
      </c>
      <c r="D14" s="45" t="n">
        <v>11.0000033</v>
      </c>
      <c r="E14" s="31" t="s">
        <v>51</v>
      </c>
    </row>
    <row r="15" customFormat="false" ht="15" hidden="false" customHeight="false" outlineLevel="0" collapsed="false">
      <c r="A15" s="12" t="s">
        <v>2192</v>
      </c>
      <c r="B15" s="12" t="s">
        <v>2202</v>
      </c>
      <c r="C15" s="12" t="n">
        <v>12</v>
      </c>
      <c r="D15" s="45" t="n">
        <v>29.8213</v>
      </c>
      <c r="E15" s="31" t="s">
        <v>50</v>
      </c>
    </row>
    <row r="16" customFormat="false" ht="15" hidden="false" customHeight="false" outlineLevel="0" collapsed="false">
      <c r="A16" s="12" t="s">
        <v>2203</v>
      </c>
      <c r="B16" s="12" t="s">
        <v>2204</v>
      </c>
      <c r="C16" s="12" t="n">
        <v>13</v>
      </c>
      <c r="D16" s="45" t="n">
        <v>815.528</v>
      </c>
      <c r="E16" s="31" t="s">
        <v>65</v>
      </c>
    </row>
    <row r="17" customFormat="false" ht="15" hidden="false" customHeight="false" outlineLevel="0" collapsed="false">
      <c r="A17" s="12" t="s">
        <v>2203</v>
      </c>
      <c r="B17" s="12" t="s">
        <v>2205</v>
      </c>
      <c r="C17" s="12" t="n">
        <v>14</v>
      </c>
      <c r="D17" s="45" t="n">
        <v>584.786</v>
      </c>
      <c r="E17" s="31" t="s">
        <v>66</v>
      </c>
    </row>
    <row r="18" customFormat="false" ht="15" hidden="false" customHeight="false" outlineLevel="0" collapsed="false">
      <c r="A18" s="12" t="s">
        <v>2203</v>
      </c>
      <c r="B18" s="12" t="s">
        <v>2206</v>
      </c>
      <c r="C18" s="12" t="n">
        <v>15</v>
      </c>
      <c r="D18" s="45" t="n">
        <v>737.838</v>
      </c>
      <c r="E18" s="31" t="s">
        <v>67</v>
      </c>
    </row>
    <row r="19" customFormat="false" ht="15" hidden="false" customHeight="false" outlineLevel="0" collapsed="false">
      <c r="A19" s="12" t="s">
        <v>2203</v>
      </c>
      <c r="B19" s="12" t="s">
        <v>2207</v>
      </c>
      <c r="C19" s="12" t="n">
        <v>16</v>
      </c>
      <c r="D19" s="45" t="n">
        <v>1063.496</v>
      </c>
      <c r="E19" s="31" t="s">
        <v>68</v>
      </c>
    </row>
    <row r="20" customFormat="false" ht="15" hidden="false" customHeight="false" outlineLevel="0" collapsed="false">
      <c r="A20" s="12" t="s">
        <v>2203</v>
      </c>
      <c r="B20" s="12" t="s">
        <v>2208</v>
      </c>
      <c r="C20" s="12" t="n">
        <v>17</v>
      </c>
      <c r="D20" s="45" t="n">
        <v>508.335</v>
      </c>
      <c r="E20" s="31" t="s">
        <v>69</v>
      </c>
    </row>
    <row r="21" customFormat="false" ht="15" hidden="false" customHeight="false" outlineLevel="0" collapsed="false">
      <c r="A21" s="12" t="s">
        <v>2203</v>
      </c>
      <c r="B21" s="12" t="s">
        <v>2209</v>
      </c>
      <c r="C21" s="12" t="n">
        <v>18</v>
      </c>
      <c r="D21" s="45" t="n">
        <v>594.498</v>
      </c>
      <c r="E21" s="31" t="s">
        <v>81</v>
      </c>
    </row>
    <row r="22" customFormat="false" ht="15" hidden="false" customHeight="false" outlineLevel="0" collapsed="false">
      <c r="A22" s="12" t="s">
        <v>2203</v>
      </c>
      <c r="B22" s="12" t="s">
        <v>2210</v>
      </c>
      <c r="C22" s="12" t="n">
        <v>19</v>
      </c>
      <c r="D22" s="45" t="n">
        <v>1098.899</v>
      </c>
      <c r="E22" s="31" t="s">
        <v>71</v>
      </c>
    </row>
    <row r="23" customFormat="false" ht="15" hidden="false" customHeight="false" outlineLevel="0" collapsed="false">
      <c r="A23" s="12" t="s">
        <v>2203</v>
      </c>
      <c r="B23" s="12" t="s">
        <v>2211</v>
      </c>
      <c r="C23" s="12" t="n">
        <v>20</v>
      </c>
      <c r="D23" s="45" t="n">
        <v>541.185</v>
      </c>
      <c r="E23" s="31" t="s">
        <v>70</v>
      </c>
    </row>
    <row r="24" customFormat="false" ht="15" hidden="false" customHeight="false" outlineLevel="0" collapsed="false">
      <c r="A24" s="12" t="s">
        <v>2203</v>
      </c>
      <c r="B24" s="12" t="s">
        <v>2212</v>
      </c>
      <c r="C24" s="12" t="n">
        <v>21</v>
      </c>
      <c r="D24" s="45" t="n">
        <v>1765.815</v>
      </c>
      <c r="E24" s="31" t="s">
        <v>72</v>
      </c>
    </row>
    <row r="25" customFormat="false" ht="15" hidden="false" customHeight="false" outlineLevel="0" collapsed="false">
      <c r="A25" s="12" t="s">
        <v>2203</v>
      </c>
      <c r="B25" s="12" t="s">
        <v>2213</v>
      </c>
      <c r="C25" s="12" t="n">
        <v>22</v>
      </c>
      <c r="D25" s="45" t="n">
        <v>796.685</v>
      </c>
      <c r="E25" s="31" t="s">
        <v>73</v>
      </c>
    </row>
    <row r="26" customFormat="false" ht="15" hidden="false" customHeight="false" outlineLevel="0" collapsed="false">
      <c r="A26" s="12" t="s">
        <v>2203</v>
      </c>
      <c r="B26" s="12" t="s">
        <v>2214</v>
      </c>
      <c r="C26" s="12" t="n">
        <v>23</v>
      </c>
      <c r="D26" s="45" t="n">
        <v>969.264</v>
      </c>
      <c r="E26" s="31" t="s">
        <v>74</v>
      </c>
    </row>
    <row r="27" customFormat="false" ht="15" hidden="false" customHeight="false" outlineLevel="0" collapsed="false">
      <c r="A27" s="12" t="s">
        <v>2203</v>
      </c>
      <c r="B27" s="12" t="s">
        <v>2215</v>
      </c>
      <c r="C27" s="12" t="n">
        <v>24</v>
      </c>
      <c r="D27" s="45" t="n">
        <v>1205.936</v>
      </c>
      <c r="E27" s="31" t="s">
        <v>75</v>
      </c>
    </row>
    <row r="28" customFormat="false" ht="15" hidden="false" customHeight="false" outlineLevel="0" collapsed="false">
      <c r="A28" s="12" t="s">
        <v>2203</v>
      </c>
      <c r="B28" s="12" t="s">
        <v>2216</v>
      </c>
      <c r="C28" s="12" t="n">
        <v>25</v>
      </c>
      <c r="D28" s="45" t="n">
        <v>780.81</v>
      </c>
      <c r="E28" s="31" t="s">
        <v>76</v>
      </c>
    </row>
    <row r="29" customFormat="false" ht="15" hidden="false" customHeight="false" outlineLevel="0" collapsed="false">
      <c r="A29" s="12" t="s">
        <v>2203</v>
      </c>
      <c r="B29" s="12" t="s">
        <v>2217</v>
      </c>
      <c r="C29" s="12" t="n">
        <v>26</v>
      </c>
      <c r="D29" s="45" t="n">
        <v>931.097</v>
      </c>
      <c r="E29" s="31" t="s">
        <v>77</v>
      </c>
    </row>
    <row r="30" customFormat="false" ht="15" hidden="false" customHeight="false" outlineLevel="0" collapsed="false">
      <c r="A30" s="12" t="s">
        <v>2203</v>
      </c>
      <c r="B30" s="12" t="s">
        <v>2218</v>
      </c>
      <c r="C30" s="12" t="n">
        <v>27</v>
      </c>
      <c r="D30" s="45" t="n">
        <v>638.259</v>
      </c>
      <c r="E30" s="31" t="s">
        <v>78</v>
      </c>
    </row>
    <row r="31" customFormat="false" ht="15" hidden="false" customHeight="false" outlineLevel="0" collapsed="false">
      <c r="A31" s="12" t="s">
        <v>2203</v>
      </c>
      <c r="B31" s="12" t="s">
        <v>2219</v>
      </c>
      <c r="C31" s="12" t="n">
        <v>28</v>
      </c>
      <c r="D31" s="45" t="n">
        <v>766.4056</v>
      </c>
      <c r="E31" s="31" t="s">
        <v>79</v>
      </c>
    </row>
    <row r="32" customFormat="false" ht="15" hidden="false" customHeight="false" outlineLevel="0" collapsed="false">
      <c r="A32" s="12" t="s">
        <v>2203</v>
      </c>
      <c r="B32" s="12" t="s">
        <v>2220</v>
      </c>
      <c r="C32" s="12" t="n">
        <v>29</v>
      </c>
      <c r="D32" s="45" t="n">
        <v>467.564</v>
      </c>
      <c r="E32" s="31" t="s">
        <v>80</v>
      </c>
    </row>
    <row r="33" customFormat="false" ht="15" hidden="false" customHeight="false" outlineLevel="0" collapsed="false">
      <c r="A33" s="12" t="s">
        <v>2203</v>
      </c>
      <c r="B33" s="12" t="s">
        <v>2221</v>
      </c>
      <c r="C33" s="12" t="n">
        <v>30</v>
      </c>
      <c r="D33" s="45" t="n">
        <v>42.518</v>
      </c>
      <c r="E33" s="31" t="s">
        <v>62</v>
      </c>
    </row>
    <row r="34" customFormat="false" ht="15" hidden="false" customHeight="false" outlineLevel="0" collapsed="false">
      <c r="A34" s="12" t="s">
        <v>2203</v>
      </c>
      <c r="B34" s="12" t="s">
        <v>2222</v>
      </c>
      <c r="C34" s="12" t="n">
        <v>31</v>
      </c>
      <c r="D34" s="45" t="n">
        <v>13.6604</v>
      </c>
      <c r="E34" s="31" t="s">
        <v>63</v>
      </c>
    </row>
    <row r="35" customFormat="false" ht="15" hidden="false" customHeight="false" outlineLevel="0" collapsed="false">
      <c r="A35" s="12" t="s">
        <v>2203</v>
      </c>
      <c r="B35" s="12" t="s">
        <v>2223</v>
      </c>
      <c r="C35" s="12" t="n">
        <v>32</v>
      </c>
      <c r="D35" s="45" t="n">
        <v>290.54</v>
      </c>
      <c r="E35" s="31" t="s">
        <v>64</v>
      </c>
    </row>
    <row r="36" customFormat="false" ht="15" hidden="false" customHeight="false" outlineLevel="0" collapsed="false">
      <c r="A36" s="12" t="s">
        <v>2224</v>
      </c>
      <c r="B36" s="12" t="s">
        <v>2225</v>
      </c>
      <c r="C36" s="12" t="n">
        <v>33</v>
      </c>
      <c r="D36" s="45" t="n">
        <v>3588.868</v>
      </c>
      <c r="E36" s="31" t="s">
        <v>84</v>
      </c>
    </row>
    <row r="37" customFormat="false" ht="15" hidden="false" customHeight="false" outlineLevel="0" collapsed="false">
      <c r="A37" s="12" t="s">
        <v>2224</v>
      </c>
      <c r="B37" s="12" t="s">
        <v>2226</v>
      </c>
      <c r="C37" s="12" t="n">
        <v>34</v>
      </c>
      <c r="D37" s="45" t="n">
        <v>750.697</v>
      </c>
      <c r="E37" s="31" t="s">
        <v>83</v>
      </c>
    </row>
    <row r="38" customFormat="false" ht="15" hidden="false" customHeight="false" outlineLevel="0" collapsed="false">
      <c r="A38" s="12" t="s">
        <v>2224</v>
      </c>
      <c r="B38" s="12" t="s">
        <v>2227</v>
      </c>
      <c r="C38" s="12" t="n">
        <v>35</v>
      </c>
      <c r="D38" s="45" t="n">
        <v>6103.969</v>
      </c>
      <c r="E38" s="31" t="s">
        <v>85</v>
      </c>
    </row>
    <row r="39" customFormat="false" ht="15" hidden="false" customHeight="false" outlineLevel="0" collapsed="false">
      <c r="A39" s="12" t="s">
        <v>2224</v>
      </c>
      <c r="B39" s="12" t="s">
        <v>2228</v>
      </c>
      <c r="C39" s="12" t="n">
        <v>36</v>
      </c>
      <c r="D39" s="45" t="n">
        <v>4151.2</v>
      </c>
      <c r="E39" s="31" t="s">
        <v>94</v>
      </c>
    </row>
    <row r="40" customFormat="false" ht="15" hidden="false" customHeight="false" outlineLevel="0" collapsed="false">
      <c r="A40" s="12" t="s">
        <v>2224</v>
      </c>
      <c r="B40" s="12" t="s">
        <v>2229</v>
      </c>
      <c r="C40" s="12" t="n">
        <v>37</v>
      </c>
      <c r="D40" s="45" t="n">
        <v>499.846</v>
      </c>
      <c r="E40" s="31" t="s">
        <v>86</v>
      </c>
    </row>
    <row r="41" customFormat="false" ht="15" hidden="false" customHeight="false" outlineLevel="0" collapsed="false">
      <c r="A41" s="12" t="s">
        <v>2224</v>
      </c>
      <c r="B41" s="12" t="s">
        <v>2230</v>
      </c>
      <c r="C41" s="12" t="n">
        <v>38</v>
      </c>
      <c r="D41" s="45" t="n">
        <v>1402.98</v>
      </c>
      <c r="E41" s="31" t="s">
        <v>87</v>
      </c>
    </row>
    <row r="42" customFormat="false" ht="15" hidden="false" customHeight="false" outlineLevel="0" collapsed="false">
      <c r="A42" s="12" t="s">
        <v>2224</v>
      </c>
      <c r="B42" s="12" t="s">
        <v>2231</v>
      </c>
      <c r="C42" s="12" t="n">
        <v>39</v>
      </c>
      <c r="D42" s="45" t="n">
        <v>660.532</v>
      </c>
      <c r="E42" s="31" t="s">
        <v>88</v>
      </c>
    </row>
    <row r="43" customFormat="false" ht="15" hidden="false" customHeight="false" outlineLevel="0" collapsed="false">
      <c r="A43" s="12" t="s">
        <v>2224</v>
      </c>
      <c r="B43" s="12" t="s">
        <v>2232</v>
      </c>
      <c r="C43" s="12" t="n">
        <v>40</v>
      </c>
      <c r="D43" s="45" t="n">
        <v>2786.18</v>
      </c>
      <c r="E43" s="31" t="s">
        <v>89</v>
      </c>
    </row>
    <row r="44" customFormat="false" ht="15" hidden="false" customHeight="false" outlineLevel="0" collapsed="false">
      <c r="A44" s="12" t="s">
        <v>2224</v>
      </c>
      <c r="B44" s="12" t="s">
        <v>2233</v>
      </c>
      <c r="C44" s="12" t="n">
        <v>41</v>
      </c>
      <c r="D44" s="45" t="n">
        <v>1261.954</v>
      </c>
      <c r="E44" s="31" t="s">
        <v>91</v>
      </c>
    </row>
    <row r="45" customFormat="false" ht="15" hidden="false" customHeight="false" outlineLevel="0" collapsed="false">
      <c r="A45" s="12" t="s">
        <v>2224</v>
      </c>
      <c r="B45" s="12" t="s">
        <v>2234</v>
      </c>
      <c r="C45" s="12" t="n">
        <v>42</v>
      </c>
      <c r="D45" s="45" t="n">
        <v>1145.686</v>
      </c>
      <c r="E45" s="31" t="s">
        <v>90</v>
      </c>
    </row>
    <row r="46" customFormat="false" ht="15" hidden="false" customHeight="false" outlineLevel="0" collapsed="false">
      <c r="A46" s="12" t="s">
        <v>2224</v>
      </c>
      <c r="B46" s="12" t="s">
        <v>2235</v>
      </c>
      <c r="C46" s="12" t="n">
        <v>43</v>
      </c>
      <c r="D46" s="45" t="n">
        <v>1292.15</v>
      </c>
      <c r="E46" s="31" t="s">
        <v>92</v>
      </c>
    </row>
    <row r="47" customFormat="false" ht="15" hidden="false" customHeight="false" outlineLevel="0" collapsed="false">
      <c r="A47" s="12" t="s">
        <v>2224</v>
      </c>
      <c r="B47" s="12" t="s">
        <v>2236</v>
      </c>
      <c r="C47" s="12" t="n">
        <v>44</v>
      </c>
      <c r="D47" s="45" t="n">
        <v>6185.08</v>
      </c>
      <c r="E47" s="31" t="s">
        <v>93</v>
      </c>
    </row>
    <row r="48" customFormat="false" ht="15" hidden="false" customHeight="false" outlineLevel="0" collapsed="false">
      <c r="A48" s="12" t="s">
        <v>2224</v>
      </c>
      <c r="B48" s="12" t="s">
        <v>2237</v>
      </c>
      <c r="C48" s="12" t="n">
        <v>45</v>
      </c>
      <c r="D48" s="45" t="n">
        <v>233.758</v>
      </c>
      <c r="E48" s="31" t="s">
        <v>82</v>
      </c>
    </row>
    <row r="49" customFormat="false" ht="15" hidden="false" customHeight="false" outlineLevel="0" collapsed="false">
      <c r="A49" s="12" t="s">
        <v>2238</v>
      </c>
      <c r="B49" s="12" t="s">
        <v>2239</v>
      </c>
      <c r="C49" s="12" t="n">
        <v>46</v>
      </c>
      <c r="D49" s="45" t="n">
        <v>3739.06075</v>
      </c>
      <c r="E49" s="31" t="s">
        <v>97</v>
      </c>
    </row>
    <row r="50" customFormat="false" ht="15" hidden="false" customHeight="false" outlineLevel="0" collapsed="false">
      <c r="A50" s="12" t="s">
        <v>2238</v>
      </c>
      <c r="B50" s="12" t="s">
        <v>2240</v>
      </c>
      <c r="C50" s="12" t="n">
        <v>47</v>
      </c>
      <c r="D50" s="45" t="n">
        <v>829.66</v>
      </c>
      <c r="E50" s="31" t="s">
        <v>98</v>
      </c>
    </row>
    <row r="51" customFormat="false" ht="15" hidden="false" customHeight="false" outlineLevel="0" collapsed="false">
      <c r="A51" s="12" t="s">
        <v>2238</v>
      </c>
      <c r="B51" s="12" t="s">
        <v>2241</v>
      </c>
      <c r="C51" s="12" t="n">
        <v>48</v>
      </c>
      <c r="D51" s="45" t="n">
        <v>1930.98</v>
      </c>
      <c r="E51" s="31" t="s">
        <v>99</v>
      </c>
    </row>
    <row r="52" customFormat="false" ht="15" hidden="false" customHeight="false" outlineLevel="0" collapsed="false">
      <c r="A52" s="12" t="s">
        <v>2238</v>
      </c>
      <c r="B52" s="12" t="s">
        <v>2242</v>
      </c>
      <c r="C52" s="12" t="n">
        <v>49</v>
      </c>
      <c r="D52" s="45" t="n">
        <v>714.698</v>
      </c>
      <c r="E52" s="31" t="s">
        <v>105</v>
      </c>
    </row>
    <row r="53" customFormat="false" ht="15" hidden="false" customHeight="false" outlineLevel="0" collapsed="false">
      <c r="A53" s="12" t="s">
        <v>2238</v>
      </c>
      <c r="B53" s="12" t="s">
        <v>2243</v>
      </c>
      <c r="C53" s="12" t="n">
        <v>50</v>
      </c>
      <c r="D53" s="45" t="n">
        <v>200.952</v>
      </c>
      <c r="E53" s="31" t="s">
        <v>101</v>
      </c>
    </row>
    <row r="54" customFormat="false" ht="15" hidden="false" customHeight="false" outlineLevel="0" collapsed="false">
      <c r="A54" s="12" t="s">
        <v>2238</v>
      </c>
      <c r="B54" s="12" t="s">
        <v>2244</v>
      </c>
      <c r="C54" s="12" t="n">
        <v>51</v>
      </c>
      <c r="D54" s="45" t="n">
        <v>710.298</v>
      </c>
      <c r="E54" s="31" t="s">
        <v>100</v>
      </c>
    </row>
    <row r="55" customFormat="false" ht="15" hidden="false" customHeight="false" outlineLevel="0" collapsed="false">
      <c r="A55" s="12" t="s">
        <v>2238</v>
      </c>
      <c r="B55" s="12" t="s">
        <v>2245</v>
      </c>
      <c r="C55" s="12" t="n">
        <v>52</v>
      </c>
      <c r="D55" s="45" t="n">
        <v>711.937</v>
      </c>
      <c r="E55" s="31" t="s">
        <v>102</v>
      </c>
    </row>
    <row r="56" customFormat="false" ht="15" hidden="false" customHeight="false" outlineLevel="0" collapsed="false">
      <c r="A56" s="12" t="s">
        <v>2238</v>
      </c>
      <c r="B56" s="12" t="s">
        <v>2246</v>
      </c>
      <c r="C56" s="12" t="n">
        <v>53</v>
      </c>
      <c r="D56" s="45" t="n">
        <v>353.274</v>
      </c>
      <c r="E56" s="31" t="s">
        <v>103</v>
      </c>
    </row>
    <row r="57" customFormat="false" ht="15" hidden="false" customHeight="false" outlineLevel="0" collapsed="false">
      <c r="A57" s="12" t="s">
        <v>2238</v>
      </c>
      <c r="B57" s="12" t="s">
        <v>2247</v>
      </c>
      <c r="C57" s="12" t="n">
        <v>54</v>
      </c>
      <c r="D57" s="45" t="n">
        <v>875.752</v>
      </c>
      <c r="E57" s="31" t="s">
        <v>104</v>
      </c>
    </row>
    <row r="58" customFormat="false" ht="15" hidden="false" customHeight="false" outlineLevel="0" collapsed="false">
      <c r="A58" s="12" t="s">
        <v>2238</v>
      </c>
      <c r="B58" s="12" t="s">
        <v>2248</v>
      </c>
      <c r="C58" s="12" t="n">
        <v>55</v>
      </c>
      <c r="D58" s="45" t="n">
        <v>88</v>
      </c>
      <c r="E58" s="31" t="s">
        <v>96</v>
      </c>
    </row>
    <row r="59" customFormat="false" ht="15" hidden="false" customHeight="false" outlineLevel="0" collapsed="false">
      <c r="A59" s="12" t="s">
        <v>2238</v>
      </c>
      <c r="B59" s="12" t="s">
        <v>2249</v>
      </c>
      <c r="C59" s="12" t="n">
        <v>56</v>
      </c>
      <c r="D59" s="45" t="n">
        <v>354.441</v>
      </c>
      <c r="E59" s="31" t="s">
        <v>95</v>
      </c>
    </row>
    <row r="60" customFormat="false" ht="15" hidden="false" customHeight="false" outlineLevel="0" collapsed="false">
      <c r="A60" s="12" t="s">
        <v>2250</v>
      </c>
      <c r="B60" s="12" t="s">
        <v>2251</v>
      </c>
      <c r="C60" s="12" t="n">
        <v>57</v>
      </c>
      <c r="D60" s="45" t="n">
        <v>2935.252</v>
      </c>
      <c r="E60" s="31" t="s">
        <v>107</v>
      </c>
    </row>
    <row r="61" customFormat="false" ht="15" hidden="false" customHeight="false" outlineLevel="0" collapsed="false">
      <c r="A61" s="12" t="s">
        <v>2250</v>
      </c>
      <c r="B61" s="12" t="s">
        <v>2252</v>
      </c>
      <c r="C61" s="12" t="n">
        <v>58</v>
      </c>
      <c r="D61" s="45" t="n">
        <v>1087.08</v>
      </c>
      <c r="E61" s="31" t="s">
        <v>108</v>
      </c>
    </row>
    <row r="62" customFormat="false" ht="15" hidden="false" customHeight="false" outlineLevel="0" collapsed="false">
      <c r="A62" s="12" t="s">
        <v>2250</v>
      </c>
      <c r="B62" s="12" t="s">
        <v>2253</v>
      </c>
      <c r="C62" s="12" t="n">
        <v>59</v>
      </c>
      <c r="D62" s="45" t="n">
        <v>1471.551</v>
      </c>
      <c r="E62" s="31" t="s">
        <v>109</v>
      </c>
    </row>
    <row r="63" customFormat="false" ht="15" hidden="false" customHeight="false" outlineLevel="0" collapsed="false">
      <c r="A63" s="12" t="s">
        <v>2250</v>
      </c>
      <c r="B63" s="12" t="s">
        <v>2254</v>
      </c>
      <c r="C63" s="12" t="n">
        <v>60</v>
      </c>
      <c r="D63" s="45" t="n">
        <v>2086.066</v>
      </c>
      <c r="E63" s="31" t="s">
        <v>110</v>
      </c>
    </row>
    <row r="64" customFormat="false" ht="15" hidden="false" customHeight="false" outlineLevel="0" collapsed="false">
      <c r="A64" s="12" t="s">
        <v>2250</v>
      </c>
      <c r="B64" s="12" t="s">
        <v>2255</v>
      </c>
      <c r="C64" s="12" t="n">
        <v>61</v>
      </c>
      <c r="D64" s="45" t="n">
        <v>2060.91314</v>
      </c>
      <c r="E64" s="31" t="s">
        <v>111</v>
      </c>
    </row>
    <row r="65" customFormat="false" ht="15" hidden="false" customHeight="false" outlineLevel="0" collapsed="false">
      <c r="A65" s="12" t="s">
        <v>2250</v>
      </c>
      <c r="B65" s="12" t="s">
        <v>2256</v>
      </c>
      <c r="C65" s="12" t="n">
        <v>62</v>
      </c>
      <c r="D65" s="45" t="n">
        <v>914.98486</v>
      </c>
      <c r="E65" s="31" t="s">
        <v>112</v>
      </c>
    </row>
    <row r="66" customFormat="false" ht="15" hidden="false" customHeight="false" outlineLevel="0" collapsed="false">
      <c r="A66" s="12" t="s">
        <v>2250</v>
      </c>
      <c r="B66" s="12" t="s">
        <v>2257</v>
      </c>
      <c r="C66" s="12" t="n">
        <v>63</v>
      </c>
      <c r="D66" s="45" t="n">
        <v>923.487</v>
      </c>
      <c r="E66" s="31" t="s">
        <v>113</v>
      </c>
    </row>
    <row r="67" customFormat="false" ht="15" hidden="false" customHeight="false" outlineLevel="0" collapsed="false">
      <c r="A67" s="12" t="s">
        <v>2250</v>
      </c>
      <c r="B67" s="12" t="s">
        <v>2258</v>
      </c>
      <c r="C67" s="12" t="n">
        <v>64</v>
      </c>
      <c r="D67" s="45" t="n">
        <v>383.784</v>
      </c>
      <c r="E67" s="31" t="s">
        <v>106</v>
      </c>
    </row>
    <row r="68" customFormat="false" ht="15" hidden="false" customHeight="false" outlineLevel="0" collapsed="false">
      <c r="A68" s="12" t="s">
        <v>2259</v>
      </c>
      <c r="B68" s="12" t="s">
        <v>474</v>
      </c>
      <c r="C68" s="12" t="n">
        <v>65</v>
      </c>
      <c r="D68" s="45" t="n">
        <v>1056.096</v>
      </c>
      <c r="E68" s="31" t="s">
        <v>250</v>
      </c>
    </row>
    <row r="69" customFormat="false" ht="15" hidden="false" customHeight="false" outlineLevel="0" collapsed="false">
      <c r="A69" s="12" t="s">
        <v>2259</v>
      </c>
      <c r="B69" s="12" t="s">
        <v>2260</v>
      </c>
      <c r="C69" s="12" t="n">
        <v>66</v>
      </c>
      <c r="D69" s="45" t="n">
        <v>729.929</v>
      </c>
      <c r="E69" s="31" t="s">
        <v>248</v>
      </c>
    </row>
    <row r="70" customFormat="false" ht="15" hidden="false" customHeight="false" outlineLevel="0" collapsed="false">
      <c r="A70" s="12" t="s">
        <v>2259</v>
      </c>
      <c r="B70" s="12" t="s">
        <v>2261</v>
      </c>
      <c r="C70" s="12" t="n">
        <v>67</v>
      </c>
      <c r="D70" s="45" t="n">
        <v>1044.424</v>
      </c>
      <c r="E70" s="31" t="s">
        <v>249</v>
      </c>
    </row>
    <row r="71" customFormat="false" ht="15" hidden="false" customHeight="false" outlineLevel="0" collapsed="false">
      <c r="A71" s="12" t="s">
        <v>2259</v>
      </c>
      <c r="B71" s="12" t="s">
        <v>2262</v>
      </c>
      <c r="C71" s="12" t="n">
        <v>68</v>
      </c>
      <c r="D71" s="45" t="n">
        <v>940.777</v>
      </c>
      <c r="E71" s="31" t="s">
        <v>252</v>
      </c>
    </row>
    <row r="72" customFormat="false" ht="15" hidden="false" customHeight="false" outlineLevel="0" collapsed="false">
      <c r="A72" s="12" t="s">
        <v>2259</v>
      </c>
      <c r="B72" s="12" t="s">
        <v>2263</v>
      </c>
      <c r="C72" s="12" t="n">
        <v>69</v>
      </c>
      <c r="D72" s="45" t="n">
        <v>1216.969</v>
      </c>
      <c r="E72" s="31" t="s">
        <v>251</v>
      </c>
    </row>
    <row r="73" customFormat="false" ht="15" hidden="false" customHeight="false" outlineLevel="0" collapsed="false">
      <c r="A73" s="12" t="s">
        <v>2259</v>
      </c>
      <c r="B73" s="12" t="s">
        <v>477</v>
      </c>
      <c r="C73" s="12" t="n">
        <v>70</v>
      </c>
      <c r="D73" s="45" t="n">
        <v>1102.917</v>
      </c>
      <c r="E73" s="31" t="s">
        <v>253</v>
      </c>
    </row>
    <row r="74" customFormat="false" ht="15" hidden="false" customHeight="false" outlineLevel="0" collapsed="false">
      <c r="A74" s="12" t="s">
        <v>2259</v>
      </c>
      <c r="B74" s="12" t="s">
        <v>478</v>
      </c>
      <c r="C74" s="12" t="n">
        <v>71</v>
      </c>
      <c r="D74" s="45" t="n">
        <v>547.6</v>
      </c>
      <c r="E74" s="31" t="s">
        <v>254</v>
      </c>
    </row>
    <row r="75" customFormat="false" ht="15" hidden="false" customHeight="false" outlineLevel="0" collapsed="false">
      <c r="A75" s="12" t="s">
        <v>2259</v>
      </c>
      <c r="B75" s="12" t="s">
        <v>2264</v>
      </c>
      <c r="C75" s="12" t="n">
        <v>72</v>
      </c>
      <c r="D75" s="45" t="n">
        <v>1017</v>
      </c>
      <c r="E75" s="31" t="s">
        <v>255</v>
      </c>
    </row>
    <row r="76" customFormat="false" ht="15" hidden="false" customHeight="false" outlineLevel="0" collapsed="false">
      <c r="A76" s="12" t="s">
        <v>2259</v>
      </c>
      <c r="B76" s="12" t="s">
        <v>481</v>
      </c>
      <c r="C76" s="12" t="n">
        <v>73</v>
      </c>
      <c r="D76" s="45" t="n">
        <v>378.298</v>
      </c>
      <c r="E76" s="31" t="s">
        <v>257</v>
      </c>
    </row>
    <row r="77" customFormat="false" ht="15" hidden="false" customHeight="false" outlineLevel="0" collapsed="false">
      <c r="A77" s="12" t="s">
        <v>2259</v>
      </c>
      <c r="B77" s="12" t="s">
        <v>2265</v>
      </c>
      <c r="C77" s="12" t="n">
        <v>74</v>
      </c>
      <c r="D77" s="45" t="n">
        <v>962.481</v>
      </c>
      <c r="E77" s="31" t="s">
        <v>256</v>
      </c>
    </row>
    <row r="78" customFormat="false" ht="15" hidden="false" customHeight="false" outlineLevel="0" collapsed="false">
      <c r="A78" s="12" t="s">
        <v>2259</v>
      </c>
      <c r="B78" s="12" t="s">
        <v>2266</v>
      </c>
      <c r="C78" s="12" t="n">
        <v>75</v>
      </c>
      <c r="D78" s="45" t="n">
        <v>395.988000023</v>
      </c>
      <c r="E78" s="31" t="s">
        <v>258</v>
      </c>
    </row>
    <row r="79" customFormat="false" ht="15" hidden="false" customHeight="false" outlineLevel="0" collapsed="false">
      <c r="A79" s="12" t="s">
        <v>2259</v>
      </c>
      <c r="B79" s="12" t="s">
        <v>2267</v>
      </c>
      <c r="C79" s="12" t="n">
        <v>76</v>
      </c>
      <c r="D79" s="45" t="n">
        <v>338.722</v>
      </c>
      <c r="E79" s="31" t="s">
        <v>247</v>
      </c>
    </row>
    <row r="80" customFormat="false" ht="15" hidden="false" customHeight="false" outlineLevel="0" collapsed="false">
      <c r="A80" s="12" t="s">
        <v>2259</v>
      </c>
      <c r="B80" s="12" t="s">
        <v>2268</v>
      </c>
      <c r="C80" s="12" t="n">
        <v>77</v>
      </c>
      <c r="D80" s="45" t="n">
        <v>54.649</v>
      </c>
      <c r="E80" s="31" t="s">
        <v>246</v>
      </c>
    </row>
    <row r="81" customFormat="false" ht="15" hidden="false" customHeight="false" outlineLevel="0" collapsed="false">
      <c r="A81" s="12" t="s">
        <v>2269</v>
      </c>
      <c r="B81" s="12" t="s">
        <v>2270</v>
      </c>
      <c r="C81" s="12" t="n">
        <v>78</v>
      </c>
      <c r="D81" s="45" t="n">
        <v>446.38497</v>
      </c>
      <c r="E81" s="31" t="s">
        <v>128</v>
      </c>
    </row>
    <row r="82" customFormat="false" ht="15" hidden="false" customHeight="false" outlineLevel="0" collapsed="false">
      <c r="A82" s="12" t="s">
        <v>2269</v>
      </c>
      <c r="B82" s="12" t="s">
        <v>2241</v>
      </c>
      <c r="C82" s="12" t="n">
        <v>79</v>
      </c>
      <c r="D82" s="45" t="n">
        <v>430.95365385</v>
      </c>
      <c r="E82" s="31" t="s">
        <v>129</v>
      </c>
    </row>
    <row r="83" customFormat="false" ht="15" hidden="false" customHeight="false" outlineLevel="0" collapsed="false">
      <c r="A83" s="12" t="s">
        <v>2269</v>
      </c>
      <c r="B83" s="12" t="s">
        <v>2271</v>
      </c>
      <c r="C83" s="12" t="n">
        <v>80</v>
      </c>
      <c r="D83" s="45" t="n">
        <v>413.6979902</v>
      </c>
      <c r="E83" s="31" t="s">
        <v>130</v>
      </c>
    </row>
    <row r="84" customFormat="false" ht="15" hidden="false" customHeight="false" outlineLevel="0" collapsed="false">
      <c r="A84" s="12" t="s">
        <v>2269</v>
      </c>
      <c r="B84" s="12" t="s">
        <v>2272</v>
      </c>
      <c r="C84" s="12" t="n">
        <v>81</v>
      </c>
      <c r="D84" s="45" t="n">
        <v>898.422</v>
      </c>
      <c r="E84" s="31" t="s">
        <v>131</v>
      </c>
    </row>
    <row r="85" customFormat="false" ht="15" hidden="false" customHeight="false" outlineLevel="0" collapsed="false">
      <c r="A85" s="12" t="s">
        <v>2269</v>
      </c>
      <c r="B85" s="12" t="s">
        <v>2273</v>
      </c>
      <c r="C85" s="12" t="n">
        <v>82</v>
      </c>
      <c r="D85" s="45" t="n">
        <v>705.69700311</v>
      </c>
      <c r="E85" s="31" t="s">
        <v>133</v>
      </c>
    </row>
    <row r="86" customFormat="false" ht="15" hidden="false" customHeight="false" outlineLevel="0" collapsed="false">
      <c r="A86" s="12" t="s">
        <v>2269</v>
      </c>
      <c r="B86" s="12" t="s">
        <v>2274</v>
      </c>
      <c r="C86" s="12" t="n">
        <v>83</v>
      </c>
      <c r="D86" s="45" t="n">
        <v>5045.071</v>
      </c>
      <c r="E86" s="31" t="s">
        <v>134</v>
      </c>
    </row>
    <row r="87" customFormat="false" ht="15" hidden="false" customHeight="false" outlineLevel="0" collapsed="false">
      <c r="A87" s="12" t="s">
        <v>2269</v>
      </c>
      <c r="B87" s="12" t="s">
        <v>2275</v>
      </c>
      <c r="C87" s="12" t="n">
        <v>84</v>
      </c>
      <c r="D87" s="45" t="n">
        <v>3136.094</v>
      </c>
      <c r="E87" s="31" t="s">
        <v>135</v>
      </c>
    </row>
    <row r="88" customFormat="false" ht="15" hidden="false" customHeight="false" outlineLevel="0" collapsed="false">
      <c r="A88" s="12" t="s">
        <v>2269</v>
      </c>
      <c r="B88" s="12" t="s">
        <v>2276</v>
      </c>
      <c r="C88" s="12" t="n">
        <v>85</v>
      </c>
      <c r="D88" s="45" t="n">
        <v>1220.561</v>
      </c>
      <c r="E88" s="31" t="s">
        <v>136</v>
      </c>
    </row>
    <row r="89" customFormat="false" ht="15" hidden="false" customHeight="false" outlineLevel="0" collapsed="false">
      <c r="A89" s="12" t="s">
        <v>2269</v>
      </c>
      <c r="B89" s="12" t="s">
        <v>2277</v>
      </c>
      <c r="C89" s="12" t="n">
        <v>86</v>
      </c>
      <c r="D89" s="45" t="n">
        <v>908.6912877196</v>
      </c>
      <c r="E89" s="31" t="s">
        <v>132</v>
      </c>
    </row>
    <row r="90" customFormat="false" ht="15" hidden="false" customHeight="false" outlineLevel="0" collapsed="false">
      <c r="A90" s="12" t="s">
        <v>2269</v>
      </c>
      <c r="B90" s="12" t="s">
        <v>2278</v>
      </c>
      <c r="C90" s="12" t="n">
        <v>87</v>
      </c>
      <c r="D90" s="45" t="n">
        <v>1203.0297992316</v>
      </c>
      <c r="E90" s="31" t="s">
        <v>137</v>
      </c>
    </row>
    <row r="91" customFormat="false" ht="15" hidden="false" customHeight="false" outlineLevel="0" collapsed="false">
      <c r="A91" s="12" t="s">
        <v>2269</v>
      </c>
      <c r="B91" s="12" t="s">
        <v>2279</v>
      </c>
      <c r="C91" s="12" t="n">
        <v>88</v>
      </c>
      <c r="D91" s="45" t="n">
        <v>18.7868</v>
      </c>
      <c r="E91" s="31" t="s">
        <v>127</v>
      </c>
    </row>
    <row r="92" customFormat="false" ht="15" hidden="false" customHeight="false" outlineLevel="0" collapsed="false">
      <c r="A92" s="12" t="s">
        <v>2280</v>
      </c>
      <c r="B92" s="12" t="s">
        <v>2281</v>
      </c>
      <c r="C92" s="12" t="n">
        <v>89</v>
      </c>
      <c r="D92" s="45" t="n">
        <v>1259.2931229</v>
      </c>
      <c r="E92" s="31" t="s">
        <v>140</v>
      </c>
    </row>
    <row r="93" customFormat="false" ht="15" hidden="false" customHeight="false" outlineLevel="0" collapsed="false">
      <c r="A93" s="12" t="s">
        <v>2280</v>
      </c>
      <c r="B93" s="12" t="s">
        <v>2282</v>
      </c>
      <c r="C93" s="12" t="n">
        <v>90</v>
      </c>
      <c r="D93" s="45" t="n">
        <v>2367.267</v>
      </c>
      <c r="E93" s="31" t="s">
        <v>141</v>
      </c>
    </row>
    <row r="94" customFormat="false" ht="15" hidden="false" customHeight="false" outlineLevel="0" collapsed="false">
      <c r="A94" s="12" t="s">
        <v>2280</v>
      </c>
      <c r="B94" s="12" t="s">
        <v>2283</v>
      </c>
      <c r="C94" s="12" t="n">
        <v>91</v>
      </c>
      <c r="D94" s="45" t="n">
        <v>397.048</v>
      </c>
      <c r="E94" s="31" t="s">
        <v>142</v>
      </c>
    </row>
    <row r="95" customFormat="false" ht="15" hidden="false" customHeight="false" outlineLevel="0" collapsed="false">
      <c r="A95" s="12" t="s">
        <v>2280</v>
      </c>
      <c r="B95" s="12" t="s">
        <v>2284</v>
      </c>
      <c r="C95" s="12" t="n">
        <v>92</v>
      </c>
      <c r="D95" s="45" t="n">
        <v>2422.222</v>
      </c>
      <c r="E95" s="31" t="s">
        <v>145</v>
      </c>
    </row>
    <row r="96" customFormat="false" ht="15" hidden="false" customHeight="false" outlineLevel="0" collapsed="false">
      <c r="A96" s="12" t="s">
        <v>2280</v>
      </c>
      <c r="B96" s="12" t="s">
        <v>2285</v>
      </c>
      <c r="C96" s="12" t="n">
        <v>93</v>
      </c>
      <c r="D96" s="45" t="n">
        <v>1149.301</v>
      </c>
      <c r="E96" s="31" t="s">
        <v>143</v>
      </c>
    </row>
    <row r="97" customFormat="false" ht="15" hidden="false" customHeight="false" outlineLevel="0" collapsed="false">
      <c r="A97" s="12" t="s">
        <v>2280</v>
      </c>
      <c r="B97" s="12" t="s">
        <v>2286</v>
      </c>
      <c r="C97" s="12" t="n">
        <v>94</v>
      </c>
      <c r="D97" s="45" t="n">
        <v>706.6954329</v>
      </c>
      <c r="E97" s="31" t="s">
        <v>144</v>
      </c>
    </row>
    <row r="98" customFormat="false" ht="15" hidden="false" customHeight="false" outlineLevel="0" collapsed="false">
      <c r="A98" s="12" t="s">
        <v>2280</v>
      </c>
      <c r="B98" s="12" t="s">
        <v>2287</v>
      </c>
      <c r="C98" s="12" t="n">
        <v>95</v>
      </c>
      <c r="D98" s="45" t="n">
        <v>1058.252</v>
      </c>
      <c r="E98" s="31" t="s">
        <v>146</v>
      </c>
    </row>
    <row r="99" customFormat="false" ht="15" hidden="false" customHeight="false" outlineLevel="0" collapsed="false">
      <c r="A99" s="12" t="s">
        <v>2280</v>
      </c>
      <c r="B99" s="12" t="s">
        <v>2288</v>
      </c>
      <c r="C99" s="12" t="n">
        <v>96</v>
      </c>
      <c r="D99" s="45" t="n">
        <v>2440.409</v>
      </c>
      <c r="E99" s="31" t="s">
        <v>147</v>
      </c>
    </row>
    <row r="100" customFormat="false" ht="15" hidden="false" customHeight="false" outlineLevel="0" collapsed="false">
      <c r="A100" s="12" t="s">
        <v>2280</v>
      </c>
      <c r="B100" s="12" t="s">
        <v>2289</v>
      </c>
      <c r="C100" s="12" t="n">
        <v>97</v>
      </c>
      <c r="D100" s="45" t="n">
        <v>38.502</v>
      </c>
      <c r="E100" s="31" t="s">
        <v>138</v>
      </c>
    </row>
    <row r="101" customFormat="false" ht="15" hidden="false" customHeight="false" outlineLevel="0" collapsed="false">
      <c r="A101" s="12" t="s">
        <v>2280</v>
      </c>
      <c r="B101" s="12" t="s">
        <v>2290</v>
      </c>
      <c r="C101" s="12" t="n">
        <v>98</v>
      </c>
      <c r="D101" s="45" t="n">
        <v>7.008</v>
      </c>
      <c r="E101" s="31" t="s">
        <v>139</v>
      </c>
    </row>
    <row r="102" customFormat="false" ht="15" hidden="false" customHeight="false" outlineLevel="0" collapsed="false">
      <c r="A102" s="12" t="s">
        <v>2291</v>
      </c>
      <c r="B102" s="12" t="s">
        <v>2292</v>
      </c>
      <c r="C102" s="12" t="n">
        <v>99</v>
      </c>
      <c r="D102" s="45" t="n">
        <v>2571.605</v>
      </c>
      <c r="E102" s="31" t="s">
        <v>115</v>
      </c>
    </row>
    <row r="103" customFormat="false" ht="15" hidden="false" customHeight="false" outlineLevel="0" collapsed="false">
      <c r="A103" s="12" t="s">
        <v>2291</v>
      </c>
      <c r="B103" s="12" t="s">
        <v>2293</v>
      </c>
      <c r="C103" s="12" t="n">
        <v>100</v>
      </c>
      <c r="D103" s="45" t="n">
        <v>742.133</v>
      </c>
      <c r="E103" s="31" t="s">
        <v>119</v>
      </c>
    </row>
    <row r="104" customFormat="false" ht="15" hidden="false" customHeight="false" outlineLevel="0" collapsed="false">
      <c r="A104" s="12" t="s">
        <v>2291</v>
      </c>
      <c r="B104" s="12" t="s">
        <v>2294</v>
      </c>
      <c r="C104" s="12" t="n">
        <v>101</v>
      </c>
      <c r="D104" s="45" t="n">
        <v>1921.445</v>
      </c>
      <c r="E104" s="31" t="s">
        <v>122</v>
      </c>
    </row>
    <row r="105" customFormat="false" ht="15" hidden="false" customHeight="false" outlineLevel="0" collapsed="false">
      <c r="A105" s="12" t="s">
        <v>2291</v>
      </c>
      <c r="B105" s="12" t="s">
        <v>2295</v>
      </c>
      <c r="C105" s="12" t="n">
        <v>102</v>
      </c>
      <c r="D105" s="45" t="n">
        <v>556.634</v>
      </c>
      <c r="E105" s="31" t="s">
        <v>116</v>
      </c>
    </row>
    <row r="106" customFormat="false" ht="15" hidden="false" customHeight="false" outlineLevel="0" collapsed="false">
      <c r="A106" s="12" t="s">
        <v>2291</v>
      </c>
      <c r="B106" s="12" t="s">
        <v>2296</v>
      </c>
      <c r="C106" s="12" t="n">
        <v>103</v>
      </c>
      <c r="D106" s="45" t="n">
        <v>2076.073</v>
      </c>
      <c r="E106" s="31" t="s">
        <v>117</v>
      </c>
    </row>
    <row r="107" customFormat="false" ht="15" hidden="false" customHeight="false" outlineLevel="0" collapsed="false">
      <c r="A107" s="12" t="s">
        <v>2291</v>
      </c>
      <c r="B107" s="12" t="s">
        <v>2297</v>
      </c>
      <c r="C107" s="12" t="n">
        <v>104</v>
      </c>
      <c r="D107" s="45" t="n">
        <v>821.323</v>
      </c>
      <c r="E107" s="31" t="s">
        <v>118</v>
      </c>
    </row>
    <row r="108" customFormat="false" ht="15" hidden="false" customHeight="false" outlineLevel="0" collapsed="false">
      <c r="A108" s="12" t="s">
        <v>2291</v>
      </c>
      <c r="B108" s="12" t="s">
        <v>2298</v>
      </c>
      <c r="C108" s="12" t="n">
        <v>105</v>
      </c>
      <c r="D108" s="45" t="n">
        <v>1860.581</v>
      </c>
      <c r="E108" s="31" t="s">
        <v>120</v>
      </c>
    </row>
    <row r="109" customFormat="false" ht="15" hidden="false" customHeight="false" outlineLevel="0" collapsed="false">
      <c r="A109" s="12" t="s">
        <v>2291</v>
      </c>
      <c r="B109" s="12" t="s">
        <v>2299</v>
      </c>
      <c r="C109" s="12" t="n">
        <v>106</v>
      </c>
      <c r="D109" s="45" t="n">
        <v>997.492</v>
      </c>
      <c r="E109" s="31" t="s">
        <v>121</v>
      </c>
    </row>
    <row r="110" customFormat="false" ht="15" hidden="false" customHeight="false" outlineLevel="0" collapsed="false">
      <c r="A110" s="12" t="s">
        <v>2291</v>
      </c>
      <c r="B110" s="12" t="s">
        <v>2300</v>
      </c>
      <c r="C110" s="12" t="n">
        <v>107</v>
      </c>
      <c r="D110" s="45" t="n">
        <v>1188.843</v>
      </c>
      <c r="E110" s="31" t="s">
        <v>123</v>
      </c>
    </row>
    <row r="111" customFormat="false" ht="15" hidden="false" customHeight="false" outlineLevel="0" collapsed="false">
      <c r="A111" s="12" t="s">
        <v>2291</v>
      </c>
      <c r="B111" s="12" t="s">
        <v>2301</v>
      </c>
      <c r="C111" s="12" t="n">
        <v>108</v>
      </c>
      <c r="D111" s="45" t="n">
        <v>806.805</v>
      </c>
      <c r="E111" s="31" t="s">
        <v>124</v>
      </c>
    </row>
    <row r="112" customFormat="false" ht="15" hidden="false" customHeight="false" outlineLevel="0" collapsed="false">
      <c r="A112" s="12" t="s">
        <v>2291</v>
      </c>
      <c r="B112" s="12" t="s">
        <v>2302</v>
      </c>
      <c r="C112" s="12" t="n">
        <v>109</v>
      </c>
      <c r="D112" s="45" t="n">
        <v>796.757</v>
      </c>
      <c r="E112" s="31" t="s">
        <v>125</v>
      </c>
    </row>
    <row r="113" customFormat="false" ht="15" hidden="false" customHeight="false" outlineLevel="0" collapsed="false">
      <c r="A113" s="12" t="s">
        <v>2291</v>
      </c>
      <c r="B113" s="12" t="s">
        <v>2303</v>
      </c>
      <c r="C113" s="12" t="n">
        <v>110</v>
      </c>
      <c r="D113" s="45" t="n">
        <v>722.989</v>
      </c>
      <c r="E113" s="31" t="s">
        <v>126</v>
      </c>
    </row>
    <row r="114" customFormat="false" ht="15" hidden="false" customHeight="false" outlineLevel="0" collapsed="false">
      <c r="A114" s="12" t="s">
        <v>2291</v>
      </c>
      <c r="B114" s="12" t="s">
        <v>2304</v>
      </c>
      <c r="C114" s="12" t="n">
        <v>111</v>
      </c>
      <c r="D114" s="45" t="n">
        <v>71.17</v>
      </c>
      <c r="E114" s="31" t="s">
        <v>114</v>
      </c>
    </row>
    <row r="115" customFormat="false" ht="15" hidden="false" customHeight="false" outlineLevel="0" collapsed="false">
      <c r="A115" s="12" t="s">
        <v>2305</v>
      </c>
      <c r="B115" s="12" t="s">
        <v>2193</v>
      </c>
      <c r="C115" s="12" t="n">
        <v>112</v>
      </c>
      <c r="D115" s="45" t="n">
        <v>672.5285186</v>
      </c>
      <c r="E115" s="31" t="s">
        <v>154</v>
      </c>
    </row>
    <row r="116" customFormat="false" ht="15" hidden="false" customHeight="false" outlineLevel="0" collapsed="false">
      <c r="A116" s="12" t="s">
        <v>2305</v>
      </c>
      <c r="B116" s="12" t="s">
        <v>2306</v>
      </c>
      <c r="C116" s="12" t="n">
        <v>113</v>
      </c>
      <c r="D116" s="45" t="n">
        <v>5190.9315946</v>
      </c>
      <c r="E116" s="31" t="s">
        <v>155</v>
      </c>
    </row>
    <row r="117" customFormat="false" ht="15" hidden="false" customHeight="false" outlineLevel="0" collapsed="false">
      <c r="A117" s="12" t="s">
        <v>2305</v>
      </c>
      <c r="B117" s="12" t="s">
        <v>2307</v>
      </c>
      <c r="C117" s="12" t="n">
        <v>114</v>
      </c>
      <c r="D117" s="45" t="n">
        <v>1439.3199769</v>
      </c>
      <c r="E117" s="31" t="s">
        <v>156</v>
      </c>
    </row>
    <row r="118" customFormat="false" ht="15" hidden="false" customHeight="false" outlineLevel="0" collapsed="false">
      <c r="A118" s="12" t="s">
        <v>2305</v>
      </c>
      <c r="B118" s="12" t="s">
        <v>2308</v>
      </c>
      <c r="C118" s="12" t="n">
        <v>115</v>
      </c>
      <c r="D118" s="45" t="n">
        <v>3547.236</v>
      </c>
      <c r="E118" s="31" t="s">
        <v>157</v>
      </c>
    </row>
    <row r="119" customFormat="false" ht="15" hidden="false" customHeight="false" outlineLevel="0" collapsed="false">
      <c r="A119" s="12" t="s">
        <v>2305</v>
      </c>
      <c r="B119" s="12" t="s">
        <v>2309</v>
      </c>
      <c r="C119" s="12" t="n">
        <v>116</v>
      </c>
      <c r="D119" s="45" t="n">
        <v>4632.6301005</v>
      </c>
      <c r="E119" s="31" t="s">
        <v>158</v>
      </c>
    </row>
    <row r="120" customFormat="false" ht="15" hidden="false" customHeight="false" outlineLevel="0" collapsed="false">
      <c r="A120" s="12" t="s">
        <v>2305</v>
      </c>
      <c r="B120" s="12" t="s">
        <v>2310</v>
      </c>
      <c r="C120" s="12" t="n">
        <v>117</v>
      </c>
      <c r="D120" s="45" t="n">
        <v>1126.147</v>
      </c>
      <c r="E120" s="31" t="s">
        <v>159</v>
      </c>
    </row>
    <row r="121" customFormat="false" ht="15" hidden="false" customHeight="false" outlineLevel="0" collapsed="false">
      <c r="A121" s="12" t="s">
        <v>2305</v>
      </c>
      <c r="B121" s="12" t="s">
        <v>2311</v>
      </c>
      <c r="C121" s="12" t="n">
        <v>118</v>
      </c>
      <c r="D121" s="45" t="n">
        <v>6569.4047539</v>
      </c>
      <c r="E121" s="31" t="s">
        <v>160</v>
      </c>
    </row>
    <row r="122" customFormat="false" ht="15" hidden="false" customHeight="false" outlineLevel="0" collapsed="false">
      <c r="A122" s="12" t="s">
        <v>2305</v>
      </c>
      <c r="B122" s="12" t="s">
        <v>2312</v>
      </c>
      <c r="C122" s="12" t="n">
        <v>119</v>
      </c>
      <c r="D122" s="45" t="n">
        <v>600.33506</v>
      </c>
      <c r="E122" s="31" t="s">
        <v>149</v>
      </c>
    </row>
    <row r="123" customFormat="false" ht="15" hidden="false" customHeight="false" outlineLevel="0" collapsed="false">
      <c r="A123" s="12" t="s">
        <v>2305</v>
      </c>
      <c r="B123" s="12" t="s">
        <v>2313</v>
      </c>
      <c r="C123" s="12" t="n">
        <v>120</v>
      </c>
      <c r="D123" s="45" t="n">
        <v>49.78</v>
      </c>
      <c r="E123" s="31" t="s">
        <v>148</v>
      </c>
    </row>
    <row r="124" customFormat="false" ht="15" hidden="false" customHeight="false" outlineLevel="0" collapsed="false">
      <c r="A124" s="12" t="s">
        <v>2305</v>
      </c>
      <c r="B124" s="12" t="s">
        <v>2314</v>
      </c>
      <c r="C124" s="12" t="n">
        <v>121</v>
      </c>
      <c r="D124" s="45" t="n">
        <v>5.45204</v>
      </c>
      <c r="E124" s="31" t="s">
        <v>150</v>
      </c>
    </row>
    <row r="125" customFormat="false" ht="15" hidden="false" customHeight="false" outlineLevel="0" collapsed="false">
      <c r="A125" s="12" t="s">
        <v>2305</v>
      </c>
      <c r="B125" s="12" t="s">
        <v>2315</v>
      </c>
      <c r="C125" s="12" t="n">
        <v>122</v>
      </c>
      <c r="D125" s="45" t="n">
        <v>16.1040673</v>
      </c>
      <c r="E125" s="31" t="s">
        <v>151</v>
      </c>
    </row>
    <row r="126" customFormat="false" ht="15" hidden="false" customHeight="false" outlineLevel="0" collapsed="false">
      <c r="A126" s="12" t="s">
        <v>2305</v>
      </c>
      <c r="B126" s="12" t="s">
        <v>2316</v>
      </c>
      <c r="C126" s="12" t="n">
        <v>123</v>
      </c>
      <c r="D126" s="45" t="n">
        <v>31.1473331</v>
      </c>
      <c r="E126" s="31" t="s">
        <v>152</v>
      </c>
    </row>
    <row r="127" customFormat="false" ht="15" hidden="false" customHeight="false" outlineLevel="0" collapsed="false">
      <c r="A127" s="12" t="s">
        <v>2305</v>
      </c>
      <c r="B127" s="12" t="s">
        <v>2317</v>
      </c>
      <c r="C127" s="12" t="n">
        <v>124</v>
      </c>
      <c r="D127" s="45" t="n">
        <v>23.6194543</v>
      </c>
      <c r="E127" s="31" t="s">
        <v>153</v>
      </c>
    </row>
    <row r="128" customFormat="false" ht="15" hidden="false" customHeight="false" outlineLevel="0" collapsed="false">
      <c r="A128" s="12" t="s">
        <v>2318</v>
      </c>
      <c r="B128" s="12" t="s">
        <v>2319</v>
      </c>
      <c r="C128" s="12" t="n">
        <v>125</v>
      </c>
      <c r="D128" s="45" t="n">
        <v>544.767</v>
      </c>
      <c r="E128" s="31" t="s">
        <v>165</v>
      </c>
    </row>
    <row r="129" customFormat="false" ht="15" hidden="false" customHeight="false" outlineLevel="0" collapsed="false">
      <c r="A129" s="12" t="s">
        <v>2318</v>
      </c>
      <c r="B129" s="12" t="s">
        <v>2320</v>
      </c>
      <c r="C129" s="12" t="n">
        <v>126</v>
      </c>
      <c r="D129" s="45" t="n">
        <v>2250.988</v>
      </c>
      <c r="E129" s="31" t="s">
        <v>166</v>
      </c>
    </row>
    <row r="130" customFormat="false" ht="15" hidden="false" customHeight="false" outlineLevel="0" collapsed="false">
      <c r="A130" s="12" t="s">
        <v>2318</v>
      </c>
      <c r="B130" s="12" t="s">
        <v>2321</v>
      </c>
      <c r="C130" s="12" t="n">
        <v>127</v>
      </c>
      <c r="D130" s="45" t="n">
        <v>1110.872</v>
      </c>
      <c r="E130" s="31" t="s">
        <v>167</v>
      </c>
    </row>
    <row r="131" customFormat="false" ht="15" hidden="false" customHeight="false" outlineLevel="0" collapsed="false">
      <c r="A131" s="12" t="s">
        <v>2318</v>
      </c>
      <c r="B131" s="12" t="s">
        <v>2322</v>
      </c>
      <c r="C131" s="12" t="n">
        <v>128</v>
      </c>
      <c r="D131" s="45" t="n">
        <v>760.47</v>
      </c>
      <c r="E131" s="31" t="s">
        <v>178</v>
      </c>
    </row>
    <row r="132" customFormat="false" ht="15" hidden="false" customHeight="false" outlineLevel="0" collapsed="false">
      <c r="A132" s="12" t="s">
        <v>2318</v>
      </c>
      <c r="B132" s="12" t="s">
        <v>2323</v>
      </c>
      <c r="C132" s="12" t="n">
        <v>129</v>
      </c>
      <c r="D132" s="45" t="n">
        <v>676.901</v>
      </c>
      <c r="E132" s="31" t="s">
        <v>168</v>
      </c>
    </row>
    <row r="133" customFormat="false" ht="15" hidden="false" customHeight="false" outlineLevel="0" collapsed="false">
      <c r="A133" s="12" t="s">
        <v>2318</v>
      </c>
      <c r="B133" s="12" t="s">
        <v>2324</v>
      </c>
      <c r="C133" s="12" t="n">
        <v>130</v>
      </c>
      <c r="D133" s="45" t="n">
        <v>3759.6242</v>
      </c>
      <c r="E133" s="31" t="s">
        <v>169</v>
      </c>
    </row>
    <row r="134" customFormat="false" ht="15" hidden="false" customHeight="false" outlineLevel="0" collapsed="false">
      <c r="A134" s="12" t="s">
        <v>2318</v>
      </c>
      <c r="B134" s="12" t="s">
        <v>2325</v>
      </c>
      <c r="C134" s="12" t="n">
        <v>131</v>
      </c>
      <c r="D134" s="45" t="n">
        <v>731.1993</v>
      </c>
      <c r="E134" s="31" t="s">
        <v>170</v>
      </c>
    </row>
    <row r="135" customFormat="false" ht="15" hidden="false" customHeight="false" outlineLevel="0" collapsed="false">
      <c r="A135" s="12" t="s">
        <v>2318</v>
      </c>
      <c r="B135" s="12" t="s">
        <v>2326</v>
      </c>
      <c r="C135" s="12" t="n">
        <v>132</v>
      </c>
      <c r="D135" s="45" t="n">
        <v>1205.42400016084</v>
      </c>
      <c r="E135" s="31" t="s">
        <v>171</v>
      </c>
    </row>
    <row r="136" customFormat="false" ht="15" hidden="false" customHeight="false" outlineLevel="0" collapsed="false">
      <c r="A136" s="12" t="s">
        <v>2318</v>
      </c>
      <c r="B136" s="12" t="s">
        <v>2327</v>
      </c>
      <c r="C136" s="12" t="n">
        <v>133</v>
      </c>
      <c r="D136" s="45" t="n">
        <v>686.23</v>
      </c>
      <c r="E136" s="31" t="s">
        <v>172</v>
      </c>
    </row>
    <row r="137" customFormat="false" ht="15" hidden="false" customHeight="false" outlineLevel="0" collapsed="false">
      <c r="A137" s="12" t="s">
        <v>2318</v>
      </c>
      <c r="B137" s="12" t="s">
        <v>2328</v>
      </c>
      <c r="C137" s="12" t="n">
        <v>134</v>
      </c>
      <c r="D137" s="45" t="n">
        <v>1278.207</v>
      </c>
      <c r="E137" s="31" t="s">
        <v>173</v>
      </c>
    </row>
    <row r="138" customFormat="false" ht="15" hidden="false" customHeight="false" outlineLevel="0" collapsed="false">
      <c r="A138" s="12" t="s">
        <v>2318</v>
      </c>
      <c r="B138" s="12" t="s">
        <v>2329</v>
      </c>
      <c r="C138" s="12" t="n">
        <v>135</v>
      </c>
      <c r="D138" s="45" t="n">
        <v>738.82999997</v>
      </c>
      <c r="E138" s="31" t="s">
        <v>174</v>
      </c>
    </row>
    <row r="139" customFormat="false" ht="15" hidden="false" customHeight="false" outlineLevel="0" collapsed="false">
      <c r="A139" s="12" t="s">
        <v>2318</v>
      </c>
      <c r="B139" s="12" t="s">
        <v>2330</v>
      </c>
      <c r="C139" s="12" t="n">
        <v>136</v>
      </c>
      <c r="D139" s="45" t="n">
        <v>661.773</v>
      </c>
      <c r="E139" s="31" t="s">
        <v>175</v>
      </c>
    </row>
    <row r="140" customFormat="false" ht="15" hidden="false" customHeight="false" outlineLevel="0" collapsed="false">
      <c r="A140" s="12" t="s">
        <v>2318</v>
      </c>
      <c r="B140" s="12" t="s">
        <v>2331</v>
      </c>
      <c r="C140" s="12" t="n">
        <v>137</v>
      </c>
      <c r="D140" s="45" t="n">
        <v>1519.755</v>
      </c>
      <c r="E140" s="31" t="s">
        <v>176</v>
      </c>
    </row>
    <row r="141" customFormat="false" ht="15" hidden="false" customHeight="false" outlineLevel="0" collapsed="false">
      <c r="A141" s="12" t="s">
        <v>2318</v>
      </c>
      <c r="B141" s="12" t="s">
        <v>2332</v>
      </c>
      <c r="C141" s="12" t="n">
        <v>138</v>
      </c>
      <c r="D141" s="45" t="n">
        <v>611.6130000002</v>
      </c>
      <c r="E141" s="31" t="s">
        <v>177</v>
      </c>
    </row>
    <row r="142" customFormat="false" ht="15" hidden="false" customHeight="false" outlineLevel="0" collapsed="false">
      <c r="A142" s="12" t="s">
        <v>2318</v>
      </c>
      <c r="B142" s="12" t="s">
        <v>2333</v>
      </c>
      <c r="C142" s="12" t="n">
        <v>139</v>
      </c>
      <c r="D142" s="45" t="n">
        <v>715.581</v>
      </c>
      <c r="E142" s="31" t="s">
        <v>179</v>
      </c>
    </row>
    <row r="143" customFormat="false" ht="15" hidden="false" customHeight="false" outlineLevel="0" collapsed="false">
      <c r="A143" s="12" t="s">
        <v>2318</v>
      </c>
      <c r="B143" s="12" t="s">
        <v>2334</v>
      </c>
      <c r="C143" s="12" t="n">
        <v>140</v>
      </c>
      <c r="D143" s="45" t="n">
        <v>721.028</v>
      </c>
      <c r="E143" s="31" t="s">
        <v>180</v>
      </c>
    </row>
    <row r="144" customFormat="false" ht="15" hidden="false" customHeight="false" outlineLevel="0" collapsed="false">
      <c r="A144" s="12" t="s">
        <v>2318</v>
      </c>
      <c r="B144" s="12" t="s">
        <v>2335</v>
      </c>
      <c r="C144" s="12" t="n">
        <v>141</v>
      </c>
      <c r="D144" s="45" t="n">
        <v>1558.72</v>
      </c>
      <c r="E144" s="31" t="s">
        <v>162</v>
      </c>
    </row>
    <row r="145" customFormat="false" ht="15" hidden="false" customHeight="false" outlineLevel="0" collapsed="false">
      <c r="A145" s="12" t="s">
        <v>2318</v>
      </c>
      <c r="B145" s="12" t="s">
        <v>2336</v>
      </c>
      <c r="C145" s="12" t="n">
        <v>142</v>
      </c>
      <c r="D145" s="45" t="n">
        <v>14.505</v>
      </c>
      <c r="E145" s="31" t="s">
        <v>163</v>
      </c>
    </row>
    <row r="146" customFormat="false" ht="15" hidden="false" customHeight="false" outlineLevel="0" collapsed="false">
      <c r="A146" s="12" t="s">
        <v>2318</v>
      </c>
      <c r="B146" s="12" t="s">
        <v>2337</v>
      </c>
      <c r="C146" s="12" t="n">
        <v>143</v>
      </c>
      <c r="D146" s="45" t="n">
        <v>28.0747000024103</v>
      </c>
      <c r="E146" s="31" t="s">
        <v>161</v>
      </c>
    </row>
    <row r="147" customFormat="false" ht="15" hidden="false" customHeight="false" outlineLevel="0" collapsed="false">
      <c r="A147" s="12" t="s">
        <v>2318</v>
      </c>
      <c r="B147" s="12" t="s">
        <v>2338</v>
      </c>
      <c r="C147" s="12" t="n">
        <v>144</v>
      </c>
      <c r="D147" s="45" t="n">
        <v>25.565</v>
      </c>
      <c r="E147" s="31" t="s">
        <v>164</v>
      </c>
    </row>
    <row r="148" customFormat="false" ht="15" hidden="false" customHeight="false" outlineLevel="0" collapsed="false">
      <c r="A148" s="12" t="s">
        <v>2339</v>
      </c>
      <c r="B148" s="12" t="s">
        <v>2340</v>
      </c>
      <c r="C148" s="12" t="n">
        <v>145</v>
      </c>
      <c r="D148" s="45" t="n">
        <v>5521.274</v>
      </c>
      <c r="E148" s="31" t="s">
        <v>183</v>
      </c>
    </row>
    <row r="149" customFormat="false" ht="15" hidden="false" customHeight="false" outlineLevel="0" collapsed="false">
      <c r="A149" s="12" t="s">
        <v>2339</v>
      </c>
      <c r="B149" s="12" t="s">
        <v>2341</v>
      </c>
      <c r="C149" s="12" t="n">
        <v>146</v>
      </c>
      <c r="D149" s="45" t="n">
        <v>2293.226</v>
      </c>
      <c r="E149" s="31" t="s">
        <v>184</v>
      </c>
    </row>
    <row r="150" customFormat="false" ht="15" hidden="false" customHeight="false" outlineLevel="0" collapsed="false">
      <c r="A150" s="12" t="s">
        <v>2339</v>
      </c>
      <c r="B150" s="12" t="s">
        <v>2342</v>
      </c>
      <c r="C150" s="12" t="n">
        <v>147</v>
      </c>
      <c r="D150" s="45" t="n">
        <v>1543.396</v>
      </c>
      <c r="E150" s="31" t="s">
        <v>185</v>
      </c>
    </row>
    <row r="151" customFormat="false" ht="15" hidden="false" customHeight="false" outlineLevel="0" collapsed="false">
      <c r="A151" s="12" t="s">
        <v>2339</v>
      </c>
      <c r="B151" s="12" t="s">
        <v>2343</v>
      </c>
      <c r="C151" s="12" t="n">
        <v>148</v>
      </c>
      <c r="D151" s="45" t="n">
        <v>3759.70604</v>
      </c>
      <c r="E151" s="31" t="s">
        <v>186</v>
      </c>
    </row>
    <row r="152" customFormat="false" ht="15" hidden="false" customHeight="false" outlineLevel="0" collapsed="false">
      <c r="A152" s="12" t="s">
        <v>2339</v>
      </c>
      <c r="B152" s="12" t="s">
        <v>2344</v>
      </c>
      <c r="C152" s="12" t="n">
        <v>149</v>
      </c>
      <c r="D152" s="45" t="n">
        <v>3104.07</v>
      </c>
      <c r="E152" s="31" t="s">
        <v>187</v>
      </c>
    </row>
    <row r="153" customFormat="false" ht="15" hidden="false" customHeight="false" outlineLevel="0" collapsed="false">
      <c r="A153" s="12" t="s">
        <v>2339</v>
      </c>
      <c r="B153" s="12" t="s">
        <v>2345</v>
      </c>
      <c r="C153" s="12" t="n">
        <v>150</v>
      </c>
      <c r="D153" s="45" t="n">
        <v>2904.533</v>
      </c>
      <c r="E153" s="31" t="s">
        <v>188</v>
      </c>
    </row>
    <row r="154" customFormat="false" ht="15" hidden="false" customHeight="false" outlineLevel="0" collapsed="false">
      <c r="A154" s="12" t="s">
        <v>2339</v>
      </c>
      <c r="B154" s="12" t="s">
        <v>2346</v>
      </c>
      <c r="C154" s="12" t="n">
        <v>151</v>
      </c>
      <c r="D154" s="45" t="n">
        <v>3239.755</v>
      </c>
      <c r="E154" s="31" t="s">
        <v>189</v>
      </c>
    </row>
    <row r="155" customFormat="false" ht="15" hidden="false" customHeight="false" outlineLevel="0" collapsed="false">
      <c r="A155" s="12" t="s">
        <v>2339</v>
      </c>
      <c r="B155" s="12" t="s">
        <v>2347</v>
      </c>
      <c r="C155" s="12" t="n">
        <v>152</v>
      </c>
      <c r="D155" s="45" t="n">
        <v>235.988</v>
      </c>
      <c r="E155" s="31" t="s">
        <v>181</v>
      </c>
    </row>
    <row r="156" customFormat="false" ht="15" hidden="false" customHeight="false" outlineLevel="0" collapsed="false">
      <c r="A156" s="12" t="s">
        <v>2348</v>
      </c>
      <c r="B156" s="12" t="s">
        <v>2349</v>
      </c>
      <c r="C156" s="12" t="n">
        <v>153</v>
      </c>
      <c r="D156" s="45" t="n">
        <v>4051.933</v>
      </c>
      <c r="E156" s="31" t="s">
        <v>192</v>
      </c>
    </row>
    <row r="157" customFormat="false" ht="15" hidden="false" customHeight="false" outlineLevel="0" collapsed="false">
      <c r="A157" s="12" t="s">
        <v>2348</v>
      </c>
      <c r="B157" s="12" t="s">
        <v>2350</v>
      </c>
      <c r="C157" s="12" t="n">
        <v>154</v>
      </c>
      <c r="D157" s="45" t="n">
        <v>6483.6369</v>
      </c>
      <c r="E157" s="31" t="s">
        <v>193</v>
      </c>
    </row>
    <row r="158" customFormat="false" ht="15" hidden="false" customHeight="false" outlineLevel="0" collapsed="false">
      <c r="A158" s="12" t="s">
        <v>2348</v>
      </c>
      <c r="B158" s="12" t="s">
        <v>2351</v>
      </c>
      <c r="C158" s="12" t="n">
        <v>155</v>
      </c>
      <c r="D158" s="45" t="n">
        <v>4602.2253</v>
      </c>
      <c r="E158" s="31" t="s">
        <v>194</v>
      </c>
    </row>
    <row r="159" customFormat="false" ht="15" hidden="false" customHeight="false" outlineLevel="0" collapsed="false">
      <c r="A159" s="12" t="s">
        <v>2348</v>
      </c>
      <c r="B159" s="12" t="s">
        <v>2352</v>
      </c>
      <c r="C159" s="12" t="n">
        <v>156</v>
      </c>
      <c r="D159" s="45" t="n">
        <v>492.189</v>
      </c>
      <c r="E159" s="31" t="s">
        <v>195</v>
      </c>
    </row>
    <row r="160" customFormat="false" ht="15" hidden="false" customHeight="false" outlineLevel="0" collapsed="false">
      <c r="A160" s="12" t="s">
        <v>2348</v>
      </c>
      <c r="B160" s="12" t="s">
        <v>2353</v>
      </c>
      <c r="C160" s="12" t="n">
        <v>157</v>
      </c>
      <c r="D160" s="45" t="n">
        <v>852.8052</v>
      </c>
      <c r="E160" s="31" t="s">
        <v>196</v>
      </c>
    </row>
    <row r="161" customFormat="false" ht="15" hidden="false" customHeight="false" outlineLevel="0" collapsed="false">
      <c r="A161" s="12" t="s">
        <v>2348</v>
      </c>
      <c r="B161" s="12" t="s">
        <v>2354</v>
      </c>
      <c r="C161" s="12" t="n">
        <v>158</v>
      </c>
      <c r="D161" s="45" t="n">
        <v>29.849</v>
      </c>
      <c r="E161" s="31" t="s">
        <v>190</v>
      </c>
    </row>
    <row r="162" customFormat="false" ht="15" hidden="false" customHeight="false" outlineLevel="0" collapsed="false">
      <c r="A162" s="12" t="s">
        <v>2348</v>
      </c>
      <c r="B162" s="12" t="s">
        <v>2355</v>
      </c>
      <c r="C162" s="12" t="n">
        <v>159</v>
      </c>
      <c r="D162" s="45" t="n">
        <v>51.549</v>
      </c>
      <c r="E162" s="31" t="s">
        <v>191</v>
      </c>
    </row>
    <row r="163" customFormat="false" ht="15" hidden="false" customHeight="false" outlineLevel="0" collapsed="false">
      <c r="A163" s="12" t="s">
        <v>2356</v>
      </c>
      <c r="B163" s="12" t="s">
        <v>2306</v>
      </c>
      <c r="C163" s="12" t="n">
        <v>160</v>
      </c>
      <c r="D163" s="45" t="n">
        <v>977.8009</v>
      </c>
      <c r="E163" s="31" t="s">
        <v>200</v>
      </c>
    </row>
    <row r="164" customFormat="false" ht="15" hidden="false" customHeight="false" outlineLevel="0" collapsed="false">
      <c r="A164" s="12" t="s">
        <v>2356</v>
      </c>
      <c r="B164" s="12" t="s">
        <v>431</v>
      </c>
      <c r="C164" s="12" t="n">
        <v>161</v>
      </c>
      <c r="D164" s="45" t="n">
        <v>806.512</v>
      </c>
      <c r="E164" s="31" t="s">
        <v>205</v>
      </c>
    </row>
    <row r="165" customFormat="false" ht="15" hidden="false" customHeight="false" outlineLevel="0" collapsed="false">
      <c r="A165" s="12" t="s">
        <v>2356</v>
      </c>
      <c r="B165" s="12" t="s">
        <v>2357</v>
      </c>
      <c r="C165" s="12" t="n">
        <v>162</v>
      </c>
      <c r="D165" s="45" t="n">
        <v>1850.775</v>
      </c>
      <c r="E165" s="31" t="s">
        <v>201</v>
      </c>
    </row>
    <row r="166" customFormat="false" ht="15" hidden="false" customHeight="false" outlineLevel="0" collapsed="false">
      <c r="A166" s="12" t="s">
        <v>2356</v>
      </c>
      <c r="B166" s="12" t="s">
        <v>2358</v>
      </c>
      <c r="C166" s="12" t="n">
        <v>163</v>
      </c>
      <c r="D166" s="45" t="n">
        <v>766.772</v>
      </c>
      <c r="E166" s="31" t="s">
        <v>202</v>
      </c>
    </row>
    <row r="167" customFormat="false" ht="15" hidden="false" customHeight="false" outlineLevel="0" collapsed="false">
      <c r="A167" s="12" t="s">
        <v>2356</v>
      </c>
      <c r="B167" s="12" t="s">
        <v>2359</v>
      </c>
      <c r="C167" s="12" t="n">
        <v>164</v>
      </c>
      <c r="D167" s="45" t="n">
        <v>1019.0199</v>
      </c>
      <c r="E167" s="31" t="s">
        <v>203</v>
      </c>
    </row>
    <row r="168" customFormat="false" ht="15" hidden="false" customHeight="false" outlineLevel="0" collapsed="false">
      <c r="A168" s="12" t="s">
        <v>2356</v>
      </c>
      <c r="B168" s="12" t="s">
        <v>430</v>
      </c>
      <c r="C168" s="12" t="n">
        <v>165</v>
      </c>
      <c r="D168" s="45" t="n">
        <v>675.2177</v>
      </c>
      <c r="E168" s="31" t="s">
        <v>204</v>
      </c>
    </row>
    <row r="169" customFormat="false" ht="15" hidden="false" customHeight="false" outlineLevel="0" collapsed="false">
      <c r="A169" s="12" t="s">
        <v>2356</v>
      </c>
      <c r="B169" s="12" t="s">
        <v>2360</v>
      </c>
      <c r="C169" s="12" t="n">
        <v>166</v>
      </c>
      <c r="D169" s="45" t="n">
        <v>1799.654</v>
      </c>
      <c r="E169" s="31" t="s">
        <v>206</v>
      </c>
    </row>
    <row r="170" customFormat="false" ht="15" hidden="false" customHeight="false" outlineLevel="0" collapsed="false">
      <c r="A170" s="12" t="s">
        <v>2356</v>
      </c>
      <c r="B170" s="12" t="s">
        <v>2361</v>
      </c>
      <c r="C170" s="12" t="n">
        <v>167</v>
      </c>
      <c r="D170" s="45" t="n">
        <v>582.0879</v>
      </c>
      <c r="E170" s="31" t="s">
        <v>207</v>
      </c>
    </row>
    <row r="171" customFormat="false" ht="15" hidden="false" customHeight="false" outlineLevel="0" collapsed="false">
      <c r="A171" s="12" t="s">
        <v>2356</v>
      </c>
      <c r="B171" s="12" t="s">
        <v>2362</v>
      </c>
      <c r="C171" s="12" t="n">
        <v>168</v>
      </c>
      <c r="D171" s="45" t="n">
        <v>549.4164</v>
      </c>
      <c r="E171" s="31" t="s">
        <v>208</v>
      </c>
    </row>
    <row r="172" customFormat="false" ht="15" hidden="false" customHeight="false" outlineLevel="0" collapsed="false">
      <c r="A172" s="12" t="s">
        <v>2356</v>
      </c>
      <c r="B172" s="12" t="s">
        <v>2363</v>
      </c>
      <c r="C172" s="12" t="n">
        <v>169</v>
      </c>
      <c r="D172" s="45" t="n">
        <v>684.866</v>
      </c>
      <c r="E172" s="31" t="s">
        <v>209</v>
      </c>
    </row>
    <row r="173" customFormat="false" ht="15" hidden="false" customHeight="false" outlineLevel="0" collapsed="false">
      <c r="A173" s="12" t="s">
        <v>2356</v>
      </c>
      <c r="B173" s="12" t="s">
        <v>2364</v>
      </c>
      <c r="C173" s="12" t="n">
        <v>170</v>
      </c>
      <c r="D173" s="45" t="n">
        <v>801.3584</v>
      </c>
      <c r="E173" s="31" t="s">
        <v>198</v>
      </c>
    </row>
    <row r="174" customFormat="false" ht="15" hidden="false" customHeight="false" outlineLevel="0" collapsed="false">
      <c r="A174" s="12" t="s">
        <v>2356</v>
      </c>
      <c r="B174" s="12" t="s">
        <v>2365</v>
      </c>
      <c r="C174" s="12" t="n">
        <v>171</v>
      </c>
      <c r="D174" s="45" t="n">
        <v>63.5115</v>
      </c>
      <c r="E174" s="31" t="s">
        <v>197</v>
      </c>
    </row>
    <row r="175" customFormat="false" ht="15" hidden="false" customHeight="false" outlineLevel="0" collapsed="false">
      <c r="A175" s="12" t="s">
        <v>2356</v>
      </c>
      <c r="B175" s="12" t="s">
        <v>2366</v>
      </c>
      <c r="C175" s="12" t="n">
        <v>172</v>
      </c>
      <c r="D175" s="45" t="n">
        <v>1887.6021</v>
      </c>
      <c r="E175" s="31" t="s">
        <v>199</v>
      </c>
    </row>
    <row r="176" customFormat="false" ht="15" hidden="false" customHeight="false" outlineLevel="0" collapsed="false">
      <c r="A176" s="12" t="s">
        <v>2367</v>
      </c>
      <c r="B176" s="12" t="s">
        <v>2368</v>
      </c>
      <c r="C176" s="12" t="n">
        <v>173</v>
      </c>
      <c r="D176" s="45" t="n">
        <v>960.382</v>
      </c>
      <c r="E176" s="31" t="s">
        <v>211</v>
      </c>
    </row>
    <row r="177" customFormat="false" ht="15" hidden="false" customHeight="false" outlineLevel="0" collapsed="false">
      <c r="A177" s="12" t="s">
        <v>2367</v>
      </c>
      <c r="B177" s="12" t="s">
        <v>2369</v>
      </c>
      <c r="C177" s="12" t="n">
        <v>174</v>
      </c>
      <c r="D177" s="45" t="n">
        <v>804.317</v>
      </c>
      <c r="E177" s="31" t="s">
        <v>212</v>
      </c>
    </row>
    <row r="178" customFormat="false" ht="15" hidden="false" customHeight="false" outlineLevel="0" collapsed="false">
      <c r="A178" s="12" t="s">
        <v>2367</v>
      </c>
      <c r="B178" s="12" t="s">
        <v>2370</v>
      </c>
      <c r="C178" s="12" t="n">
        <v>175</v>
      </c>
      <c r="D178" s="45" t="n">
        <v>470.708</v>
      </c>
      <c r="E178" s="31" t="s">
        <v>219</v>
      </c>
    </row>
    <row r="179" customFormat="false" ht="15" hidden="false" customHeight="false" outlineLevel="0" collapsed="false">
      <c r="A179" s="12" t="s">
        <v>2367</v>
      </c>
      <c r="B179" s="12" t="s">
        <v>2371</v>
      </c>
      <c r="C179" s="12" t="n">
        <v>176</v>
      </c>
      <c r="D179" s="45" t="n">
        <v>1108.678</v>
      </c>
      <c r="E179" s="31" t="s">
        <v>223</v>
      </c>
    </row>
    <row r="180" customFormat="false" ht="15" hidden="false" customHeight="false" outlineLevel="0" collapsed="false">
      <c r="A180" s="12" t="s">
        <v>2367</v>
      </c>
      <c r="B180" s="12" t="s">
        <v>2213</v>
      </c>
      <c r="C180" s="12" t="n">
        <v>177</v>
      </c>
      <c r="D180" s="45" t="n">
        <v>514.144</v>
      </c>
      <c r="E180" s="31" t="s">
        <v>214</v>
      </c>
    </row>
    <row r="181" customFormat="false" ht="15" hidden="false" customHeight="false" outlineLevel="0" collapsed="false">
      <c r="A181" s="12" t="s">
        <v>2367</v>
      </c>
      <c r="B181" s="12" t="s">
        <v>2241</v>
      </c>
      <c r="C181" s="12" t="n">
        <v>178</v>
      </c>
      <c r="D181" s="45" t="n">
        <v>746.52</v>
      </c>
      <c r="E181" s="31" t="s">
        <v>215</v>
      </c>
    </row>
    <row r="182" customFormat="false" ht="15" hidden="false" customHeight="false" outlineLevel="0" collapsed="false">
      <c r="A182" s="12" t="s">
        <v>2367</v>
      </c>
      <c r="B182" s="12" t="s">
        <v>2372</v>
      </c>
      <c r="C182" s="12" t="n">
        <v>179</v>
      </c>
      <c r="D182" s="45" t="n">
        <v>614.99</v>
      </c>
      <c r="E182" s="31" t="s">
        <v>216</v>
      </c>
    </row>
    <row r="183" customFormat="false" ht="15" hidden="false" customHeight="false" outlineLevel="0" collapsed="false">
      <c r="A183" s="12" t="s">
        <v>2367</v>
      </c>
      <c r="B183" s="12" t="s">
        <v>2373</v>
      </c>
      <c r="C183" s="12" t="n">
        <v>180</v>
      </c>
      <c r="D183" s="45" t="n">
        <v>780.698</v>
      </c>
      <c r="E183" s="31" t="s">
        <v>213</v>
      </c>
    </row>
    <row r="184" customFormat="false" ht="15" hidden="false" customHeight="false" outlineLevel="0" collapsed="false">
      <c r="A184" s="12" t="s">
        <v>2367</v>
      </c>
      <c r="B184" s="12" t="s">
        <v>2374</v>
      </c>
      <c r="C184" s="12" t="n">
        <v>181</v>
      </c>
      <c r="D184" s="45" t="n">
        <v>410.001</v>
      </c>
      <c r="E184" s="31" t="s">
        <v>217</v>
      </c>
    </row>
    <row r="185" customFormat="false" ht="15" hidden="false" customHeight="false" outlineLevel="0" collapsed="false">
      <c r="A185" s="12" t="s">
        <v>2367</v>
      </c>
      <c r="B185" s="12" t="s">
        <v>2375</v>
      </c>
      <c r="C185" s="12" t="n">
        <v>182</v>
      </c>
      <c r="D185" s="45" t="n">
        <v>1143.404</v>
      </c>
      <c r="E185" s="31" t="s">
        <v>220</v>
      </c>
    </row>
    <row r="186" customFormat="false" ht="15" hidden="false" customHeight="false" outlineLevel="0" collapsed="false">
      <c r="A186" s="12" t="s">
        <v>2367</v>
      </c>
      <c r="B186" s="12" t="s">
        <v>2376</v>
      </c>
      <c r="C186" s="12" t="n">
        <v>183</v>
      </c>
      <c r="D186" s="45" t="n">
        <v>451.167</v>
      </c>
      <c r="E186" s="31" t="s">
        <v>221</v>
      </c>
    </row>
    <row r="187" customFormat="false" ht="15" hidden="false" customHeight="false" outlineLevel="0" collapsed="false">
      <c r="A187" s="12" t="s">
        <v>2367</v>
      </c>
      <c r="B187" s="12" t="s">
        <v>2377</v>
      </c>
      <c r="C187" s="12" t="n">
        <v>184</v>
      </c>
      <c r="D187" s="45" t="n">
        <v>1287.662</v>
      </c>
      <c r="E187" s="31" t="s">
        <v>222</v>
      </c>
    </row>
    <row r="188" customFormat="false" ht="15" hidden="false" customHeight="false" outlineLevel="0" collapsed="false">
      <c r="A188" s="12" t="s">
        <v>2367</v>
      </c>
      <c r="B188" s="12" t="s">
        <v>2378</v>
      </c>
      <c r="C188" s="12" t="n">
        <v>185</v>
      </c>
      <c r="D188" s="45" t="n">
        <v>484.107</v>
      </c>
      <c r="E188" s="31" t="s">
        <v>218</v>
      </c>
    </row>
    <row r="189" customFormat="false" ht="15" hidden="false" customHeight="false" outlineLevel="0" collapsed="false">
      <c r="A189" s="12" t="s">
        <v>2367</v>
      </c>
      <c r="B189" s="12" t="s">
        <v>2379</v>
      </c>
      <c r="C189" s="12" t="n">
        <v>186</v>
      </c>
      <c r="D189" s="45" t="n">
        <v>22.491</v>
      </c>
      <c r="E189" s="31" t="s">
        <v>210</v>
      </c>
    </row>
    <row r="190" customFormat="false" ht="15" hidden="false" customHeight="false" outlineLevel="0" collapsed="false">
      <c r="A190" s="12" t="s">
        <v>2380</v>
      </c>
      <c r="B190" s="12" t="s">
        <v>2381</v>
      </c>
      <c r="C190" s="12" t="n">
        <v>187</v>
      </c>
      <c r="D190" s="45" t="n">
        <v>721.628</v>
      </c>
      <c r="E190" s="31" t="s">
        <v>227</v>
      </c>
    </row>
    <row r="191" customFormat="false" ht="15" hidden="false" customHeight="false" outlineLevel="0" collapsed="false">
      <c r="A191" s="12" t="s">
        <v>2380</v>
      </c>
      <c r="B191" s="12" t="s">
        <v>2382</v>
      </c>
      <c r="C191" s="12" t="n">
        <v>188</v>
      </c>
      <c r="D191" s="45" t="n">
        <v>104.5411</v>
      </c>
      <c r="E191" s="31" t="s">
        <v>228</v>
      </c>
    </row>
    <row r="192" customFormat="false" ht="15" hidden="false" customHeight="false" outlineLevel="0" collapsed="false">
      <c r="A192" s="12" t="s">
        <v>2380</v>
      </c>
      <c r="B192" s="12" t="s">
        <v>2383</v>
      </c>
      <c r="C192" s="12" t="n">
        <v>189</v>
      </c>
      <c r="D192" s="45" t="n">
        <v>409.057</v>
      </c>
      <c r="E192" s="31" t="s">
        <v>230</v>
      </c>
    </row>
    <row r="193" customFormat="false" ht="15" hidden="false" customHeight="false" outlineLevel="0" collapsed="false">
      <c r="A193" s="12" t="s">
        <v>2380</v>
      </c>
      <c r="B193" s="12" t="s">
        <v>2384</v>
      </c>
      <c r="C193" s="12" t="n">
        <v>190</v>
      </c>
      <c r="D193" s="45" t="n">
        <v>345.129</v>
      </c>
      <c r="E193" s="31" t="s">
        <v>229</v>
      </c>
    </row>
    <row r="194" customFormat="false" ht="15" hidden="false" customHeight="false" outlineLevel="0" collapsed="false">
      <c r="A194" s="12" t="s">
        <v>2380</v>
      </c>
      <c r="B194" s="12" t="s">
        <v>2385</v>
      </c>
      <c r="C194" s="12" t="n">
        <v>191</v>
      </c>
      <c r="D194" s="45" t="n">
        <v>80.8559</v>
      </c>
      <c r="E194" s="31" t="s">
        <v>231</v>
      </c>
    </row>
    <row r="195" customFormat="false" ht="15" hidden="false" customHeight="false" outlineLevel="0" collapsed="false">
      <c r="A195" s="12" t="s">
        <v>2380</v>
      </c>
      <c r="B195" s="12" t="s">
        <v>2386</v>
      </c>
      <c r="C195" s="12" t="n">
        <v>192</v>
      </c>
      <c r="D195" s="45" t="n">
        <v>265.561</v>
      </c>
      <c r="E195" s="31" t="s">
        <v>232</v>
      </c>
    </row>
    <row r="196" customFormat="false" ht="15" hidden="false" customHeight="false" outlineLevel="0" collapsed="false">
      <c r="A196" s="12" t="s">
        <v>2380</v>
      </c>
      <c r="B196" s="12" t="s">
        <v>2387</v>
      </c>
      <c r="C196" s="12" t="n">
        <v>193</v>
      </c>
      <c r="D196" s="45" t="n">
        <v>1675.743</v>
      </c>
      <c r="E196" s="31" t="s">
        <v>233</v>
      </c>
    </row>
    <row r="197" customFormat="false" ht="15" hidden="false" customHeight="false" outlineLevel="0" collapsed="false">
      <c r="A197" s="12" t="s">
        <v>2380</v>
      </c>
      <c r="B197" s="12" t="s">
        <v>2388</v>
      </c>
      <c r="C197" s="12" t="n">
        <v>194</v>
      </c>
      <c r="D197" s="45" t="n">
        <v>105.97</v>
      </c>
      <c r="E197" s="31" t="s">
        <v>234</v>
      </c>
    </row>
    <row r="198" customFormat="false" ht="15" hidden="false" customHeight="false" outlineLevel="0" collapsed="false">
      <c r="A198" s="12" t="s">
        <v>2380</v>
      </c>
      <c r="B198" s="12" t="s">
        <v>2389</v>
      </c>
      <c r="C198" s="12" t="n">
        <v>195</v>
      </c>
      <c r="D198" s="45" t="n">
        <v>417.243</v>
      </c>
      <c r="E198" s="31" t="s">
        <v>235</v>
      </c>
    </row>
    <row r="199" customFormat="false" ht="15" hidden="false" customHeight="false" outlineLevel="0" collapsed="false">
      <c r="A199" s="12" t="s">
        <v>2380</v>
      </c>
      <c r="B199" s="12" t="s">
        <v>460</v>
      </c>
      <c r="C199" s="12" t="n">
        <v>196</v>
      </c>
      <c r="D199" s="45" t="n">
        <v>646.07754</v>
      </c>
      <c r="E199" s="31" t="s">
        <v>236</v>
      </c>
    </row>
    <row r="200" customFormat="false" ht="15" hidden="false" customHeight="false" outlineLevel="0" collapsed="false">
      <c r="A200" s="12" t="s">
        <v>2380</v>
      </c>
      <c r="B200" s="12" t="s">
        <v>2390</v>
      </c>
      <c r="C200" s="12" t="n">
        <v>197</v>
      </c>
      <c r="D200" s="45" t="n">
        <v>4104.94</v>
      </c>
      <c r="E200" s="31" t="s">
        <v>237</v>
      </c>
    </row>
    <row r="201" customFormat="false" ht="15" hidden="false" customHeight="false" outlineLevel="0" collapsed="false">
      <c r="A201" s="12" t="s">
        <v>2380</v>
      </c>
      <c r="B201" s="12" t="s">
        <v>2391</v>
      </c>
      <c r="C201" s="12" t="n">
        <v>198</v>
      </c>
      <c r="D201" s="45" t="n">
        <v>301.397</v>
      </c>
      <c r="E201" s="31" t="s">
        <v>238</v>
      </c>
    </row>
    <row r="202" customFormat="false" ht="15" hidden="false" customHeight="false" outlineLevel="0" collapsed="false">
      <c r="A202" s="12" t="s">
        <v>2380</v>
      </c>
      <c r="B202" s="12" t="s">
        <v>2392</v>
      </c>
      <c r="C202" s="12" t="n">
        <v>199</v>
      </c>
      <c r="D202" s="45" t="n">
        <v>234.641</v>
      </c>
      <c r="E202" s="31" t="s">
        <v>239</v>
      </c>
    </row>
    <row r="203" customFormat="false" ht="15" hidden="false" customHeight="false" outlineLevel="0" collapsed="false">
      <c r="A203" s="12" t="s">
        <v>2380</v>
      </c>
      <c r="B203" s="12" t="s">
        <v>2393</v>
      </c>
      <c r="C203" s="12" t="n">
        <v>200</v>
      </c>
      <c r="D203" s="45" t="n">
        <v>1287.224533</v>
      </c>
      <c r="E203" s="31" t="s">
        <v>240</v>
      </c>
    </row>
    <row r="204" customFormat="false" ht="15" hidden="false" customHeight="false" outlineLevel="0" collapsed="false">
      <c r="A204" s="12" t="s">
        <v>2380</v>
      </c>
      <c r="B204" s="12" t="s">
        <v>2394</v>
      </c>
      <c r="C204" s="12" t="n">
        <v>201</v>
      </c>
      <c r="D204" s="45" t="n">
        <v>758.74</v>
      </c>
      <c r="E204" s="31" t="s">
        <v>225</v>
      </c>
    </row>
    <row r="205" customFormat="false" ht="15" hidden="false" customHeight="false" outlineLevel="0" collapsed="false">
      <c r="A205" s="12" t="s">
        <v>2380</v>
      </c>
      <c r="B205" s="12" t="s">
        <v>2395</v>
      </c>
      <c r="C205" s="12" t="n">
        <v>202</v>
      </c>
      <c r="D205" s="45" t="n">
        <v>128.319</v>
      </c>
      <c r="E205" s="31" t="s">
        <v>226</v>
      </c>
    </row>
    <row r="206" customFormat="false" ht="15" hidden="false" customHeight="false" outlineLevel="0" collapsed="false">
      <c r="A206" s="12" t="s">
        <v>2380</v>
      </c>
      <c r="B206" s="12" t="s">
        <v>2396</v>
      </c>
      <c r="C206" s="12" t="n">
        <v>203</v>
      </c>
      <c r="D206" s="45" t="n">
        <v>22.37057</v>
      </c>
      <c r="E206" s="31" t="s">
        <v>224</v>
      </c>
    </row>
    <row r="207" customFormat="false" ht="15" hidden="false" customHeight="false" outlineLevel="0" collapsed="false">
      <c r="A207" s="12" t="s">
        <v>2397</v>
      </c>
      <c r="B207" s="12" t="s">
        <v>2398</v>
      </c>
      <c r="C207" s="12" t="n">
        <v>204</v>
      </c>
      <c r="D207" s="45" t="n">
        <v>6234.781</v>
      </c>
      <c r="E207" s="31" t="s">
        <v>244</v>
      </c>
    </row>
    <row r="208" customFormat="false" ht="15" hidden="false" customHeight="false" outlineLevel="0" collapsed="false">
      <c r="A208" s="12" t="s">
        <v>2397</v>
      </c>
      <c r="B208" s="12" t="s">
        <v>2399</v>
      </c>
      <c r="C208" s="12" t="n">
        <v>205</v>
      </c>
      <c r="D208" s="45" t="n">
        <v>12293.105</v>
      </c>
      <c r="E208" s="31" t="s">
        <v>245</v>
      </c>
    </row>
    <row r="209" customFormat="false" ht="15" hidden="false" customHeight="false" outlineLevel="0" collapsed="false">
      <c r="A209" s="12" t="s">
        <v>2397</v>
      </c>
      <c r="B209" s="12" t="s">
        <v>2400</v>
      </c>
      <c r="C209" s="12" t="n">
        <v>206</v>
      </c>
      <c r="D209" s="45" t="n">
        <v>176</v>
      </c>
      <c r="E209" s="31" t="s">
        <v>241</v>
      </c>
    </row>
    <row r="210" customFormat="false" ht="15" hidden="false" customHeight="false" outlineLevel="0" collapsed="false">
      <c r="A210" s="12" t="s">
        <v>2397</v>
      </c>
      <c r="B210" s="12" t="s">
        <v>2401</v>
      </c>
      <c r="C210" s="12" t="n">
        <v>207</v>
      </c>
      <c r="D210" s="45" t="n">
        <v>79.2429443</v>
      </c>
      <c r="E210" s="31" t="s">
        <v>242</v>
      </c>
    </row>
    <row r="211" customFormat="false" ht="15" hidden="false" customHeight="false" outlineLevel="0" collapsed="false">
      <c r="A211" s="12" t="s">
        <v>2397</v>
      </c>
      <c r="B211" s="12" t="s">
        <v>2402</v>
      </c>
      <c r="C211" s="12" t="n">
        <v>208</v>
      </c>
      <c r="D211" s="45" t="n">
        <v>110.435</v>
      </c>
      <c r="E211" s="31" t="s">
        <v>243</v>
      </c>
    </row>
    <row r="212" customFormat="false" ht="15" hidden="false" customHeight="false" outlineLevel="0" collapsed="false">
      <c r="A212" s="12" t="s">
        <v>2403</v>
      </c>
      <c r="B212" s="12" t="s">
        <v>2404</v>
      </c>
      <c r="C212" s="12" t="n">
        <v>209</v>
      </c>
      <c r="D212" s="45" t="n">
        <v>68.3</v>
      </c>
      <c r="E212" s="31" t="s">
        <v>260</v>
      </c>
    </row>
    <row r="213" customFormat="false" ht="15" hidden="false" customHeight="false" outlineLevel="0" collapsed="false">
      <c r="A213" s="12" t="s">
        <v>2405</v>
      </c>
      <c r="B213" s="12" t="s">
        <v>2406</v>
      </c>
      <c r="C213" s="12" t="n">
        <v>210</v>
      </c>
      <c r="D213" s="45" t="n">
        <v>79.7</v>
      </c>
      <c r="E213" s="31" t="s">
        <v>259</v>
      </c>
    </row>
    <row r="214" customFormat="false" ht="15" hidden="false" customHeight="false" outlineLevel="0" collapsed="false">
      <c r="A214" s="12" t="s">
        <v>2407</v>
      </c>
      <c r="B214" s="12" t="s">
        <v>2408</v>
      </c>
      <c r="C214" s="12" t="n">
        <v>211</v>
      </c>
      <c r="D214" s="45" t="n">
        <v>116.3</v>
      </c>
      <c r="E214" s="31" t="s">
        <v>261</v>
      </c>
    </row>
    <row r="215" customFormat="false" ht="15" hidden="false" customHeight="false" outlineLevel="0" collapsed="false">
      <c r="A215" s="42"/>
      <c r="B215" s="42" t="s">
        <v>2180</v>
      </c>
      <c r="C215" s="42"/>
      <c r="D215" s="46" t="n">
        <f aca="false">SUM(D4:D214)</f>
        <v>272491.002739868</v>
      </c>
      <c r="E215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70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5.75" hidden="false" customHeight="true" outlineLevel="0" collapsed="false">
      <c r="A1" s="1" t="s">
        <v>2409</v>
      </c>
    </row>
    <row r="3" customFormat="false" ht="45" hidden="false" customHeight="true" outlineLevel="0" collapsed="false">
      <c r="A3" s="2" t="s">
        <v>33</v>
      </c>
      <c r="B3" s="2" t="s">
        <v>2410</v>
      </c>
      <c r="C3" s="2" t="s">
        <v>490</v>
      </c>
      <c r="D3" s="2" t="s">
        <v>2411</v>
      </c>
      <c r="E3" s="2" t="s">
        <v>36</v>
      </c>
      <c r="F3" s="2" t="s">
        <v>493</v>
      </c>
      <c r="G3" s="2" t="s">
        <v>2412</v>
      </c>
      <c r="H3" s="2" t="s">
        <v>491</v>
      </c>
      <c r="I3" s="2" t="s">
        <v>2413</v>
      </c>
    </row>
    <row r="4" customFormat="false" ht="15" hidden="false" customHeight="false" outlineLevel="0" collapsed="false">
      <c r="A4" s="12" t="n">
        <v>1</v>
      </c>
      <c r="B4" s="12" t="s">
        <v>498</v>
      </c>
      <c r="C4" s="12" t="s">
        <v>499</v>
      </c>
      <c r="D4" s="40" t="n">
        <v>16574</v>
      </c>
      <c r="E4" s="31" t="s">
        <v>53</v>
      </c>
      <c r="F4" s="12" t="str">
        <f aca="false">IFERROR(INDEX('Расчет Кплотн'!$C:$C,MATCH(E4,'Расчет Кплотн'!$A:$A,0)),"код не найден")</f>
        <v>район Ақсуат</v>
      </c>
      <c r="G4" s="12" t="s">
        <v>503</v>
      </c>
      <c r="H4" s="12" t="s">
        <v>500</v>
      </c>
      <c r="I4" s="12" t="s">
        <v>501</v>
      </c>
    </row>
    <row r="5" customFormat="false" ht="15" hidden="false" customHeight="false" outlineLevel="0" collapsed="false">
      <c r="A5" s="12" t="n">
        <v>2</v>
      </c>
      <c r="B5" s="12" t="s">
        <v>498</v>
      </c>
      <c r="C5" s="12" t="s">
        <v>504</v>
      </c>
      <c r="D5" s="40" t="n">
        <v>3039</v>
      </c>
      <c r="E5" s="31" t="s">
        <v>58</v>
      </c>
      <c r="F5" s="12" t="str">
        <f aca="false">IFERROR(INDEX('Расчет Кплотн'!$C:$C,MATCH(E5,'Расчет Кплотн'!$A:$A,0)),"код не найден")</f>
        <v>Жарминский район</v>
      </c>
      <c r="G5" s="12" t="s">
        <v>503</v>
      </c>
      <c r="H5" s="12" t="s">
        <v>505</v>
      </c>
      <c r="I5" s="12" t="s">
        <v>506</v>
      </c>
    </row>
    <row r="6" customFormat="false" ht="15" hidden="false" customHeight="false" outlineLevel="0" collapsed="false">
      <c r="A6" s="12" t="n">
        <v>3</v>
      </c>
      <c r="B6" s="12" t="s">
        <v>498</v>
      </c>
      <c r="C6" s="12" t="s">
        <v>507</v>
      </c>
      <c r="D6" s="40" t="n">
        <v>1781</v>
      </c>
      <c r="E6" s="31" t="s">
        <v>57</v>
      </c>
      <c r="F6" s="12" t="str">
        <f aca="false">IFERROR(INDEX('Расчет Кплотн'!$C:$C,MATCH(E6,'Расчет Кплотн'!$A:$A,0)),"код не найден")</f>
        <v>район Жаңасемей</v>
      </c>
      <c r="G6" s="12" t="s">
        <v>509</v>
      </c>
      <c r="H6" s="12" t="s">
        <v>508</v>
      </c>
      <c r="I6" s="12"/>
    </row>
    <row r="7" customFormat="false" ht="15" hidden="false" customHeight="false" outlineLevel="0" collapsed="false">
      <c r="A7" s="12" t="n">
        <v>4</v>
      </c>
      <c r="B7" s="12" t="s">
        <v>498</v>
      </c>
      <c r="C7" s="12" t="s">
        <v>510</v>
      </c>
      <c r="D7" s="40" t="n">
        <v>11648</v>
      </c>
      <c r="E7" s="31" t="s">
        <v>50</v>
      </c>
      <c r="F7" s="12" t="str">
        <f aca="false">IFERROR(INDEX('Расчет Кплотн'!$C:$C,MATCH(E7,'Расчет Кплотн'!$A:$A,0)),"код не найден")</f>
        <v>Семей</v>
      </c>
      <c r="G7" s="12" t="s">
        <v>503</v>
      </c>
      <c r="H7" s="12" t="s">
        <v>511</v>
      </c>
      <c r="I7" s="12" t="s">
        <v>512</v>
      </c>
    </row>
    <row r="8" customFormat="false" ht="15" hidden="false" customHeight="false" outlineLevel="0" collapsed="false">
      <c r="A8" s="12" t="n">
        <v>5</v>
      </c>
      <c r="B8" s="12" t="s">
        <v>498</v>
      </c>
      <c r="C8" s="12" t="s">
        <v>514</v>
      </c>
      <c r="D8" s="40" t="n">
        <v>19155</v>
      </c>
      <c r="E8" s="31" t="s">
        <v>50</v>
      </c>
      <c r="F8" s="12" t="str">
        <f aca="false">IFERROR(INDEX('Расчет Кплотн'!$C:$C,MATCH(E8,'Расчет Кплотн'!$A:$A,0)),"код не найден")</f>
        <v>Семей</v>
      </c>
      <c r="G8" s="12" t="s">
        <v>503</v>
      </c>
      <c r="H8" s="12" t="s">
        <v>515</v>
      </c>
      <c r="I8" s="12" t="s">
        <v>512</v>
      </c>
    </row>
    <row r="9" customFormat="false" ht="15" hidden="false" customHeight="false" outlineLevel="0" collapsed="false">
      <c r="A9" s="12" t="n">
        <v>6</v>
      </c>
      <c r="B9" s="12" t="s">
        <v>498</v>
      </c>
      <c r="C9" s="12" t="s">
        <v>516</v>
      </c>
      <c r="D9" s="40" t="n">
        <v>35438</v>
      </c>
      <c r="E9" s="31" t="s">
        <v>50</v>
      </c>
      <c r="F9" s="12" t="str">
        <f aca="false">IFERROR(INDEX('Расчет Кплотн'!$C:$C,MATCH(E9,'Расчет Кплотн'!$A:$A,0)),"код не найден")</f>
        <v>Семей</v>
      </c>
      <c r="G9" s="12" t="s">
        <v>503</v>
      </c>
      <c r="H9" s="12" t="s">
        <v>517</v>
      </c>
      <c r="I9" s="12" t="s">
        <v>512</v>
      </c>
    </row>
    <row r="10" customFormat="false" ht="15" hidden="false" customHeight="false" outlineLevel="0" collapsed="false">
      <c r="A10" s="12" t="n">
        <v>7</v>
      </c>
      <c r="B10" s="12" t="s">
        <v>498</v>
      </c>
      <c r="C10" s="12" t="s">
        <v>518</v>
      </c>
      <c r="D10" s="40" t="n">
        <v>38899</v>
      </c>
      <c r="E10" s="31" t="s">
        <v>50</v>
      </c>
      <c r="F10" s="12" t="str">
        <f aca="false">IFERROR(INDEX('Расчет Кплотн'!$C:$C,MATCH(E10,'Расчет Кплотн'!$A:$A,0)),"код не найден")</f>
        <v>Семей</v>
      </c>
      <c r="G10" s="12" t="s">
        <v>503</v>
      </c>
      <c r="H10" s="12" t="s">
        <v>519</v>
      </c>
      <c r="I10" s="12" t="s">
        <v>512</v>
      </c>
    </row>
    <row r="11" customFormat="false" ht="15" hidden="false" customHeight="false" outlineLevel="0" collapsed="false">
      <c r="A11" s="12" t="n">
        <v>8</v>
      </c>
      <c r="B11" s="12" t="s">
        <v>498</v>
      </c>
      <c r="C11" s="12" t="s">
        <v>520</v>
      </c>
      <c r="D11" s="40" t="n">
        <v>6865</v>
      </c>
      <c r="E11" s="31" t="s">
        <v>50</v>
      </c>
      <c r="F11" s="12" t="str">
        <f aca="false">IFERROR(INDEX('Расчет Кплотн'!$C:$C,MATCH(E11,'Расчет Кплотн'!$A:$A,0)),"код не найден")</f>
        <v>Семей</v>
      </c>
      <c r="G11" s="12" t="s">
        <v>503</v>
      </c>
      <c r="H11" s="12" t="s">
        <v>521</v>
      </c>
      <c r="I11" s="12" t="s">
        <v>512</v>
      </c>
    </row>
    <row r="12" customFormat="false" ht="15" hidden="false" customHeight="false" outlineLevel="0" collapsed="false">
      <c r="A12" s="12" t="n">
        <v>9</v>
      </c>
      <c r="B12" s="12" t="s">
        <v>498</v>
      </c>
      <c r="C12" s="12" t="s">
        <v>522</v>
      </c>
      <c r="D12" s="40" t="n">
        <v>12762</v>
      </c>
      <c r="E12" s="31" t="s">
        <v>54</v>
      </c>
      <c r="F12" s="12" t="str">
        <f aca="false">IFERROR(INDEX('Расчет Кплотн'!$C:$C,MATCH(E12,'Расчет Кплотн'!$A:$A,0)),"код не найден")</f>
        <v>Аягозский район</v>
      </c>
      <c r="G12" s="12" t="s">
        <v>503</v>
      </c>
      <c r="H12" s="12" t="s">
        <v>523</v>
      </c>
      <c r="I12" s="12" t="s">
        <v>524</v>
      </c>
    </row>
    <row r="13" customFormat="false" ht="15" hidden="false" customHeight="false" outlineLevel="0" collapsed="false">
      <c r="A13" s="12" t="n">
        <v>10</v>
      </c>
      <c r="B13" s="12" t="s">
        <v>498</v>
      </c>
      <c r="C13" s="12" t="s">
        <v>525</v>
      </c>
      <c r="D13" s="40" t="n">
        <v>9299</v>
      </c>
      <c r="E13" s="31" t="s">
        <v>50</v>
      </c>
      <c r="F13" s="12" t="str">
        <f aca="false">IFERROR(INDEX('Расчет Кплотн'!$C:$C,MATCH(E13,'Расчет Кплотн'!$A:$A,0)),"код не найден")</f>
        <v>Семей</v>
      </c>
      <c r="G13" s="12" t="s">
        <v>503</v>
      </c>
      <c r="H13" s="12" t="s">
        <v>526</v>
      </c>
      <c r="I13" s="12" t="s">
        <v>512</v>
      </c>
    </row>
    <row r="14" customFormat="false" ht="15" hidden="false" customHeight="false" outlineLevel="0" collapsed="false">
      <c r="A14" s="12" t="n">
        <v>11</v>
      </c>
      <c r="B14" s="12" t="s">
        <v>498</v>
      </c>
      <c r="C14" s="12" t="s">
        <v>527</v>
      </c>
      <c r="D14" s="40" t="n">
        <v>17291</v>
      </c>
      <c r="E14" s="31" t="s">
        <v>50</v>
      </c>
      <c r="F14" s="12" t="str">
        <f aca="false">IFERROR(INDEX('Расчет Кплотн'!$C:$C,MATCH(E14,'Расчет Кплотн'!$A:$A,0)),"код не найден")</f>
        <v>Семей</v>
      </c>
      <c r="G14" s="12" t="s">
        <v>503</v>
      </c>
      <c r="H14" s="12" t="s">
        <v>528</v>
      </c>
      <c r="I14" s="12" t="s">
        <v>512</v>
      </c>
    </row>
    <row r="15" customFormat="false" ht="15" hidden="false" customHeight="false" outlineLevel="0" collapsed="false">
      <c r="A15" s="12" t="n">
        <v>12</v>
      </c>
      <c r="B15" s="12" t="s">
        <v>498</v>
      </c>
      <c r="C15" s="12" t="s">
        <v>529</v>
      </c>
      <c r="D15" s="40" t="n">
        <v>9013</v>
      </c>
      <c r="E15" s="31" t="s">
        <v>50</v>
      </c>
      <c r="F15" s="12" t="str">
        <f aca="false">IFERROR(INDEX('Расчет Кплотн'!$C:$C,MATCH(E15,'Расчет Кплотн'!$A:$A,0)),"код не найден")</f>
        <v>Семей</v>
      </c>
      <c r="G15" s="12" t="s">
        <v>503</v>
      </c>
      <c r="H15" s="12" t="s">
        <v>530</v>
      </c>
      <c r="I15" s="12" t="s">
        <v>512</v>
      </c>
    </row>
    <row r="16" customFormat="false" ht="15" hidden="false" customHeight="false" outlineLevel="0" collapsed="false">
      <c r="A16" s="12" t="n">
        <v>13</v>
      </c>
      <c r="B16" s="12" t="s">
        <v>498</v>
      </c>
      <c r="C16" s="12" t="s">
        <v>531</v>
      </c>
      <c r="D16" s="40" t="n">
        <v>9948</v>
      </c>
      <c r="E16" s="31" t="s">
        <v>50</v>
      </c>
      <c r="F16" s="12" t="str">
        <f aca="false">IFERROR(INDEX('Расчет Кплотн'!$C:$C,MATCH(E16,'Расчет Кплотн'!$A:$A,0)),"код не найден")</f>
        <v>Семей</v>
      </c>
      <c r="G16" s="12" t="s">
        <v>503</v>
      </c>
      <c r="H16" s="12" t="s">
        <v>532</v>
      </c>
      <c r="I16" s="12" t="s">
        <v>512</v>
      </c>
    </row>
    <row r="17" customFormat="false" ht="15" hidden="false" customHeight="false" outlineLevel="0" collapsed="false">
      <c r="A17" s="12" t="n">
        <v>14</v>
      </c>
      <c r="B17" s="12" t="s">
        <v>498</v>
      </c>
      <c r="C17" s="12" t="s">
        <v>533</v>
      </c>
      <c r="D17" s="40" t="n">
        <v>34454</v>
      </c>
      <c r="E17" s="31" t="s">
        <v>61</v>
      </c>
      <c r="F17" s="12" t="str">
        <f aca="false">IFERROR(INDEX('Расчет Кплотн'!$C:$C,MATCH(E17,'Расчет Кплотн'!$A:$A,0)),"код не найден")</f>
        <v>Урджарский район</v>
      </c>
      <c r="G17" s="12" t="s">
        <v>503</v>
      </c>
      <c r="H17" s="12" t="s">
        <v>534</v>
      </c>
      <c r="I17" s="12" t="s">
        <v>535</v>
      </c>
    </row>
    <row r="18" customFormat="false" ht="15" hidden="false" customHeight="false" outlineLevel="0" collapsed="false">
      <c r="A18" s="12" t="n">
        <v>15</v>
      </c>
      <c r="B18" s="12" t="s">
        <v>498</v>
      </c>
      <c r="C18" s="12" t="s">
        <v>536</v>
      </c>
      <c r="D18" s="40" t="n">
        <v>13938</v>
      </c>
      <c r="E18" s="31" t="s">
        <v>55</v>
      </c>
      <c r="F18" s="12" t="str">
        <f aca="false">IFERROR(INDEX('Расчет Кплотн'!$C:$C,MATCH(E18,'Расчет Кплотн'!$A:$A,0)),"код не найден")</f>
        <v>Бескарагайский район</v>
      </c>
      <c r="G18" s="12" t="s">
        <v>503</v>
      </c>
      <c r="H18" s="12" t="s">
        <v>537</v>
      </c>
      <c r="I18" s="12" t="s">
        <v>538</v>
      </c>
    </row>
    <row r="19" customFormat="false" ht="15" hidden="false" customHeight="false" outlineLevel="0" collapsed="false">
      <c r="A19" s="12" t="n">
        <v>16</v>
      </c>
      <c r="B19" s="12" t="s">
        <v>498</v>
      </c>
      <c r="C19" s="12" t="s">
        <v>539</v>
      </c>
      <c r="D19" s="40" t="n">
        <v>22985</v>
      </c>
      <c r="E19" s="47" t="s">
        <v>60</v>
      </c>
      <c r="F19" s="12" t="str">
        <f aca="false">IFERROR(INDEX('Расчет Кплотн'!$C:$C,MATCH(E19,'Расчет Кплотн'!$A:$A,0)),"код не найден")</f>
        <v>район Мақаншы</v>
      </c>
      <c r="G19" s="12" t="s">
        <v>542</v>
      </c>
      <c r="H19" s="12" t="s">
        <v>540</v>
      </c>
      <c r="I19" s="12" t="s">
        <v>541</v>
      </c>
    </row>
    <row r="20" customFormat="false" ht="15" hidden="false" customHeight="false" outlineLevel="0" collapsed="false">
      <c r="A20" s="12" t="n">
        <v>17</v>
      </c>
      <c r="B20" s="12" t="s">
        <v>498</v>
      </c>
      <c r="C20" s="12" t="s">
        <v>543</v>
      </c>
      <c r="D20" s="40" t="n">
        <v>14180</v>
      </c>
      <c r="E20" s="31" t="s">
        <v>50</v>
      </c>
      <c r="F20" s="12" t="str">
        <f aca="false">IFERROR(INDEX('Расчет Кплотн'!$C:$C,MATCH(E20,'Расчет Кплотн'!$A:$A,0)),"код не найден")</f>
        <v>Семей</v>
      </c>
      <c r="G20" s="12" t="s">
        <v>503</v>
      </c>
      <c r="H20" s="12" t="s">
        <v>544</v>
      </c>
      <c r="I20" s="12" t="s">
        <v>512</v>
      </c>
    </row>
    <row r="21" customFormat="false" ht="15" hidden="false" customHeight="false" outlineLevel="0" collapsed="false">
      <c r="A21" s="12" t="n">
        <v>18</v>
      </c>
      <c r="B21" s="12" t="s">
        <v>498</v>
      </c>
      <c r="C21" s="12" t="s">
        <v>545</v>
      </c>
      <c r="D21" s="40" t="n">
        <v>31215</v>
      </c>
      <c r="E21" s="31" t="s">
        <v>50</v>
      </c>
      <c r="F21" s="12" t="str">
        <f aca="false">IFERROR(INDEX('Расчет Кплотн'!$C:$C,MATCH(E21,'Расчет Кплотн'!$A:$A,0)),"код не найден")</f>
        <v>Семей</v>
      </c>
      <c r="G21" s="12" t="s">
        <v>503</v>
      </c>
      <c r="H21" s="12" t="s">
        <v>546</v>
      </c>
      <c r="I21" s="12" t="s">
        <v>512</v>
      </c>
    </row>
    <row r="22" customFormat="false" ht="15" hidden="false" customHeight="false" outlineLevel="0" collapsed="false">
      <c r="A22" s="12" t="n">
        <v>19</v>
      </c>
      <c r="B22" s="12" t="s">
        <v>498</v>
      </c>
      <c r="C22" s="12" t="s">
        <v>547</v>
      </c>
      <c r="D22" s="40" t="n">
        <v>48213</v>
      </c>
      <c r="E22" s="31" t="s">
        <v>54</v>
      </c>
      <c r="F22" s="12" t="str">
        <f aca="false">IFERROR(INDEX('Расчет Кплотн'!$C:$C,MATCH(E22,'Расчет Кплотн'!$A:$A,0)),"код не найден")</f>
        <v>Аягозский район</v>
      </c>
      <c r="G22" s="12" t="s">
        <v>503</v>
      </c>
      <c r="H22" s="12" t="s">
        <v>548</v>
      </c>
      <c r="I22" s="12" t="s">
        <v>524</v>
      </c>
    </row>
    <row r="23" customFormat="false" ht="15" hidden="false" customHeight="false" outlineLevel="0" collapsed="false">
      <c r="A23" s="12" t="n">
        <v>20</v>
      </c>
      <c r="B23" s="12" t="s">
        <v>498</v>
      </c>
      <c r="C23" s="12" t="s">
        <v>549</v>
      </c>
      <c r="D23" s="40" t="n">
        <v>13785</v>
      </c>
      <c r="E23" s="31" t="s">
        <v>50</v>
      </c>
      <c r="F23" s="12" t="str">
        <f aca="false">IFERROR(INDEX('Расчет Кплотн'!$C:$C,MATCH(E23,'Расчет Кплотн'!$A:$A,0)),"код не найден")</f>
        <v>Семей</v>
      </c>
      <c r="G23" s="12" t="s">
        <v>503</v>
      </c>
      <c r="H23" s="12" t="s">
        <v>550</v>
      </c>
      <c r="I23" s="12" t="s">
        <v>512</v>
      </c>
    </row>
    <row r="24" customFormat="false" ht="15" hidden="false" customHeight="false" outlineLevel="0" collapsed="false">
      <c r="A24" s="12" t="n">
        <v>21</v>
      </c>
      <c r="B24" s="12" t="s">
        <v>498</v>
      </c>
      <c r="C24" s="12" t="s">
        <v>551</v>
      </c>
      <c r="D24" s="40" t="n">
        <v>4546</v>
      </c>
      <c r="E24" s="31" t="s">
        <v>57</v>
      </c>
      <c r="F24" s="12" t="str">
        <f aca="false">IFERROR(INDEX('Расчет Кплотн'!$C:$C,MATCH(E24,'Расчет Кплотн'!$A:$A,0)),"код не найден")</f>
        <v>район Жаңасемей</v>
      </c>
      <c r="G24" s="12" t="s">
        <v>553</v>
      </c>
      <c r="H24" s="12" t="s">
        <v>552</v>
      </c>
      <c r="I24" s="12"/>
    </row>
    <row r="25" customFormat="false" ht="15" hidden="false" customHeight="false" outlineLevel="0" collapsed="false">
      <c r="A25" s="12" t="n">
        <v>22</v>
      </c>
      <c r="B25" s="12" t="s">
        <v>498</v>
      </c>
      <c r="C25" s="12" t="s">
        <v>554</v>
      </c>
      <c r="D25" s="40" t="n">
        <v>28085</v>
      </c>
      <c r="E25" s="31" t="s">
        <v>56</v>
      </c>
      <c r="F25" s="12" t="str">
        <f aca="false">IFERROR(INDEX('Расчет Кплотн'!$C:$C,MATCH(E25,'Расчет Кплотн'!$A:$A,0)),"код не найден")</f>
        <v>Бородулихинский район</v>
      </c>
      <c r="G25" s="12" t="s">
        <v>503</v>
      </c>
      <c r="H25" s="12" t="s">
        <v>555</v>
      </c>
      <c r="I25" s="12" t="s">
        <v>556</v>
      </c>
    </row>
    <row r="26" customFormat="false" ht="15" hidden="false" customHeight="false" outlineLevel="0" collapsed="false">
      <c r="A26" s="12" t="n">
        <v>23</v>
      </c>
      <c r="B26" s="12" t="s">
        <v>498</v>
      </c>
      <c r="C26" s="12" t="s">
        <v>557</v>
      </c>
      <c r="D26" s="40" t="n">
        <v>17366</v>
      </c>
      <c r="E26" s="31" t="s">
        <v>58</v>
      </c>
      <c r="F26" s="12" t="str">
        <f aca="false">IFERROR(INDEX('Расчет Кплотн'!$C:$C,MATCH(E26,'Расчет Кплотн'!$A:$A,0)),"код не найден")</f>
        <v>Жарминский район</v>
      </c>
      <c r="G26" s="12" t="s">
        <v>503</v>
      </c>
      <c r="H26" s="12" t="s">
        <v>558</v>
      </c>
      <c r="I26" s="12" t="s">
        <v>506</v>
      </c>
    </row>
    <row r="27" customFormat="false" ht="15" hidden="false" customHeight="false" outlineLevel="0" collapsed="false">
      <c r="A27" s="12" t="n">
        <v>24</v>
      </c>
      <c r="B27" s="12" t="s">
        <v>498</v>
      </c>
      <c r="C27" s="12" t="s">
        <v>559</v>
      </c>
      <c r="D27" s="40" t="n">
        <v>11539</v>
      </c>
      <c r="E27" s="31" t="s">
        <v>59</v>
      </c>
      <c r="F27" s="12" t="str">
        <f aca="false">IFERROR(INDEX('Расчет Кплотн'!$C:$C,MATCH(E27,'Расчет Кплотн'!$A:$A,0)),"код не найден")</f>
        <v>Кокпектинский район</v>
      </c>
      <c r="G27" s="12" t="s">
        <v>503</v>
      </c>
      <c r="H27" s="12" t="s">
        <v>560</v>
      </c>
      <c r="I27" s="12" t="s">
        <v>561</v>
      </c>
    </row>
    <row r="28" customFormat="false" ht="15" hidden="false" customHeight="false" outlineLevel="0" collapsed="false">
      <c r="A28" s="12" t="n">
        <v>25</v>
      </c>
      <c r="B28" s="12" t="s">
        <v>498</v>
      </c>
      <c r="C28" s="12" t="s">
        <v>562</v>
      </c>
      <c r="D28" s="40" t="n">
        <v>37620</v>
      </c>
      <c r="E28" s="31" t="s">
        <v>50</v>
      </c>
      <c r="F28" s="12" t="str">
        <f aca="false">IFERROR(INDEX('Расчет Кплотн'!$C:$C,MATCH(E28,'Расчет Кплотн'!$A:$A,0)),"код не найден")</f>
        <v>Семей</v>
      </c>
      <c r="G28" s="12" t="s">
        <v>503</v>
      </c>
      <c r="H28" s="12" t="s">
        <v>563</v>
      </c>
      <c r="I28" s="12" t="s">
        <v>512</v>
      </c>
    </row>
    <row r="29" customFormat="false" ht="15" hidden="false" customHeight="false" outlineLevel="0" collapsed="false">
      <c r="A29" s="12" t="n">
        <v>26</v>
      </c>
      <c r="B29" s="12" t="s">
        <v>498</v>
      </c>
      <c r="C29" s="12" t="s">
        <v>564</v>
      </c>
      <c r="D29" s="40" t="n">
        <v>10794</v>
      </c>
      <c r="E29" s="31" t="s">
        <v>52</v>
      </c>
      <c r="F29" s="12" t="str">
        <f aca="false">IFERROR(INDEX('Расчет Кплотн'!$C:$C,MATCH(E29,'Расчет Кплотн'!$A:$A,0)),"код не найден")</f>
        <v>Абайский район</v>
      </c>
      <c r="G29" s="12" t="s">
        <v>503</v>
      </c>
      <c r="H29" s="12" t="s">
        <v>565</v>
      </c>
      <c r="I29" s="12" t="s">
        <v>566</v>
      </c>
    </row>
    <row r="30" customFormat="false" ht="15" hidden="false" customHeight="false" outlineLevel="0" collapsed="false">
      <c r="A30" s="12" t="n">
        <v>27</v>
      </c>
      <c r="B30" s="12" t="s">
        <v>498</v>
      </c>
      <c r="C30" s="12" t="s">
        <v>567</v>
      </c>
      <c r="D30" s="40" t="n">
        <v>33122</v>
      </c>
      <c r="E30" s="31" t="s">
        <v>50</v>
      </c>
      <c r="F30" s="12" t="str">
        <f aca="false">IFERROR(INDEX('Расчет Кплотн'!$C:$C,MATCH(E30,'Расчет Кплотн'!$A:$A,0)),"код не найден")</f>
        <v>Семей</v>
      </c>
      <c r="G30" s="12" t="s">
        <v>503</v>
      </c>
      <c r="H30" s="12" t="s">
        <v>568</v>
      </c>
      <c r="I30" s="12" t="s">
        <v>512</v>
      </c>
    </row>
    <row r="31" customFormat="false" ht="15" hidden="false" customHeight="false" outlineLevel="0" collapsed="false">
      <c r="A31" s="12" t="n">
        <v>28</v>
      </c>
      <c r="B31" s="12" t="s">
        <v>498</v>
      </c>
      <c r="C31" s="12" t="s">
        <v>569</v>
      </c>
      <c r="D31" s="40" t="n">
        <v>34725</v>
      </c>
      <c r="E31" s="31" t="s">
        <v>50</v>
      </c>
      <c r="F31" s="12" t="str">
        <f aca="false">IFERROR(INDEX('Расчет Кплотн'!$C:$C,MATCH(E31,'Расчет Кплотн'!$A:$A,0)),"код не найден")</f>
        <v>Семей</v>
      </c>
      <c r="G31" s="12" t="s">
        <v>503</v>
      </c>
      <c r="H31" s="12" t="s">
        <v>570</v>
      </c>
      <c r="I31" s="12" t="s">
        <v>512</v>
      </c>
    </row>
    <row r="32" customFormat="false" ht="15" hidden="false" customHeight="false" outlineLevel="0" collapsed="false">
      <c r="A32" s="12" t="n">
        <v>29</v>
      </c>
      <c r="B32" s="12" t="s">
        <v>498</v>
      </c>
      <c r="C32" s="12" t="s">
        <v>571</v>
      </c>
      <c r="D32" s="40" t="n">
        <v>15528</v>
      </c>
      <c r="E32" s="31" t="s">
        <v>50</v>
      </c>
      <c r="F32" s="12" t="str">
        <f aca="false">IFERROR(INDEX('Расчет Кплотн'!$C:$C,MATCH(E32,'Расчет Кплотн'!$A:$A,0)),"код не найден")</f>
        <v>Семей</v>
      </c>
      <c r="G32" s="12" t="s">
        <v>503</v>
      </c>
      <c r="H32" s="12" t="s">
        <v>572</v>
      </c>
      <c r="I32" s="12" t="s">
        <v>512</v>
      </c>
    </row>
    <row r="33" customFormat="false" ht="15" hidden="false" customHeight="false" outlineLevel="0" collapsed="false">
      <c r="A33" s="12" t="n">
        <v>30</v>
      </c>
      <c r="B33" s="12" t="s">
        <v>498</v>
      </c>
      <c r="C33" s="12" t="s">
        <v>573</v>
      </c>
      <c r="D33" s="40" t="n">
        <v>11408</v>
      </c>
      <c r="E33" s="31" t="s">
        <v>58</v>
      </c>
      <c r="F33" s="12" t="str">
        <f aca="false">IFERROR(INDEX('Расчет Кплотн'!$C:$C,MATCH(E33,'Расчет Кплотн'!$A:$A,0)),"код не найден")</f>
        <v>Жарминский район</v>
      </c>
      <c r="G33" s="12" t="s">
        <v>503</v>
      </c>
      <c r="H33" s="12" t="s">
        <v>574</v>
      </c>
      <c r="I33" s="12" t="s">
        <v>575</v>
      </c>
    </row>
    <row r="34" customFormat="false" ht="15" hidden="false" customHeight="false" outlineLevel="0" collapsed="false">
      <c r="A34" s="12" t="n">
        <v>31</v>
      </c>
      <c r="B34" s="12" t="s">
        <v>498</v>
      </c>
      <c r="C34" s="12" t="s">
        <v>576</v>
      </c>
      <c r="D34" s="40" t="n">
        <v>9897</v>
      </c>
      <c r="E34" s="31" t="s">
        <v>51</v>
      </c>
      <c r="F34" s="12" t="str">
        <f aca="false">IFERROR(INDEX('Расчет Кплотн'!$C:$C,MATCH(E34,'Расчет Кплотн'!$A:$A,0)),"код не найден")</f>
        <v>Курчатов</v>
      </c>
      <c r="G34" s="12" t="s">
        <v>503</v>
      </c>
      <c r="H34" s="12" t="s">
        <v>577</v>
      </c>
      <c r="I34" s="12" t="s">
        <v>578</v>
      </c>
    </row>
    <row r="35" customFormat="false" ht="15" hidden="false" customHeight="false" outlineLevel="0" collapsed="false">
      <c r="A35" s="12" t="n">
        <v>32</v>
      </c>
      <c r="B35" s="12" t="s">
        <v>498</v>
      </c>
      <c r="C35" s="12" t="s">
        <v>579</v>
      </c>
      <c r="D35" s="40" t="n">
        <v>25254</v>
      </c>
      <c r="E35" s="31" t="s">
        <v>50</v>
      </c>
      <c r="F35" s="12" t="str">
        <f aca="false">IFERROR(INDEX('Расчет Кплотн'!$C:$C,MATCH(E35,'Расчет Кплотн'!$A:$A,0)),"код не найден")</f>
        <v>Семей</v>
      </c>
      <c r="G35" s="12" t="s">
        <v>503</v>
      </c>
      <c r="H35" s="12" t="s">
        <v>580</v>
      </c>
      <c r="I35" s="12" t="s">
        <v>512</v>
      </c>
    </row>
    <row r="36" customFormat="false" ht="15" hidden="false" customHeight="false" outlineLevel="0" collapsed="false">
      <c r="A36" s="12" t="n">
        <v>33</v>
      </c>
      <c r="B36" s="12" t="s">
        <v>581</v>
      </c>
      <c r="C36" s="12" t="s">
        <v>585</v>
      </c>
      <c r="D36" s="40" t="n">
        <v>5043</v>
      </c>
      <c r="E36" s="31" t="s">
        <v>64</v>
      </c>
      <c r="F36" s="12" t="str">
        <f aca="false">IFERROR(INDEX('Расчет Кплотн'!$C:$C,MATCH(E36,'Расчет Кплотн'!$A:$A,0)),"код не найден")</f>
        <v>Степногорск</v>
      </c>
      <c r="G36" s="12" t="s">
        <v>503</v>
      </c>
      <c r="H36" s="12" t="s">
        <v>586</v>
      </c>
      <c r="I36" s="12" t="s">
        <v>587</v>
      </c>
    </row>
    <row r="37" customFormat="false" ht="15" hidden="false" customHeight="false" outlineLevel="0" collapsed="false">
      <c r="A37" s="12" t="n">
        <v>34</v>
      </c>
      <c r="B37" s="12" t="s">
        <v>581</v>
      </c>
      <c r="C37" s="12" t="s">
        <v>588</v>
      </c>
      <c r="D37" s="40" t="n">
        <v>25201</v>
      </c>
      <c r="E37" s="31" t="s">
        <v>66</v>
      </c>
      <c r="F37" s="12" t="str">
        <f aca="false">IFERROR(INDEX('Расчет Кплотн'!$C:$C,MATCH(E37,'Расчет Кплотн'!$A:$A,0)),"код не найден")</f>
        <v>Аршалынский район</v>
      </c>
      <c r="G37" s="12" t="s">
        <v>503</v>
      </c>
      <c r="H37" s="12" t="s">
        <v>589</v>
      </c>
      <c r="I37" s="12" t="s">
        <v>590</v>
      </c>
    </row>
    <row r="38" customFormat="false" ht="15" hidden="false" customHeight="false" outlineLevel="0" collapsed="false">
      <c r="A38" s="12" t="n">
        <v>35</v>
      </c>
      <c r="B38" s="12" t="s">
        <v>581</v>
      </c>
      <c r="C38" s="12" t="s">
        <v>591</v>
      </c>
      <c r="D38" s="40" t="n">
        <v>10526</v>
      </c>
      <c r="E38" s="31" t="s">
        <v>71</v>
      </c>
      <c r="F38" s="12" t="str">
        <f aca="false">IFERROR(INDEX('Расчет Кплотн'!$C:$C,MATCH(E38,'Расчет Кплотн'!$A:$A,0)),"код не найден")</f>
        <v>район Биржан сал</v>
      </c>
      <c r="G38" s="12" t="s">
        <v>503</v>
      </c>
      <c r="H38" s="12" t="s">
        <v>592</v>
      </c>
      <c r="I38" s="12" t="s">
        <v>593</v>
      </c>
    </row>
    <row r="39" customFormat="false" ht="15" hidden="false" customHeight="false" outlineLevel="0" collapsed="false">
      <c r="A39" s="12" t="n">
        <v>36</v>
      </c>
      <c r="B39" s="12" t="s">
        <v>581</v>
      </c>
      <c r="C39" s="12" t="s">
        <v>594</v>
      </c>
      <c r="D39" s="40" t="n">
        <v>15599</v>
      </c>
      <c r="E39" s="31" t="s">
        <v>62</v>
      </c>
      <c r="F39" s="12" t="str">
        <f aca="false">IFERROR(INDEX('Расчет Кплотн'!$C:$C,MATCH(E39,'Расчет Кплотн'!$A:$A,0)),"код не найден")</f>
        <v>Кокшетау</v>
      </c>
      <c r="G39" s="12" t="s">
        <v>503</v>
      </c>
      <c r="H39" s="12" t="s">
        <v>595</v>
      </c>
      <c r="I39" s="12" t="s">
        <v>596</v>
      </c>
    </row>
    <row r="40" customFormat="false" ht="15" hidden="false" customHeight="false" outlineLevel="0" collapsed="false">
      <c r="A40" s="12" t="n">
        <v>37</v>
      </c>
      <c r="B40" s="12" t="s">
        <v>581</v>
      </c>
      <c r="C40" s="12" t="s">
        <v>2414</v>
      </c>
      <c r="D40" s="40" t="n">
        <v>22825</v>
      </c>
      <c r="E40" s="47" t="s">
        <v>63</v>
      </c>
      <c r="F40" s="12" t="str">
        <f aca="false">IFERROR(INDEX('Расчет Кплотн'!$C:$C,MATCH(E40,'Расчет Кплотн'!$A:$A,0)),"код не найден")</f>
        <v>Косшы</v>
      </c>
      <c r="G40" s="12" t="s">
        <v>2415</v>
      </c>
      <c r="H40" s="12" t="s">
        <v>2416</v>
      </c>
      <c r="I40" s="12" t="s">
        <v>1011</v>
      </c>
    </row>
    <row r="41" customFormat="false" ht="15" hidden="false" customHeight="false" outlineLevel="0" collapsed="false">
      <c r="A41" s="12" t="n">
        <v>38</v>
      </c>
      <c r="B41" s="12" t="s">
        <v>581</v>
      </c>
      <c r="C41" s="12" t="s">
        <v>597</v>
      </c>
      <c r="D41" s="40" t="n">
        <v>13432</v>
      </c>
      <c r="E41" s="31" t="s">
        <v>79</v>
      </c>
      <c r="F41" s="12" t="str">
        <f aca="false">IFERROR(INDEX('Расчет Кплотн'!$C:$C,MATCH(E41,'Расчет Кплотн'!$A:$A,0)),"код не найден")</f>
        <v>Целиноградский район</v>
      </c>
      <c r="G41" s="12" t="s">
        <v>503</v>
      </c>
      <c r="H41" s="12"/>
      <c r="I41" s="12" t="s">
        <v>598</v>
      </c>
    </row>
    <row r="42" customFormat="false" ht="15" hidden="false" customHeight="false" outlineLevel="0" collapsed="false">
      <c r="A42" s="12" t="n">
        <v>39</v>
      </c>
      <c r="B42" s="12" t="s">
        <v>581</v>
      </c>
      <c r="C42" s="12" t="s">
        <v>599</v>
      </c>
      <c r="D42" s="40" t="n">
        <v>23428</v>
      </c>
      <c r="E42" s="31" t="s">
        <v>62</v>
      </c>
      <c r="F42" s="12" t="str">
        <f aca="false">IFERROR(INDEX('Расчет Кплотн'!$C:$C,MATCH(E42,'Расчет Кплотн'!$A:$A,0)),"код не найден")</f>
        <v>Кокшетау</v>
      </c>
      <c r="G42" s="12" t="s">
        <v>503</v>
      </c>
      <c r="H42" s="12"/>
      <c r="I42" s="12" t="s">
        <v>600</v>
      </c>
    </row>
    <row r="43" customFormat="false" ht="15" hidden="false" customHeight="false" outlineLevel="0" collapsed="false">
      <c r="A43" s="12" t="n">
        <v>40</v>
      </c>
      <c r="B43" s="12" t="s">
        <v>581</v>
      </c>
      <c r="C43" s="12" t="s">
        <v>601</v>
      </c>
      <c r="D43" s="40" t="n">
        <v>13841</v>
      </c>
      <c r="E43" s="31" t="s">
        <v>62</v>
      </c>
      <c r="F43" s="12" t="str">
        <f aca="false">IFERROR(INDEX('Расчет Кплотн'!$C:$C,MATCH(E43,'Расчет Кплотн'!$A:$A,0)),"код не найден")</f>
        <v>Кокшетау</v>
      </c>
      <c r="G43" s="12" t="s">
        <v>503</v>
      </c>
      <c r="H43" s="12" t="s">
        <v>602</v>
      </c>
      <c r="I43" s="12" t="s">
        <v>600</v>
      </c>
    </row>
    <row r="44" customFormat="false" ht="15" hidden="false" customHeight="false" outlineLevel="0" collapsed="false">
      <c r="A44" s="12" t="n">
        <v>41</v>
      </c>
      <c r="B44" s="12" t="s">
        <v>581</v>
      </c>
      <c r="C44" s="12" t="s">
        <v>603</v>
      </c>
      <c r="D44" s="40" t="n">
        <v>2271</v>
      </c>
      <c r="E44" s="31" t="s">
        <v>79</v>
      </c>
      <c r="F44" s="12" t="str">
        <f aca="false">IFERROR(INDEX('Расчет Кплотн'!$C:$C,MATCH(E44,'Расчет Кплотн'!$A:$A,0)),"код не найден")</f>
        <v>Целиноградский район</v>
      </c>
      <c r="G44" s="12" t="s">
        <v>503</v>
      </c>
      <c r="H44" s="12"/>
      <c r="I44" s="12" t="s">
        <v>604</v>
      </c>
    </row>
    <row r="45" customFormat="false" ht="15" hidden="false" customHeight="false" outlineLevel="0" collapsed="false">
      <c r="A45" s="12" t="n">
        <v>42</v>
      </c>
      <c r="B45" s="12" t="s">
        <v>581</v>
      </c>
      <c r="C45" s="12" t="s">
        <v>605</v>
      </c>
      <c r="D45" s="40" t="n">
        <v>152550</v>
      </c>
      <c r="E45" s="31" t="s">
        <v>62</v>
      </c>
      <c r="F45" s="12" t="str">
        <f aca="false">IFERROR(INDEX('Расчет Кплотн'!$C:$C,MATCH(E45,'Расчет Кплотн'!$A:$A,0)),"код не найден")</f>
        <v>Кокшетау</v>
      </c>
      <c r="G45" s="12" t="s">
        <v>503</v>
      </c>
      <c r="H45" s="12" t="s">
        <v>606</v>
      </c>
      <c r="I45" s="12" t="s">
        <v>600</v>
      </c>
    </row>
    <row r="46" customFormat="false" ht="15" hidden="false" customHeight="false" outlineLevel="0" collapsed="false">
      <c r="A46" s="12" t="n">
        <v>43</v>
      </c>
      <c r="B46" s="12" t="s">
        <v>581</v>
      </c>
      <c r="C46" s="12" t="s">
        <v>582</v>
      </c>
      <c r="D46" s="40" t="n">
        <v>4887</v>
      </c>
      <c r="E46" s="31" t="s">
        <v>70</v>
      </c>
      <c r="F46" s="12" t="str">
        <f aca="false">IFERROR(INDEX('Расчет Кплотн'!$C:$C,MATCH(E46,'Расчет Кплотн'!$A:$A,0)),"код не найден")</f>
        <v>Егиндыкольский район</v>
      </c>
      <c r="G46" s="12" t="s">
        <v>503</v>
      </c>
      <c r="H46" s="12" t="s">
        <v>583</v>
      </c>
      <c r="I46" s="12" t="s">
        <v>584</v>
      </c>
    </row>
    <row r="47" customFormat="false" ht="15" hidden="false" customHeight="false" outlineLevel="0" collapsed="false">
      <c r="A47" s="12" t="n">
        <v>44</v>
      </c>
      <c r="B47" s="12" t="s">
        <v>581</v>
      </c>
      <c r="C47" s="12" t="s">
        <v>610</v>
      </c>
      <c r="D47" s="40" t="n">
        <v>28258</v>
      </c>
      <c r="E47" s="47" t="s">
        <v>63</v>
      </c>
      <c r="F47" s="12" t="str">
        <f aca="false">IFERROR(INDEX('Расчет Кплотн'!$C:$C,MATCH(E47,'Расчет Кплотн'!$A:$A,0)),"код не найден")</f>
        <v>Косшы</v>
      </c>
      <c r="G47" s="12" t="s">
        <v>612</v>
      </c>
      <c r="H47" s="12"/>
      <c r="I47" s="12" t="s">
        <v>611</v>
      </c>
    </row>
    <row r="48" customFormat="false" ht="15" hidden="false" customHeight="false" outlineLevel="0" collapsed="false">
      <c r="A48" s="12" t="n">
        <v>45</v>
      </c>
      <c r="B48" s="12" t="s">
        <v>581</v>
      </c>
      <c r="C48" s="12" t="s">
        <v>607</v>
      </c>
      <c r="D48" s="40" t="n">
        <v>6862</v>
      </c>
      <c r="E48" s="31" t="s">
        <v>77</v>
      </c>
      <c r="F48" s="12" t="str">
        <f aca="false">IFERROR(INDEX('Расчет Кплотн'!$C:$C,MATCH(E48,'Расчет Кплотн'!$A:$A,0)),"код не найден")</f>
        <v>Коргалжынский район</v>
      </c>
      <c r="G48" s="12" t="s">
        <v>503</v>
      </c>
      <c r="H48" s="12" t="s">
        <v>608</v>
      </c>
      <c r="I48" s="12" t="s">
        <v>609</v>
      </c>
    </row>
    <row r="49" customFormat="false" ht="15" hidden="false" customHeight="false" outlineLevel="0" collapsed="false">
      <c r="A49" s="12" t="n">
        <v>46</v>
      </c>
      <c r="B49" s="12" t="s">
        <v>581</v>
      </c>
      <c r="C49" s="12" t="s">
        <v>616</v>
      </c>
      <c r="D49" s="40" t="n">
        <v>19774</v>
      </c>
      <c r="E49" s="31" t="s">
        <v>73</v>
      </c>
      <c r="F49" s="12" t="str">
        <f aca="false">IFERROR(INDEX('Расчет Кплотн'!$C:$C,MATCH(E49,'Расчет Кплотн'!$A:$A,0)),"код не найден")</f>
        <v>Есильский район</v>
      </c>
      <c r="G49" s="12" t="s">
        <v>503</v>
      </c>
      <c r="H49" s="12" t="s">
        <v>617</v>
      </c>
      <c r="I49" s="12" t="s">
        <v>618</v>
      </c>
    </row>
    <row r="50" customFormat="false" ht="15" hidden="false" customHeight="false" outlineLevel="0" collapsed="false">
      <c r="A50" s="12" t="n">
        <v>47</v>
      </c>
      <c r="B50" s="12" t="s">
        <v>581</v>
      </c>
      <c r="C50" s="12" t="s">
        <v>622</v>
      </c>
      <c r="D50" s="40" t="n">
        <v>26115</v>
      </c>
      <c r="E50" s="31" t="s">
        <v>80</v>
      </c>
      <c r="F50" s="12" t="str">
        <f aca="false">IFERROR(INDEX('Расчет Кплотн'!$C:$C,MATCH(E50,'Расчет Кплотн'!$A:$A,0)),"код не найден")</f>
        <v>Шортандинский район</v>
      </c>
      <c r="G50" s="12" t="s">
        <v>503</v>
      </c>
      <c r="H50" s="12" t="s">
        <v>623</v>
      </c>
      <c r="I50" s="12" t="s">
        <v>624</v>
      </c>
    </row>
    <row r="51" customFormat="false" ht="15" hidden="false" customHeight="false" outlineLevel="0" collapsed="false">
      <c r="A51" s="12" t="n">
        <v>48</v>
      </c>
      <c r="B51" s="12" t="s">
        <v>581</v>
      </c>
      <c r="C51" s="12" t="s">
        <v>613</v>
      </c>
      <c r="D51" s="40" t="n">
        <v>21673</v>
      </c>
      <c r="E51" s="31" t="s">
        <v>72</v>
      </c>
      <c r="F51" s="12" t="str">
        <f aca="false">IFERROR(INDEX('Расчет Кплотн'!$C:$C,MATCH(E51,'Расчет Кплотн'!$A:$A,0)),"код не найден")</f>
        <v>Ерейментауский район</v>
      </c>
      <c r="G51" s="12" t="s">
        <v>503</v>
      </c>
      <c r="H51" s="12" t="s">
        <v>614</v>
      </c>
      <c r="I51" s="12" t="s">
        <v>615</v>
      </c>
    </row>
    <row r="52" customFormat="false" ht="15" hidden="false" customHeight="false" outlineLevel="0" collapsed="false">
      <c r="A52" s="12" t="n">
        <v>49</v>
      </c>
      <c r="B52" s="12" t="s">
        <v>581</v>
      </c>
      <c r="C52" s="12" t="s">
        <v>625</v>
      </c>
      <c r="D52" s="40" t="n">
        <v>22231</v>
      </c>
      <c r="E52" s="31" t="s">
        <v>65</v>
      </c>
      <c r="F52" s="12" t="str">
        <f aca="false">IFERROR(INDEX('Расчет Кплотн'!$C:$C,MATCH(E52,'Расчет Кплотн'!$A:$A,0)),"код не найден")</f>
        <v>Аккольский район</v>
      </c>
      <c r="G52" s="12" t="s">
        <v>503</v>
      </c>
      <c r="H52" s="12" t="s">
        <v>626</v>
      </c>
      <c r="I52" s="12" t="s">
        <v>627</v>
      </c>
    </row>
    <row r="53" customFormat="false" ht="15" hidden="false" customHeight="false" outlineLevel="0" collapsed="false">
      <c r="A53" s="12" t="n">
        <v>50</v>
      </c>
      <c r="B53" s="12" t="s">
        <v>581</v>
      </c>
      <c r="C53" s="12" t="s">
        <v>628</v>
      </c>
      <c r="D53" s="40" t="n">
        <v>18163</v>
      </c>
      <c r="E53" s="31" t="s">
        <v>67</v>
      </c>
      <c r="F53" s="12" t="str">
        <f aca="false">IFERROR(INDEX('Расчет Кплотн'!$C:$C,MATCH(E53,'Расчет Кплотн'!$A:$A,0)),"код не найден")</f>
        <v>Астраханский район</v>
      </c>
      <c r="G53" s="12" t="s">
        <v>503</v>
      </c>
      <c r="H53" s="12" t="s">
        <v>629</v>
      </c>
      <c r="I53" s="12" t="s">
        <v>630</v>
      </c>
    </row>
    <row r="54" customFormat="false" ht="15" hidden="false" customHeight="false" outlineLevel="0" collapsed="false">
      <c r="A54" s="12" t="n">
        <v>51</v>
      </c>
      <c r="B54" s="12" t="s">
        <v>581</v>
      </c>
      <c r="C54" s="12" t="s">
        <v>631</v>
      </c>
      <c r="D54" s="40" t="n">
        <v>27274</v>
      </c>
      <c r="E54" s="31" t="s">
        <v>69</v>
      </c>
      <c r="F54" s="12" t="str">
        <f aca="false">IFERROR(INDEX('Расчет Кплотн'!$C:$C,MATCH(E54,'Расчет Кплотн'!$A:$A,0)),"код не найден")</f>
        <v>Буландынский район</v>
      </c>
      <c r="G54" s="12" t="s">
        <v>503</v>
      </c>
      <c r="H54" s="12" t="s">
        <v>632</v>
      </c>
      <c r="I54" s="12" t="s">
        <v>633</v>
      </c>
    </row>
    <row r="55" customFormat="false" ht="15" hidden="false" customHeight="false" outlineLevel="0" collapsed="false">
      <c r="A55" s="12" t="n">
        <v>52</v>
      </c>
      <c r="B55" s="12" t="s">
        <v>581</v>
      </c>
      <c r="C55" s="12" t="s">
        <v>634</v>
      </c>
      <c r="D55" s="40" t="n">
        <v>68779</v>
      </c>
      <c r="E55" s="31" t="s">
        <v>81</v>
      </c>
      <c r="F55" s="12" t="str">
        <f aca="false">IFERROR(INDEX('Расчет Кплотн'!$C:$C,MATCH(E55,'Расчет Кплотн'!$A:$A,0)),"код не найден")</f>
        <v>Бурабайский район</v>
      </c>
      <c r="G55" s="12" t="s">
        <v>503</v>
      </c>
      <c r="H55" s="12" t="s">
        <v>635</v>
      </c>
      <c r="I55" s="12" t="s">
        <v>636</v>
      </c>
    </row>
    <row r="56" customFormat="false" ht="15" hidden="false" customHeight="false" outlineLevel="0" collapsed="false">
      <c r="A56" s="12" t="n">
        <v>53</v>
      </c>
      <c r="B56" s="12" t="s">
        <v>581</v>
      </c>
      <c r="C56" s="12" t="s">
        <v>652</v>
      </c>
      <c r="D56" s="40" t="n">
        <v>86719</v>
      </c>
      <c r="E56" s="31" t="s">
        <v>62</v>
      </c>
      <c r="F56" s="12" t="str">
        <f aca="false">IFERROR(INDEX('Расчет Кплотн'!$C:$C,MATCH(E56,'Расчет Кплотн'!$A:$A,0)),"код не найден")</f>
        <v>Кокшетау</v>
      </c>
      <c r="G56" s="12" t="s">
        <v>503</v>
      </c>
      <c r="H56" s="12" t="s">
        <v>653</v>
      </c>
      <c r="I56" s="12" t="s">
        <v>600</v>
      </c>
    </row>
    <row r="57" customFormat="false" ht="15" hidden="false" customHeight="false" outlineLevel="0" collapsed="false">
      <c r="A57" s="12" t="n">
        <v>54</v>
      </c>
      <c r="B57" s="12" t="s">
        <v>581</v>
      </c>
      <c r="C57" s="12" t="s">
        <v>637</v>
      </c>
      <c r="D57" s="40" t="n">
        <v>42746</v>
      </c>
      <c r="E57" s="31" t="s">
        <v>68</v>
      </c>
      <c r="F57" s="12" t="str">
        <f aca="false">IFERROR(INDEX('Расчет Кплотн'!$C:$C,MATCH(E57,'Расчет Кплотн'!$A:$A,0)),"код не найден")</f>
        <v>Атбасарский район</v>
      </c>
      <c r="G57" s="12" t="s">
        <v>503</v>
      </c>
      <c r="H57" s="12" t="s">
        <v>638</v>
      </c>
      <c r="I57" s="12" t="s">
        <v>639</v>
      </c>
    </row>
    <row r="58" customFormat="false" ht="15" hidden="false" customHeight="false" outlineLevel="0" collapsed="false">
      <c r="A58" s="12" t="n">
        <v>55</v>
      </c>
      <c r="B58" s="12" t="s">
        <v>581</v>
      </c>
      <c r="C58" s="12" t="s">
        <v>640</v>
      </c>
      <c r="D58" s="40" t="n">
        <v>14211</v>
      </c>
      <c r="E58" s="31" t="s">
        <v>74</v>
      </c>
      <c r="F58" s="12" t="str">
        <f aca="false">IFERROR(INDEX('Расчет Кплотн'!$C:$C,MATCH(E58,'Расчет Кплотн'!$A:$A,0)),"код не найден")</f>
        <v>Жаксынский район</v>
      </c>
      <c r="G58" s="12" t="s">
        <v>503</v>
      </c>
      <c r="H58" s="12" t="s">
        <v>641</v>
      </c>
      <c r="I58" s="12" t="s">
        <v>642</v>
      </c>
    </row>
    <row r="59" customFormat="false" ht="15" hidden="false" customHeight="false" outlineLevel="0" collapsed="false">
      <c r="A59" s="12" t="n">
        <v>56</v>
      </c>
      <c r="B59" s="12" t="s">
        <v>581</v>
      </c>
      <c r="C59" s="12" t="s">
        <v>643</v>
      </c>
      <c r="D59" s="40" t="n">
        <v>11762</v>
      </c>
      <c r="E59" s="31" t="s">
        <v>75</v>
      </c>
      <c r="F59" s="12" t="str">
        <f aca="false">IFERROR(INDEX('Расчет Кплотн'!$C:$C,MATCH(E59,'Расчет Кплотн'!$A:$A,0)),"код не найден")</f>
        <v>Жаркаинский район</v>
      </c>
      <c r="G59" s="12" t="s">
        <v>503</v>
      </c>
      <c r="H59" s="12" t="s">
        <v>644</v>
      </c>
      <c r="I59" s="12" t="s">
        <v>645</v>
      </c>
    </row>
    <row r="60" customFormat="false" ht="15" hidden="false" customHeight="false" outlineLevel="0" collapsed="false">
      <c r="A60" s="12" t="n">
        <v>57</v>
      </c>
      <c r="B60" s="12" t="s">
        <v>581</v>
      </c>
      <c r="C60" s="12" t="s">
        <v>646</v>
      </c>
      <c r="D60" s="40" t="n">
        <v>19891</v>
      </c>
      <c r="E60" s="31" t="s">
        <v>76</v>
      </c>
      <c r="F60" s="12" t="str">
        <f aca="false">IFERROR(INDEX('Расчет Кплотн'!$C:$C,MATCH(E60,'Расчет Кплотн'!$A:$A,0)),"код не найден")</f>
        <v>Зерендинский район</v>
      </c>
      <c r="G60" s="12" t="s">
        <v>503</v>
      </c>
      <c r="H60" s="12" t="s">
        <v>647</v>
      </c>
      <c r="I60" s="12" t="s">
        <v>648</v>
      </c>
    </row>
    <row r="61" customFormat="false" ht="15" hidden="false" customHeight="false" outlineLevel="0" collapsed="false">
      <c r="A61" s="12" t="n">
        <v>58</v>
      </c>
      <c r="B61" s="12" t="s">
        <v>581</v>
      </c>
      <c r="C61" s="12" t="s">
        <v>649</v>
      </c>
      <c r="D61" s="40" t="n">
        <v>17929</v>
      </c>
      <c r="E61" s="31" t="s">
        <v>78</v>
      </c>
      <c r="F61" s="12" t="str">
        <f aca="false">IFERROR(INDEX('Расчет Кплотн'!$C:$C,MATCH(E61,'Расчет Кплотн'!$A:$A,0)),"код не найден")</f>
        <v>Сандыктауский район</v>
      </c>
      <c r="G61" s="12" t="s">
        <v>503</v>
      </c>
      <c r="H61" s="12" t="s">
        <v>650</v>
      </c>
      <c r="I61" s="12" t="s">
        <v>651</v>
      </c>
    </row>
    <row r="62" customFormat="false" ht="15" hidden="false" customHeight="false" outlineLevel="0" collapsed="false">
      <c r="A62" s="12" t="n">
        <v>59</v>
      </c>
      <c r="B62" s="12" t="s">
        <v>581</v>
      </c>
      <c r="C62" s="12" t="s">
        <v>619</v>
      </c>
      <c r="D62" s="40" t="n">
        <v>51521</v>
      </c>
      <c r="E62" s="31" t="s">
        <v>79</v>
      </c>
      <c r="F62" s="12" t="str">
        <f aca="false">IFERROR(INDEX('Расчет Кплотн'!$C:$C,MATCH(E62,'Расчет Кплотн'!$A:$A,0)),"код не найден")</f>
        <v>Целиноградский район</v>
      </c>
      <c r="G62" s="12" t="s">
        <v>503</v>
      </c>
      <c r="H62" s="12" t="s">
        <v>620</v>
      </c>
      <c r="I62" s="12" t="s">
        <v>621</v>
      </c>
    </row>
    <row r="63" customFormat="false" ht="15" hidden="false" customHeight="false" outlineLevel="0" collapsed="false">
      <c r="A63" s="12" t="n">
        <v>60</v>
      </c>
      <c r="B63" s="12" t="s">
        <v>654</v>
      </c>
      <c r="C63" s="12" t="s">
        <v>658</v>
      </c>
      <c r="D63" s="40" t="n">
        <v>9077</v>
      </c>
      <c r="E63" s="31" t="s">
        <v>82</v>
      </c>
      <c r="F63" s="12" t="str">
        <f aca="false">IFERROR(INDEX('Расчет Кплотн'!$C:$C,MATCH(E63,'Расчет Кплотн'!$A:$A,0)),"код не найден")</f>
        <v>Актобе</v>
      </c>
      <c r="G63" s="12" t="s">
        <v>503</v>
      </c>
      <c r="H63" s="12" t="s">
        <v>659</v>
      </c>
      <c r="I63" s="12" t="s">
        <v>660</v>
      </c>
    </row>
    <row r="64" customFormat="false" ht="15" hidden="false" customHeight="false" outlineLevel="0" collapsed="false">
      <c r="A64" s="12" t="n">
        <v>61</v>
      </c>
      <c r="B64" s="12" t="s">
        <v>654</v>
      </c>
      <c r="C64" s="12" t="s">
        <v>661</v>
      </c>
      <c r="D64" s="40" t="n">
        <v>7441</v>
      </c>
      <c r="E64" s="31" t="s">
        <v>82</v>
      </c>
      <c r="F64" s="12" t="str">
        <f aca="false">IFERROR(INDEX('Расчет Кплотн'!$C:$C,MATCH(E64,'Расчет Кплотн'!$A:$A,0)),"код не найден")</f>
        <v>Актобе</v>
      </c>
      <c r="G64" s="12" t="s">
        <v>503</v>
      </c>
      <c r="H64" s="12" t="s">
        <v>662</v>
      </c>
      <c r="I64" s="12" t="s">
        <v>663</v>
      </c>
    </row>
    <row r="65" customFormat="false" ht="15" hidden="false" customHeight="false" outlineLevel="0" collapsed="false">
      <c r="A65" s="12" t="n">
        <v>62</v>
      </c>
      <c r="B65" s="12" t="s">
        <v>654</v>
      </c>
      <c r="C65" s="12" t="s">
        <v>664</v>
      </c>
      <c r="D65" s="40" t="n">
        <v>17339</v>
      </c>
      <c r="E65" s="31" t="s">
        <v>82</v>
      </c>
      <c r="F65" s="12" t="str">
        <f aca="false">IFERROR(INDEX('Расчет Кплотн'!$C:$C,MATCH(E65,'Расчет Кплотн'!$A:$A,0)),"код не найден")</f>
        <v>Актобе</v>
      </c>
      <c r="G65" s="12" t="s">
        <v>503</v>
      </c>
      <c r="H65" s="12" t="s">
        <v>665</v>
      </c>
      <c r="I65" s="12" t="s">
        <v>663</v>
      </c>
    </row>
    <row r="66" customFormat="false" ht="15" hidden="false" customHeight="false" outlineLevel="0" collapsed="false">
      <c r="A66" s="12" t="n">
        <v>63</v>
      </c>
      <c r="B66" s="12" t="s">
        <v>654</v>
      </c>
      <c r="C66" s="12" t="s">
        <v>666</v>
      </c>
      <c r="D66" s="40" t="n">
        <v>7926</v>
      </c>
      <c r="E66" s="31" t="s">
        <v>82</v>
      </c>
      <c r="F66" s="12" t="str">
        <f aca="false">IFERROR(INDEX('Расчет Кплотн'!$C:$C,MATCH(E66,'Расчет Кплотн'!$A:$A,0)),"код не найден")</f>
        <v>Актобе</v>
      </c>
      <c r="G66" s="12" t="s">
        <v>503</v>
      </c>
      <c r="H66" s="12" t="s">
        <v>667</v>
      </c>
      <c r="I66" s="12" t="s">
        <v>663</v>
      </c>
    </row>
    <row r="67" customFormat="false" ht="15" hidden="false" customHeight="false" outlineLevel="0" collapsed="false">
      <c r="A67" s="12" t="n">
        <v>64</v>
      </c>
      <c r="B67" s="12" t="s">
        <v>654</v>
      </c>
      <c r="C67" s="12" t="s">
        <v>668</v>
      </c>
      <c r="D67" s="40" t="n">
        <v>15756</v>
      </c>
      <c r="E67" s="31" t="s">
        <v>82</v>
      </c>
      <c r="F67" s="12" t="str">
        <f aca="false">IFERROR(INDEX('Расчет Кплотн'!$C:$C,MATCH(E67,'Расчет Кплотн'!$A:$A,0)),"код не найден")</f>
        <v>Актобе</v>
      </c>
      <c r="G67" s="12" t="s">
        <v>503</v>
      </c>
      <c r="H67" s="12" t="s">
        <v>669</v>
      </c>
      <c r="I67" s="12" t="s">
        <v>663</v>
      </c>
    </row>
    <row r="68" customFormat="false" ht="15" hidden="false" customHeight="false" outlineLevel="0" collapsed="false">
      <c r="A68" s="12" t="n">
        <v>65</v>
      </c>
      <c r="B68" s="12" t="s">
        <v>654</v>
      </c>
      <c r="C68" s="12" t="s">
        <v>670</v>
      </c>
      <c r="D68" s="40" t="n">
        <v>8391</v>
      </c>
      <c r="E68" s="47" t="s">
        <v>82</v>
      </c>
      <c r="F68" s="12" t="str">
        <f aca="false">IFERROR(INDEX('Расчет Кплотн'!$C:$C,MATCH(E68,'Расчет Кплотн'!$A:$A,0)),"код не найден")</f>
        <v>Актобе</v>
      </c>
      <c r="G68" s="12" t="s">
        <v>673</v>
      </c>
      <c r="H68" s="12" t="s">
        <v>671</v>
      </c>
      <c r="I68" s="12" t="s">
        <v>672</v>
      </c>
    </row>
    <row r="69" customFormat="false" ht="15" hidden="false" customHeight="false" outlineLevel="0" collapsed="false">
      <c r="A69" s="12" t="n">
        <v>66</v>
      </c>
      <c r="B69" s="12" t="s">
        <v>654</v>
      </c>
      <c r="C69" s="12" t="s">
        <v>655</v>
      </c>
      <c r="D69" s="40" t="n">
        <v>31131</v>
      </c>
      <c r="E69" s="31" t="s">
        <v>91</v>
      </c>
      <c r="F69" s="12" t="str">
        <f aca="false">IFERROR(INDEX('Расчет Кплотн'!$C:$C,MATCH(E69,'Расчет Кплотн'!$A:$A,0)),"код не найден")</f>
        <v>Темирский район</v>
      </c>
      <c r="G69" s="12" t="s">
        <v>503</v>
      </c>
      <c r="H69" s="12" t="s">
        <v>656</v>
      </c>
      <c r="I69" s="12" t="s">
        <v>657</v>
      </c>
    </row>
    <row r="70" customFormat="false" ht="15" hidden="false" customHeight="false" outlineLevel="0" collapsed="false">
      <c r="A70" s="12" t="n">
        <v>67</v>
      </c>
      <c r="B70" s="12" t="s">
        <v>654</v>
      </c>
      <c r="C70" s="12" t="s">
        <v>674</v>
      </c>
      <c r="D70" s="40" t="n">
        <v>4416</v>
      </c>
      <c r="E70" s="31" t="s">
        <v>82</v>
      </c>
      <c r="F70" s="12" t="str">
        <f aca="false">IFERROR(INDEX('Расчет Кплотн'!$C:$C,MATCH(E70,'Расчет Кплотн'!$A:$A,0)),"код не найден")</f>
        <v>Актобе</v>
      </c>
      <c r="G70" s="12" t="s">
        <v>503</v>
      </c>
      <c r="H70" s="12" t="s">
        <v>675</v>
      </c>
      <c r="I70" s="12" t="s">
        <v>663</v>
      </c>
    </row>
    <row r="71" customFormat="false" ht="15" hidden="false" customHeight="false" outlineLevel="0" collapsed="false">
      <c r="A71" s="12" t="n">
        <v>68</v>
      </c>
      <c r="B71" s="12" t="s">
        <v>654</v>
      </c>
      <c r="C71" s="12" t="s">
        <v>686</v>
      </c>
      <c r="D71" s="40" t="n">
        <v>5466</v>
      </c>
      <c r="E71" s="31" t="s">
        <v>89</v>
      </c>
      <c r="F71" s="12" t="str">
        <f aca="false">IFERROR(INDEX('Расчет Кплотн'!$C:$C,MATCH(E71,'Расчет Кплотн'!$A:$A,0)),"код не найден")</f>
        <v>Мугалжарский район</v>
      </c>
      <c r="G71" s="12" t="s">
        <v>503</v>
      </c>
      <c r="H71" s="12" t="s">
        <v>687</v>
      </c>
      <c r="I71" s="12" t="s">
        <v>688</v>
      </c>
    </row>
    <row r="72" customFormat="false" ht="15" hidden="false" customHeight="false" outlineLevel="0" collapsed="false">
      <c r="A72" s="12" t="n">
        <v>69</v>
      </c>
      <c r="B72" s="12" t="s">
        <v>654</v>
      </c>
      <c r="C72" s="12" t="s">
        <v>678</v>
      </c>
      <c r="D72" s="40" t="n">
        <v>14013</v>
      </c>
      <c r="E72" s="31" t="s">
        <v>82</v>
      </c>
      <c r="F72" s="12" t="str">
        <f aca="false">IFERROR(INDEX('Расчет Кплотн'!$C:$C,MATCH(E72,'Расчет Кплотн'!$A:$A,0)),"код не найден")</f>
        <v>Актобе</v>
      </c>
      <c r="G72" s="12" t="s">
        <v>503</v>
      </c>
      <c r="H72" s="12" t="s">
        <v>679</v>
      </c>
      <c r="I72" s="12" t="s">
        <v>663</v>
      </c>
    </row>
    <row r="73" customFormat="false" ht="15" hidden="false" customHeight="false" outlineLevel="0" collapsed="false">
      <c r="A73" s="12" t="n">
        <v>70</v>
      </c>
      <c r="B73" s="12" t="s">
        <v>654</v>
      </c>
      <c r="C73" s="12" t="s">
        <v>680</v>
      </c>
      <c r="D73" s="40" t="n">
        <v>9575</v>
      </c>
      <c r="E73" s="31" t="s">
        <v>82</v>
      </c>
      <c r="F73" s="12" t="str">
        <f aca="false">IFERROR(INDEX('Расчет Кплотн'!$C:$C,MATCH(E73,'Расчет Кплотн'!$A:$A,0)),"код не найден")</f>
        <v>Актобе</v>
      </c>
      <c r="G73" s="12" t="s">
        <v>503</v>
      </c>
      <c r="H73" s="12" t="s">
        <v>681</v>
      </c>
      <c r="I73" s="12" t="s">
        <v>663</v>
      </c>
    </row>
    <row r="74" customFormat="false" ht="15" hidden="false" customHeight="false" outlineLevel="0" collapsed="false">
      <c r="A74" s="12" t="n">
        <v>71</v>
      </c>
      <c r="B74" s="12" t="s">
        <v>654</v>
      </c>
      <c r="C74" s="12" t="s">
        <v>682</v>
      </c>
      <c r="D74" s="40" t="n">
        <v>11943</v>
      </c>
      <c r="E74" s="31" t="s">
        <v>82</v>
      </c>
      <c r="F74" s="12" t="str">
        <f aca="false">IFERROR(INDEX('Расчет Кплотн'!$C:$C,MATCH(E74,'Расчет Кплотн'!$A:$A,0)),"код не найден")</f>
        <v>Актобе</v>
      </c>
      <c r="G74" s="12" t="s">
        <v>503</v>
      </c>
      <c r="H74" s="12" t="s">
        <v>683</v>
      </c>
      <c r="I74" s="12" t="s">
        <v>660</v>
      </c>
    </row>
    <row r="75" customFormat="false" ht="15" hidden="false" customHeight="false" outlineLevel="0" collapsed="false">
      <c r="A75" s="12" t="n">
        <v>72</v>
      </c>
      <c r="B75" s="12" t="s">
        <v>654</v>
      </c>
      <c r="C75" s="12" t="s">
        <v>684</v>
      </c>
      <c r="D75" s="40" t="n">
        <v>20353</v>
      </c>
      <c r="E75" s="31" t="s">
        <v>82</v>
      </c>
      <c r="F75" s="12" t="str">
        <f aca="false">IFERROR(INDEX('Расчет Кплотн'!$C:$C,MATCH(E75,'Расчет Кплотн'!$A:$A,0)),"код не найден")</f>
        <v>Актобе</v>
      </c>
      <c r="G75" s="12" t="s">
        <v>503</v>
      </c>
      <c r="H75" s="12" t="s">
        <v>685</v>
      </c>
      <c r="I75" s="12" t="s">
        <v>663</v>
      </c>
    </row>
    <row r="76" customFormat="false" ht="15" hidden="false" customHeight="false" outlineLevel="0" collapsed="false">
      <c r="A76" s="12" t="n">
        <v>73</v>
      </c>
      <c r="B76" s="12" t="s">
        <v>654</v>
      </c>
      <c r="C76" s="12" t="s">
        <v>676</v>
      </c>
      <c r="D76" s="40" t="n">
        <v>7813</v>
      </c>
      <c r="E76" s="31" t="s">
        <v>82</v>
      </c>
      <c r="F76" s="12" t="str">
        <f aca="false">IFERROR(INDEX('Расчет Кплотн'!$C:$C,MATCH(E76,'Расчет Кплотн'!$A:$A,0)),"код не найден")</f>
        <v>Актобе</v>
      </c>
      <c r="G76" s="12" t="s">
        <v>503</v>
      </c>
      <c r="H76" s="12" t="s">
        <v>677</v>
      </c>
      <c r="I76" s="12" t="s">
        <v>663</v>
      </c>
    </row>
    <row r="77" customFormat="false" ht="15" hidden="false" customHeight="false" outlineLevel="0" collapsed="false">
      <c r="A77" s="12" t="n">
        <v>74</v>
      </c>
      <c r="B77" s="12" t="s">
        <v>654</v>
      </c>
      <c r="C77" s="12" t="s">
        <v>689</v>
      </c>
      <c r="D77" s="40" t="n">
        <v>36217</v>
      </c>
      <c r="E77" s="47" t="s">
        <v>82</v>
      </c>
      <c r="F77" s="12" t="str">
        <f aca="false">IFERROR(INDEX('Расчет Кплотн'!$C:$C,MATCH(E77,'Расчет Кплотн'!$A:$A,0)),"код не найден")</f>
        <v>Актобе</v>
      </c>
      <c r="G77" s="12" t="s">
        <v>691</v>
      </c>
      <c r="H77" s="12" t="s">
        <v>690</v>
      </c>
      <c r="I77" s="12"/>
    </row>
    <row r="78" customFormat="false" ht="15" hidden="false" customHeight="false" outlineLevel="0" collapsed="false">
      <c r="A78" s="12" t="n">
        <v>75</v>
      </c>
      <c r="B78" s="12" t="s">
        <v>654</v>
      </c>
      <c r="C78" s="12" t="s">
        <v>692</v>
      </c>
      <c r="D78" s="40" t="n">
        <v>6103</v>
      </c>
      <c r="E78" s="31" t="s">
        <v>82</v>
      </c>
      <c r="F78" s="12" t="str">
        <f aca="false">IFERROR(INDEX('Расчет Кплотн'!$C:$C,MATCH(E78,'Расчет Кплотн'!$A:$A,0)),"код не найден")</f>
        <v>Актобе</v>
      </c>
      <c r="G78" s="12" t="s">
        <v>503</v>
      </c>
      <c r="H78" s="12" t="s">
        <v>693</v>
      </c>
      <c r="I78" s="12" t="s">
        <v>663</v>
      </c>
    </row>
    <row r="79" customFormat="false" ht="15" hidden="false" customHeight="false" outlineLevel="0" collapsed="false">
      <c r="A79" s="12" t="n">
        <v>76</v>
      </c>
      <c r="B79" s="12" t="s">
        <v>654</v>
      </c>
      <c r="C79" s="12" t="s">
        <v>694</v>
      </c>
      <c r="D79" s="40" t="n">
        <v>34301</v>
      </c>
      <c r="E79" s="31" t="s">
        <v>82</v>
      </c>
      <c r="F79" s="12" t="str">
        <f aca="false">IFERROR(INDEX('Расчет Кплотн'!$C:$C,MATCH(E79,'Расчет Кплотн'!$A:$A,0)),"код не найден")</f>
        <v>Актобе</v>
      </c>
      <c r="G79" s="12" t="s">
        <v>503</v>
      </c>
      <c r="H79" s="12" t="s">
        <v>695</v>
      </c>
      <c r="I79" s="12" t="s">
        <v>660</v>
      </c>
    </row>
    <row r="80" customFormat="false" ht="15" hidden="false" customHeight="false" outlineLevel="0" collapsed="false">
      <c r="A80" s="12" t="n">
        <v>77</v>
      </c>
      <c r="B80" s="12" t="s">
        <v>654</v>
      </c>
      <c r="C80" s="12" t="s">
        <v>696</v>
      </c>
      <c r="D80" s="40" t="n">
        <v>23532</v>
      </c>
      <c r="E80" s="31" t="s">
        <v>82</v>
      </c>
      <c r="F80" s="12" t="str">
        <f aca="false">IFERROR(INDEX('Расчет Кплотн'!$C:$C,MATCH(E80,'Расчет Кплотн'!$A:$A,0)),"код не найден")</f>
        <v>Актобе</v>
      </c>
      <c r="G80" s="12" t="s">
        <v>503</v>
      </c>
      <c r="H80" s="12" t="s">
        <v>697</v>
      </c>
      <c r="I80" s="12" t="s">
        <v>663</v>
      </c>
    </row>
    <row r="81" customFormat="false" ht="15" hidden="false" customHeight="false" outlineLevel="0" collapsed="false">
      <c r="A81" s="12" t="n">
        <v>78</v>
      </c>
      <c r="B81" s="12" t="s">
        <v>654</v>
      </c>
      <c r="C81" s="12" t="s">
        <v>698</v>
      </c>
      <c r="D81" s="40" t="n">
        <v>34503</v>
      </c>
      <c r="E81" s="31" t="s">
        <v>82</v>
      </c>
      <c r="F81" s="12" t="str">
        <f aca="false">IFERROR(INDEX('Расчет Кплотн'!$C:$C,MATCH(E81,'Расчет Кплотн'!$A:$A,0)),"код не найден")</f>
        <v>Актобе</v>
      </c>
      <c r="G81" s="12" t="s">
        <v>503</v>
      </c>
      <c r="H81" s="12" t="s">
        <v>699</v>
      </c>
      <c r="I81" s="12" t="s">
        <v>663</v>
      </c>
    </row>
    <row r="82" customFormat="false" ht="15" hidden="false" customHeight="false" outlineLevel="0" collapsed="false">
      <c r="A82" s="12" t="n">
        <v>79</v>
      </c>
      <c r="B82" s="12" t="s">
        <v>654</v>
      </c>
      <c r="C82" s="12" t="s">
        <v>700</v>
      </c>
      <c r="D82" s="40" t="n">
        <v>8343</v>
      </c>
      <c r="E82" s="31" t="s">
        <v>82</v>
      </c>
      <c r="F82" s="12" t="str">
        <f aca="false">IFERROR(INDEX('Расчет Кплотн'!$C:$C,MATCH(E82,'Расчет Кплотн'!$A:$A,0)),"код не найден")</f>
        <v>Актобе</v>
      </c>
      <c r="G82" s="12" t="s">
        <v>503</v>
      </c>
      <c r="H82" s="12"/>
      <c r="I82" s="12" t="s">
        <v>663</v>
      </c>
    </row>
    <row r="83" customFormat="false" ht="15" hidden="false" customHeight="false" outlineLevel="0" collapsed="false">
      <c r="A83" s="12" t="n">
        <v>80</v>
      </c>
      <c r="B83" s="12" t="s">
        <v>654</v>
      </c>
      <c r="C83" s="12" t="s">
        <v>701</v>
      </c>
      <c r="D83" s="40" t="n">
        <v>12885</v>
      </c>
      <c r="E83" s="31" t="s">
        <v>90</v>
      </c>
      <c r="F83" s="12" t="str">
        <f aca="false">IFERROR(INDEX('Расчет Кплотн'!$C:$C,MATCH(E83,'Расчет Кплотн'!$A:$A,0)),"код не найден")</f>
        <v>Уилский район</v>
      </c>
      <c r="G83" s="12" t="s">
        <v>503</v>
      </c>
      <c r="H83" s="12" t="s">
        <v>702</v>
      </c>
      <c r="I83" s="12" t="s">
        <v>703</v>
      </c>
    </row>
    <row r="84" customFormat="false" ht="15" hidden="false" customHeight="false" outlineLevel="0" collapsed="false">
      <c r="A84" s="12" t="n">
        <v>81</v>
      </c>
      <c r="B84" s="12" t="s">
        <v>654</v>
      </c>
      <c r="C84" s="12" t="s">
        <v>704</v>
      </c>
      <c r="D84" s="40" t="n">
        <v>38416</v>
      </c>
      <c r="E84" s="31" t="s">
        <v>93</v>
      </c>
      <c r="F84" s="12" t="str">
        <f aca="false">IFERROR(INDEX('Расчет Кплотн'!$C:$C,MATCH(E84,'Расчет Кплотн'!$A:$A,0)),"код не найден")</f>
        <v>Шалкарский район</v>
      </c>
      <c r="G84" s="12" t="s">
        <v>503</v>
      </c>
      <c r="H84" s="12" t="s">
        <v>705</v>
      </c>
      <c r="I84" s="12" t="s">
        <v>706</v>
      </c>
    </row>
    <row r="85" customFormat="false" ht="15" hidden="false" customHeight="false" outlineLevel="0" collapsed="false">
      <c r="A85" s="12" t="n">
        <v>82</v>
      </c>
      <c r="B85" s="12" t="s">
        <v>654</v>
      </c>
      <c r="C85" s="12" t="s">
        <v>707</v>
      </c>
      <c r="D85" s="40" t="n">
        <v>18349</v>
      </c>
      <c r="E85" s="31" t="s">
        <v>84</v>
      </c>
      <c r="F85" s="12" t="str">
        <f aca="false">IFERROR(INDEX('Расчет Кплотн'!$C:$C,MATCH(E85,'Расчет Кплотн'!$A:$A,0)),"код не найден")</f>
        <v>Айтекебийский район</v>
      </c>
      <c r="G85" s="12" t="s">
        <v>503</v>
      </c>
      <c r="H85" s="12" t="s">
        <v>708</v>
      </c>
      <c r="I85" s="12" t="s">
        <v>709</v>
      </c>
    </row>
    <row r="86" customFormat="false" ht="15" hidden="false" customHeight="false" outlineLevel="0" collapsed="false">
      <c r="A86" s="12" t="n">
        <v>83</v>
      </c>
      <c r="B86" s="12" t="s">
        <v>654</v>
      </c>
      <c r="C86" s="12" t="s">
        <v>710</v>
      </c>
      <c r="D86" s="40" t="n">
        <v>33552</v>
      </c>
      <c r="E86" s="31" t="s">
        <v>82</v>
      </c>
      <c r="F86" s="12" t="str">
        <f aca="false">IFERROR(INDEX('Расчет Кплотн'!$C:$C,MATCH(E86,'Расчет Кплотн'!$A:$A,0)),"код не найден")</f>
        <v>Актобе</v>
      </c>
      <c r="G86" s="12" t="s">
        <v>712</v>
      </c>
      <c r="H86" s="12" t="s">
        <v>711</v>
      </c>
      <c r="I86" s="12"/>
    </row>
    <row r="87" customFormat="false" ht="15" hidden="false" customHeight="false" outlineLevel="0" collapsed="false">
      <c r="A87" s="12" t="n">
        <v>84</v>
      </c>
      <c r="B87" s="12" t="s">
        <v>654</v>
      </c>
      <c r="C87" s="12" t="s">
        <v>713</v>
      </c>
      <c r="D87" s="40" t="n">
        <v>38626</v>
      </c>
      <c r="E87" s="31" t="s">
        <v>82</v>
      </c>
      <c r="F87" s="12" t="str">
        <f aca="false">IFERROR(INDEX('Расчет Кплотн'!$C:$C,MATCH(E87,'Расчет Кплотн'!$A:$A,0)),"код не найден")</f>
        <v>Актобе</v>
      </c>
      <c r="G87" s="12" t="s">
        <v>503</v>
      </c>
      <c r="H87" s="12" t="s">
        <v>714</v>
      </c>
      <c r="I87" s="12" t="s">
        <v>663</v>
      </c>
    </row>
    <row r="88" customFormat="false" ht="15" hidden="false" customHeight="false" outlineLevel="0" collapsed="false">
      <c r="A88" s="12" t="n">
        <v>85</v>
      </c>
      <c r="B88" s="12" t="s">
        <v>654</v>
      </c>
      <c r="C88" s="12" t="s">
        <v>715</v>
      </c>
      <c r="D88" s="40" t="n">
        <v>58832</v>
      </c>
      <c r="E88" s="31" t="s">
        <v>82</v>
      </c>
      <c r="F88" s="12" t="str">
        <f aca="false">IFERROR(INDEX('Расчет Кплотн'!$C:$C,MATCH(E88,'Расчет Кплотн'!$A:$A,0)),"код не найден")</f>
        <v>Актобе</v>
      </c>
      <c r="G88" s="12" t="s">
        <v>503</v>
      </c>
      <c r="H88" s="12" t="s">
        <v>716</v>
      </c>
      <c r="I88" s="12" t="s">
        <v>663</v>
      </c>
    </row>
    <row r="89" customFormat="false" ht="15" hidden="false" customHeight="false" outlineLevel="0" collapsed="false">
      <c r="A89" s="12" t="n">
        <v>86</v>
      </c>
      <c r="B89" s="12" t="s">
        <v>654</v>
      </c>
      <c r="C89" s="12" t="s">
        <v>717</v>
      </c>
      <c r="D89" s="40" t="n">
        <v>66549</v>
      </c>
      <c r="E89" s="31" t="s">
        <v>82</v>
      </c>
      <c r="F89" s="12" t="str">
        <f aca="false">IFERROR(INDEX('Расчет Кплотн'!$C:$C,MATCH(E89,'Расчет Кплотн'!$A:$A,0)),"код не найден")</f>
        <v>Актобе</v>
      </c>
      <c r="G89" s="12" t="s">
        <v>503</v>
      </c>
      <c r="H89" s="12" t="s">
        <v>718</v>
      </c>
      <c r="I89" s="12" t="s">
        <v>663</v>
      </c>
    </row>
    <row r="90" customFormat="false" ht="15" hidden="false" customHeight="false" outlineLevel="0" collapsed="false">
      <c r="A90" s="12" t="n">
        <v>87</v>
      </c>
      <c r="B90" s="12" t="s">
        <v>654</v>
      </c>
      <c r="C90" s="12" t="s">
        <v>719</v>
      </c>
      <c r="D90" s="40" t="n">
        <v>14137</v>
      </c>
      <c r="E90" s="31" t="s">
        <v>87</v>
      </c>
      <c r="F90" s="12" t="str">
        <f aca="false">IFERROR(INDEX('Расчет Кплотн'!$C:$C,MATCH(E90,'Расчет Кплотн'!$A:$A,0)),"код не найден")</f>
        <v>Хобдинский район</v>
      </c>
      <c r="G90" s="12" t="s">
        <v>503</v>
      </c>
      <c r="H90" s="12" t="s">
        <v>720</v>
      </c>
      <c r="I90" s="12" t="s">
        <v>721</v>
      </c>
    </row>
    <row r="91" customFormat="false" ht="15" hidden="false" customHeight="false" outlineLevel="0" collapsed="false">
      <c r="A91" s="12" t="n">
        <v>88</v>
      </c>
      <c r="B91" s="12" t="s">
        <v>654</v>
      </c>
      <c r="C91" s="12" t="s">
        <v>722</v>
      </c>
      <c r="D91" s="40" t="n">
        <v>27370</v>
      </c>
      <c r="E91" s="31" t="s">
        <v>88</v>
      </c>
      <c r="F91" s="12" t="str">
        <f aca="false">IFERROR(INDEX('Расчет Кплотн'!$C:$C,MATCH(E91,'Расчет Кплотн'!$A:$A,0)),"код не найден")</f>
        <v>Мартукский район</v>
      </c>
      <c r="G91" s="12" t="s">
        <v>503</v>
      </c>
      <c r="H91" s="12" t="s">
        <v>723</v>
      </c>
      <c r="I91" s="12" t="s">
        <v>724</v>
      </c>
    </row>
    <row r="92" customFormat="false" ht="15" hidden="false" customHeight="false" outlineLevel="0" collapsed="false">
      <c r="A92" s="12" t="n">
        <v>89</v>
      </c>
      <c r="B92" s="12" t="s">
        <v>654</v>
      </c>
      <c r="C92" s="12" t="s">
        <v>725</v>
      </c>
      <c r="D92" s="40" t="n">
        <v>34697</v>
      </c>
      <c r="E92" s="31" t="s">
        <v>89</v>
      </c>
      <c r="F92" s="12" t="str">
        <f aca="false">IFERROR(INDEX('Расчет Кплотн'!$C:$C,MATCH(E92,'Расчет Кплотн'!$A:$A,0)),"код не найден")</f>
        <v>Мугалжарский район</v>
      </c>
      <c r="G92" s="12" t="s">
        <v>503</v>
      </c>
      <c r="H92" s="12" t="s">
        <v>726</v>
      </c>
      <c r="I92" s="12" t="s">
        <v>688</v>
      </c>
    </row>
    <row r="93" customFormat="false" ht="15" hidden="false" customHeight="false" outlineLevel="0" collapsed="false">
      <c r="A93" s="12" t="n">
        <v>90</v>
      </c>
      <c r="B93" s="12" t="s">
        <v>654</v>
      </c>
      <c r="C93" s="12" t="s">
        <v>727</v>
      </c>
      <c r="D93" s="40" t="n">
        <v>20112</v>
      </c>
      <c r="E93" s="31" t="s">
        <v>85</v>
      </c>
      <c r="F93" s="12" t="str">
        <f aca="false">IFERROR(INDEX('Расчет Кплотн'!$C:$C,MATCH(E93,'Расчет Кплотн'!$A:$A,0)),"код не найден")</f>
        <v>Байганинский район</v>
      </c>
      <c r="G93" s="12" t="s">
        <v>503</v>
      </c>
      <c r="H93" s="12" t="s">
        <v>728</v>
      </c>
      <c r="I93" s="12" t="s">
        <v>729</v>
      </c>
    </row>
    <row r="94" customFormat="false" ht="15" hidden="false" customHeight="false" outlineLevel="0" collapsed="false">
      <c r="A94" s="12" t="n">
        <v>91</v>
      </c>
      <c r="B94" s="12" t="s">
        <v>654</v>
      </c>
      <c r="C94" s="12" t="s">
        <v>730</v>
      </c>
      <c r="D94" s="40" t="n">
        <v>16166</v>
      </c>
      <c r="E94" s="31" t="s">
        <v>82</v>
      </c>
      <c r="F94" s="12" t="str">
        <f aca="false">IFERROR(INDEX('Расчет Кплотн'!$C:$C,MATCH(E94,'Расчет Кплотн'!$A:$A,0)),"код не найден")</f>
        <v>Актобе</v>
      </c>
      <c r="G94" s="12" t="s">
        <v>503</v>
      </c>
      <c r="H94" s="12" t="s">
        <v>731</v>
      </c>
      <c r="I94" s="12" t="s">
        <v>663</v>
      </c>
    </row>
    <row r="95" customFormat="false" ht="15" hidden="false" customHeight="false" outlineLevel="0" collapsed="false">
      <c r="A95" s="12" t="n">
        <v>92</v>
      </c>
      <c r="B95" s="12" t="s">
        <v>654</v>
      </c>
      <c r="C95" s="12" t="s">
        <v>732</v>
      </c>
      <c r="D95" s="40" t="n">
        <v>18039</v>
      </c>
      <c r="E95" s="31" t="s">
        <v>89</v>
      </c>
      <c r="F95" s="12" t="str">
        <f aca="false">IFERROR(INDEX('Расчет Кплотн'!$C:$C,MATCH(E95,'Расчет Кплотн'!$A:$A,0)),"код не найден")</f>
        <v>Мугалжарский район</v>
      </c>
      <c r="G95" s="12" t="s">
        <v>503</v>
      </c>
      <c r="H95" s="12" t="s">
        <v>733</v>
      </c>
      <c r="I95" s="12" t="s">
        <v>734</v>
      </c>
    </row>
    <row r="96" customFormat="false" ht="15" hidden="false" customHeight="false" outlineLevel="0" collapsed="false">
      <c r="A96" s="12" t="n">
        <v>93</v>
      </c>
      <c r="B96" s="12" t="s">
        <v>654</v>
      </c>
      <c r="C96" s="12" t="s">
        <v>735</v>
      </c>
      <c r="D96" s="40" t="n">
        <v>39247</v>
      </c>
      <c r="E96" s="31" t="s">
        <v>83</v>
      </c>
      <c r="F96" s="12" t="str">
        <f aca="false">IFERROR(INDEX('Расчет Кплотн'!$C:$C,MATCH(E96,'Расчет Кплотн'!$A:$A,0)),"код не найден")</f>
        <v>Алгинский район</v>
      </c>
      <c r="G96" s="12" t="s">
        <v>503</v>
      </c>
      <c r="H96" s="12" t="s">
        <v>736</v>
      </c>
      <c r="I96" s="12" t="s">
        <v>737</v>
      </c>
    </row>
    <row r="97" customFormat="false" ht="15" hidden="false" customHeight="false" outlineLevel="0" collapsed="false">
      <c r="A97" s="12" t="n">
        <v>94</v>
      </c>
      <c r="B97" s="12" t="s">
        <v>654</v>
      </c>
      <c r="C97" s="12" t="s">
        <v>738</v>
      </c>
      <c r="D97" s="40" t="n">
        <v>57146</v>
      </c>
      <c r="E97" s="31" t="s">
        <v>82</v>
      </c>
      <c r="F97" s="12" t="str">
        <f aca="false">IFERROR(INDEX('Расчет Кплотн'!$C:$C,MATCH(E97,'Расчет Кплотн'!$A:$A,0)),"код не найден")</f>
        <v>Актобе</v>
      </c>
      <c r="G97" s="12" t="s">
        <v>503</v>
      </c>
      <c r="H97" s="12" t="s">
        <v>739</v>
      </c>
      <c r="I97" s="12" t="s">
        <v>663</v>
      </c>
    </row>
    <row r="98" customFormat="false" ht="15" hidden="false" customHeight="false" outlineLevel="0" collapsed="false">
      <c r="A98" s="12" t="n">
        <v>95</v>
      </c>
      <c r="B98" s="12" t="s">
        <v>654</v>
      </c>
      <c r="C98" s="12" t="s">
        <v>740</v>
      </c>
      <c r="D98" s="40" t="n">
        <v>57825</v>
      </c>
      <c r="E98" s="31" t="s">
        <v>82</v>
      </c>
      <c r="F98" s="12" t="str">
        <f aca="false">IFERROR(INDEX('Расчет Кплотн'!$C:$C,MATCH(E98,'Расчет Кплотн'!$A:$A,0)),"код не найден")</f>
        <v>Актобе</v>
      </c>
      <c r="G98" s="12" t="s">
        <v>503</v>
      </c>
      <c r="H98" s="12" t="s">
        <v>741</v>
      </c>
      <c r="I98" s="12" t="s">
        <v>663</v>
      </c>
    </row>
    <row r="99" customFormat="false" ht="15" hidden="false" customHeight="false" outlineLevel="0" collapsed="false">
      <c r="A99" s="12" t="n">
        <v>96</v>
      </c>
      <c r="B99" s="12" t="s">
        <v>654</v>
      </c>
      <c r="C99" s="12" t="s">
        <v>742</v>
      </c>
      <c r="D99" s="40" t="n">
        <v>12275</v>
      </c>
      <c r="E99" s="31" t="s">
        <v>94</v>
      </c>
      <c r="F99" s="12" t="str">
        <f aca="false">IFERROR(INDEX('Расчет Кплотн'!$C:$C,MATCH(E99,'Расчет Кплотн'!$A:$A,0)),"код не найден")</f>
        <v>Иргизский район</v>
      </c>
      <c r="G99" s="12" t="s">
        <v>503</v>
      </c>
      <c r="H99" s="12" t="s">
        <v>743</v>
      </c>
      <c r="I99" s="12" t="s">
        <v>744</v>
      </c>
    </row>
    <row r="100" customFormat="false" ht="15" hidden="false" customHeight="false" outlineLevel="0" collapsed="false">
      <c r="A100" s="12" t="n">
        <v>97</v>
      </c>
      <c r="B100" s="12" t="s">
        <v>654</v>
      </c>
      <c r="C100" s="12" t="s">
        <v>745</v>
      </c>
      <c r="D100" s="40" t="n">
        <v>45104</v>
      </c>
      <c r="E100" s="31" t="s">
        <v>92</v>
      </c>
      <c r="F100" s="12" t="str">
        <f aca="false">IFERROR(INDEX('Расчет Кплотн'!$C:$C,MATCH(E100,'Расчет Кплотн'!$A:$A,0)),"код не найден")</f>
        <v>Хромтауский район</v>
      </c>
      <c r="G100" s="12" t="s">
        <v>503</v>
      </c>
      <c r="H100" s="12" t="s">
        <v>746</v>
      </c>
      <c r="I100" s="12" t="s">
        <v>747</v>
      </c>
    </row>
    <row r="101" customFormat="false" ht="15" hidden="false" customHeight="false" outlineLevel="0" collapsed="false">
      <c r="A101" s="12" t="n">
        <v>98</v>
      </c>
      <c r="B101" s="12" t="s">
        <v>654</v>
      </c>
      <c r="C101" s="12" t="s">
        <v>748</v>
      </c>
      <c r="D101" s="40" t="n">
        <v>14282</v>
      </c>
      <c r="E101" s="31" t="s">
        <v>86</v>
      </c>
      <c r="F101" s="12" t="str">
        <f aca="false">IFERROR(INDEX('Расчет Кплотн'!$C:$C,MATCH(E101,'Расчет Кплотн'!$A:$A,0)),"код не найден")</f>
        <v>Каргалинский район</v>
      </c>
      <c r="G101" s="12" t="s">
        <v>503</v>
      </c>
      <c r="H101" s="12" t="s">
        <v>749</v>
      </c>
      <c r="I101" s="12" t="s">
        <v>750</v>
      </c>
    </row>
    <row r="102" customFormat="false" ht="15" hidden="false" customHeight="false" outlineLevel="0" collapsed="false">
      <c r="A102" s="12" t="n">
        <v>99</v>
      </c>
      <c r="B102" s="12" t="s">
        <v>751</v>
      </c>
      <c r="C102" s="12" t="s">
        <v>752</v>
      </c>
      <c r="D102" s="40" t="n">
        <v>9614</v>
      </c>
      <c r="E102" s="31" t="s">
        <v>99</v>
      </c>
      <c r="F102" s="12" t="str">
        <f aca="false">IFERROR(INDEX('Расчет Кплотн'!$C:$C,MATCH(E102,'Расчет Кплотн'!$A:$A,0)),"код не найден")</f>
        <v>Жамбылский район</v>
      </c>
      <c r="G102" s="12" t="s">
        <v>503</v>
      </c>
      <c r="H102" s="12"/>
      <c r="I102" s="12" t="s">
        <v>753</v>
      </c>
    </row>
    <row r="103" customFormat="false" ht="15" hidden="false" customHeight="false" outlineLevel="0" collapsed="false">
      <c r="A103" s="12" t="n">
        <v>100</v>
      </c>
      <c r="B103" s="12" t="s">
        <v>751</v>
      </c>
      <c r="C103" s="12" t="s">
        <v>754</v>
      </c>
      <c r="D103" s="40" t="n">
        <v>29632</v>
      </c>
      <c r="E103" s="31" t="s">
        <v>101</v>
      </c>
      <c r="F103" s="12" t="str">
        <f aca="false">IFERROR(INDEX('Расчет Кплотн'!$C:$C,MATCH(E103,'Расчет Кплотн'!$A:$A,0)),"код не найден")</f>
        <v>Карасайский район</v>
      </c>
      <c r="G103" s="12" t="s">
        <v>503</v>
      </c>
      <c r="H103" s="12" t="s">
        <v>755</v>
      </c>
      <c r="I103" s="12" t="s">
        <v>756</v>
      </c>
    </row>
    <row r="104" customFormat="false" ht="15" hidden="false" customHeight="false" outlineLevel="0" collapsed="false">
      <c r="A104" s="12" t="n">
        <v>101</v>
      </c>
      <c r="B104" s="12" t="s">
        <v>751</v>
      </c>
      <c r="C104" s="12" t="s">
        <v>757</v>
      </c>
      <c r="D104" s="40" t="n">
        <v>6167</v>
      </c>
      <c r="E104" s="31" t="s">
        <v>98</v>
      </c>
      <c r="F104" s="12" t="str">
        <f aca="false">IFERROR(INDEX('Расчет Кплотн'!$C:$C,MATCH(E104,'Расчет Кплотн'!$A:$A,0)),"код не найден")</f>
        <v>Енбекшиказахский район</v>
      </c>
      <c r="G104" s="12" t="s">
        <v>503</v>
      </c>
      <c r="H104" s="12" t="s">
        <v>758</v>
      </c>
      <c r="I104" s="12" t="s">
        <v>759</v>
      </c>
    </row>
    <row r="105" customFormat="false" ht="15" hidden="false" customHeight="false" outlineLevel="0" collapsed="false">
      <c r="A105" s="12" t="n">
        <v>102</v>
      </c>
      <c r="B105" s="12" t="s">
        <v>751</v>
      </c>
      <c r="C105" s="12" t="s">
        <v>760</v>
      </c>
      <c r="D105" s="40" t="n">
        <v>16271</v>
      </c>
      <c r="E105" s="31" t="s">
        <v>103</v>
      </c>
      <c r="F105" s="12" t="str">
        <f aca="false">IFERROR(INDEX('Расчет Кплотн'!$C:$C,MATCH(E105,'Расчет Кплотн'!$A:$A,0)),"код не найден")</f>
        <v>Талгарский район</v>
      </c>
      <c r="G105" s="12" t="s">
        <v>503</v>
      </c>
      <c r="H105" s="12" t="s">
        <v>761</v>
      </c>
      <c r="I105" s="12" t="s">
        <v>762</v>
      </c>
    </row>
    <row r="106" customFormat="false" ht="15" hidden="false" customHeight="false" outlineLevel="0" collapsed="false">
      <c r="A106" s="12" t="n">
        <v>103</v>
      </c>
      <c r="B106" s="12" t="s">
        <v>751</v>
      </c>
      <c r="C106" s="12" t="s">
        <v>763</v>
      </c>
      <c r="D106" s="40" t="n">
        <v>47435</v>
      </c>
      <c r="E106" s="31" t="s">
        <v>103</v>
      </c>
      <c r="F106" s="12" t="str">
        <f aca="false">IFERROR(INDEX('Расчет Кплотн'!$C:$C,MATCH(E106,'Расчет Кплотн'!$A:$A,0)),"код не найден")</f>
        <v>Талгарский район</v>
      </c>
      <c r="G106" s="12" t="s">
        <v>503</v>
      </c>
      <c r="H106" s="12" t="s">
        <v>764</v>
      </c>
      <c r="I106" s="12" t="s">
        <v>762</v>
      </c>
    </row>
    <row r="107" customFormat="false" ht="15" hidden="false" customHeight="false" outlineLevel="0" collapsed="false">
      <c r="A107" s="12" t="n">
        <v>104</v>
      </c>
      <c r="B107" s="12" t="s">
        <v>751</v>
      </c>
      <c r="C107" s="12" t="s">
        <v>765</v>
      </c>
      <c r="D107" s="40" t="n">
        <v>24248</v>
      </c>
      <c r="E107" s="31" t="s">
        <v>103</v>
      </c>
      <c r="F107" s="12" t="str">
        <f aca="false">IFERROR(INDEX('Расчет Кплотн'!$C:$C,MATCH(E107,'Расчет Кплотн'!$A:$A,0)),"код не найден")</f>
        <v>Талгарский район</v>
      </c>
      <c r="G107" s="12" t="s">
        <v>503</v>
      </c>
      <c r="H107" s="12" t="s">
        <v>766</v>
      </c>
      <c r="I107" s="12" t="s">
        <v>767</v>
      </c>
    </row>
    <row r="108" customFormat="false" ht="15" hidden="false" customHeight="false" outlineLevel="0" collapsed="false">
      <c r="A108" s="12" t="n">
        <v>105</v>
      </c>
      <c r="B108" s="12" t="s">
        <v>751</v>
      </c>
      <c r="C108" s="12" t="s">
        <v>768</v>
      </c>
      <c r="D108" s="40" t="n">
        <v>7903</v>
      </c>
      <c r="E108" s="47" t="s">
        <v>96</v>
      </c>
      <c r="F108" s="12" t="str">
        <f aca="false">IFERROR(INDEX('Расчет Кплотн'!$C:$C,MATCH(E108,'Расчет Кплотн'!$A:$A,0)),"код не найден")</f>
        <v>Алатау</v>
      </c>
      <c r="G108" s="12" t="s">
        <v>771</v>
      </c>
      <c r="H108" s="12" t="s">
        <v>769</v>
      </c>
      <c r="I108" s="12" t="s">
        <v>770</v>
      </c>
    </row>
    <row r="109" customFormat="false" ht="15" hidden="false" customHeight="false" outlineLevel="0" collapsed="false">
      <c r="A109" s="12" t="n">
        <v>106</v>
      </c>
      <c r="B109" s="12" t="s">
        <v>751</v>
      </c>
      <c r="C109" s="12" t="s">
        <v>772</v>
      </c>
      <c r="D109" s="40" t="n">
        <v>9044</v>
      </c>
      <c r="E109" s="31" t="s">
        <v>95</v>
      </c>
      <c r="F109" s="12" t="str">
        <f aca="false">IFERROR(INDEX('Расчет Кплотн'!$C:$C,MATCH(E109,'Расчет Кплотн'!$A:$A,0)),"код не найден")</f>
        <v>Қонаев</v>
      </c>
      <c r="G109" s="12" t="s">
        <v>503</v>
      </c>
      <c r="H109" s="12" t="s">
        <v>773</v>
      </c>
      <c r="I109" s="12" t="s">
        <v>774</v>
      </c>
    </row>
    <row r="110" customFormat="false" ht="15" hidden="false" customHeight="false" outlineLevel="0" collapsed="false">
      <c r="A110" s="12" t="n">
        <v>107</v>
      </c>
      <c r="B110" s="12" t="s">
        <v>751</v>
      </c>
      <c r="C110" s="12" t="s">
        <v>775</v>
      </c>
      <c r="D110" s="40" t="n">
        <v>7077</v>
      </c>
      <c r="E110" s="31" t="s">
        <v>98</v>
      </c>
      <c r="F110" s="12" t="str">
        <f aca="false">IFERROR(INDEX('Расчет Кплотн'!$C:$C,MATCH(E110,'Расчет Кплотн'!$A:$A,0)),"код не найден")</f>
        <v>Енбекшиказахский район</v>
      </c>
      <c r="G110" s="12" t="s">
        <v>503</v>
      </c>
      <c r="H110" s="12" t="s">
        <v>776</v>
      </c>
      <c r="I110" s="12" t="s">
        <v>777</v>
      </c>
    </row>
    <row r="111" customFormat="false" ht="15" hidden="false" customHeight="false" outlineLevel="0" collapsed="false">
      <c r="A111" s="12" t="n">
        <v>108</v>
      </c>
      <c r="B111" s="12" t="s">
        <v>751</v>
      </c>
      <c r="C111" s="12" t="s">
        <v>778</v>
      </c>
      <c r="D111" s="40" t="n">
        <v>15136</v>
      </c>
      <c r="E111" s="31" t="s">
        <v>101</v>
      </c>
      <c r="F111" s="12" t="str">
        <f aca="false">IFERROR(INDEX('Расчет Кплотн'!$C:$C,MATCH(E111,'Расчет Кплотн'!$A:$A,0)),"код не найден")</f>
        <v>Карасайский район</v>
      </c>
      <c r="G111" s="12" t="s">
        <v>503</v>
      </c>
      <c r="H111" s="12" t="s">
        <v>779</v>
      </c>
      <c r="I111" s="12" t="s">
        <v>756</v>
      </c>
    </row>
    <row r="112" customFormat="false" ht="15" hidden="false" customHeight="false" outlineLevel="0" collapsed="false">
      <c r="A112" s="12" t="n">
        <v>109</v>
      </c>
      <c r="B112" s="12" t="s">
        <v>751</v>
      </c>
      <c r="C112" s="12" t="s">
        <v>780</v>
      </c>
      <c r="D112" s="40" t="n">
        <v>13373</v>
      </c>
      <c r="E112" s="31" t="s">
        <v>98</v>
      </c>
      <c r="F112" s="12" t="str">
        <f aca="false">IFERROR(INDEX('Расчет Кплотн'!$C:$C,MATCH(E112,'Расчет Кплотн'!$A:$A,0)),"код не найден")</f>
        <v>Енбекшиказахский район</v>
      </c>
      <c r="G112" s="12" t="s">
        <v>503</v>
      </c>
      <c r="H112" s="12" t="s">
        <v>781</v>
      </c>
      <c r="I112" s="12" t="s">
        <v>782</v>
      </c>
    </row>
    <row r="113" customFormat="false" ht="15" hidden="false" customHeight="false" outlineLevel="0" collapsed="false">
      <c r="A113" s="12" t="n">
        <v>110</v>
      </c>
      <c r="B113" s="12" t="s">
        <v>751</v>
      </c>
      <c r="C113" s="12" t="s">
        <v>783</v>
      </c>
      <c r="D113" s="40" t="n">
        <v>12129</v>
      </c>
      <c r="E113" s="31" t="s">
        <v>103</v>
      </c>
      <c r="F113" s="12" t="str">
        <f aca="false">IFERROR(INDEX('Расчет Кплотн'!$C:$C,MATCH(E113,'Расчет Кплотн'!$A:$A,0)),"код не найден")</f>
        <v>Талгарский район</v>
      </c>
      <c r="G113" s="12" t="s">
        <v>503</v>
      </c>
      <c r="H113" s="12" t="s">
        <v>784</v>
      </c>
      <c r="I113" s="12" t="s">
        <v>785</v>
      </c>
    </row>
    <row r="114" customFormat="false" ht="15" hidden="false" customHeight="false" outlineLevel="0" collapsed="false">
      <c r="A114" s="12" t="n">
        <v>111</v>
      </c>
      <c r="B114" s="12" t="s">
        <v>751</v>
      </c>
      <c r="C114" s="12" t="s">
        <v>786</v>
      </c>
      <c r="D114" s="40" t="n">
        <v>22327</v>
      </c>
      <c r="E114" s="31" t="s">
        <v>105</v>
      </c>
      <c r="F114" s="12" t="str">
        <f aca="false">IFERROR(INDEX('Расчет Кплотн'!$C:$C,MATCH(E114,'Расчет Кплотн'!$A:$A,0)),"код не найден")</f>
        <v>Илийский район</v>
      </c>
      <c r="G114" s="12" t="s">
        <v>503</v>
      </c>
      <c r="H114" s="12" t="s">
        <v>787</v>
      </c>
      <c r="I114" s="12" t="s">
        <v>788</v>
      </c>
    </row>
    <row r="115" customFormat="false" ht="15" hidden="false" customHeight="false" outlineLevel="0" collapsed="false">
      <c r="A115" s="12" t="n">
        <v>112</v>
      </c>
      <c r="B115" s="12" t="s">
        <v>751</v>
      </c>
      <c r="C115" s="12" t="s">
        <v>789</v>
      </c>
      <c r="D115" s="40" t="n">
        <v>3488</v>
      </c>
      <c r="E115" s="31" t="s">
        <v>101</v>
      </c>
      <c r="F115" s="12" t="str">
        <f aca="false">IFERROR(INDEX('Расчет Кплотн'!$C:$C,MATCH(E115,'Расчет Кплотн'!$A:$A,0)),"код не найден")</f>
        <v>Карасайский район</v>
      </c>
      <c r="G115" s="12" t="s">
        <v>503</v>
      </c>
      <c r="H115" s="12" t="s">
        <v>790</v>
      </c>
      <c r="I115" s="12" t="s">
        <v>756</v>
      </c>
    </row>
    <row r="116" customFormat="false" ht="15" hidden="false" customHeight="false" outlineLevel="0" collapsed="false">
      <c r="A116" s="12" t="n">
        <v>113</v>
      </c>
      <c r="B116" s="12" t="s">
        <v>751</v>
      </c>
      <c r="C116" s="12" t="s">
        <v>791</v>
      </c>
      <c r="D116" s="40" t="n">
        <v>21513</v>
      </c>
      <c r="E116" s="31" t="s">
        <v>101</v>
      </c>
      <c r="F116" s="12" t="str">
        <f aca="false">IFERROR(INDEX('Расчет Кплотн'!$C:$C,MATCH(E116,'Расчет Кплотн'!$A:$A,0)),"код не найден")</f>
        <v>Карасайский район</v>
      </c>
      <c r="G116" s="12" t="s">
        <v>503</v>
      </c>
      <c r="H116" s="12" t="s">
        <v>792</v>
      </c>
      <c r="I116" s="12" t="s">
        <v>756</v>
      </c>
    </row>
    <row r="117" customFormat="false" ht="15" hidden="false" customHeight="false" outlineLevel="0" collapsed="false">
      <c r="A117" s="12" t="n">
        <v>114</v>
      </c>
      <c r="B117" s="12" t="s">
        <v>751</v>
      </c>
      <c r="C117" s="12" t="s">
        <v>793</v>
      </c>
      <c r="D117" s="40" t="n">
        <v>9239</v>
      </c>
      <c r="E117" s="31" t="s">
        <v>101</v>
      </c>
      <c r="F117" s="12" t="str">
        <f aca="false">IFERROR(INDEX('Расчет Кплотн'!$C:$C,MATCH(E117,'Расчет Кплотн'!$A:$A,0)),"код не найден")</f>
        <v>Карасайский район</v>
      </c>
      <c r="G117" s="12" t="s">
        <v>503</v>
      </c>
      <c r="H117" s="12"/>
      <c r="I117" s="12" t="s">
        <v>794</v>
      </c>
    </row>
    <row r="118" customFormat="false" ht="15" hidden="false" customHeight="false" outlineLevel="0" collapsed="false">
      <c r="A118" s="12" t="n">
        <v>115</v>
      </c>
      <c r="B118" s="12" t="s">
        <v>751</v>
      </c>
      <c r="C118" s="12" t="s">
        <v>795</v>
      </c>
      <c r="D118" s="40" t="n">
        <v>22222</v>
      </c>
      <c r="E118" s="31" t="s">
        <v>98</v>
      </c>
      <c r="F118" s="12" t="str">
        <f aca="false">IFERROR(INDEX('Расчет Кплотн'!$C:$C,MATCH(E118,'Расчет Кплотн'!$A:$A,0)),"код не найден")</f>
        <v>Енбекшиказахский район</v>
      </c>
      <c r="G118" s="12" t="s">
        <v>503</v>
      </c>
      <c r="H118" s="12" t="s">
        <v>796</v>
      </c>
      <c r="I118" s="12" t="s">
        <v>777</v>
      </c>
    </row>
    <row r="119" customFormat="false" ht="15" hidden="false" customHeight="false" outlineLevel="0" collapsed="false">
      <c r="A119" s="12" t="n">
        <v>116</v>
      </c>
      <c r="B119" s="12" t="s">
        <v>751</v>
      </c>
      <c r="C119" s="12" t="s">
        <v>797</v>
      </c>
      <c r="D119" s="40" t="n">
        <v>4388</v>
      </c>
      <c r="E119" s="31" t="s">
        <v>101</v>
      </c>
      <c r="F119" s="12" t="str">
        <f aca="false">IFERROR(INDEX('Расчет Кплотн'!$C:$C,MATCH(E119,'Расчет Кплотн'!$A:$A,0)),"код не найден")</f>
        <v>Карасайский район</v>
      </c>
      <c r="G119" s="12" t="s">
        <v>503</v>
      </c>
      <c r="H119" s="12" t="s">
        <v>798</v>
      </c>
      <c r="I119" s="12" t="s">
        <v>756</v>
      </c>
    </row>
    <row r="120" customFormat="false" ht="15" hidden="false" customHeight="false" outlineLevel="0" collapsed="false">
      <c r="A120" s="12" t="n">
        <v>117</v>
      </c>
      <c r="B120" s="12" t="s">
        <v>751</v>
      </c>
      <c r="C120" s="12" t="s">
        <v>799</v>
      </c>
      <c r="D120" s="40" t="n">
        <v>5899</v>
      </c>
      <c r="E120" s="31" t="s">
        <v>103</v>
      </c>
      <c r="F120" s="12" t="str">
        <f aca="false">IFERROR(INDEX('Расчет Кплотн'!$C:$C,MATCH(E120,'Расчет Кплотн'!$A:$A,0)),"код не найден")</f>
        <v>Талгарский район</v>
      </c>
      <c r="G120" s="12" t="s">
        <v>503</v>
      </c>
      <c r="H120" s="12" t="s">
        <v>800</v>
      </c>
      <c r="I120" s="12" t="s">
        <v>801</v>
      </c>
    </row>
    <row r="121" customFormat="false" ht="15" hidden="false" customHeight="false" outlineLevel="0" collapsed="false">
      <c r="A121" s="12" t="n">
        <v>118</v>
      </c>
      <c r="B121" s="12" t="s">
        <v>751</v>
      </c>
      <c r="C121" s="12" t="s">
        <v>802</v>
      </c>
      <c r="D121" s="40" t="n">
        <v>52505</v>
      </c>
      <c r="E121" s="31" t="s">
        <v>104</v>
      </c>
      <c r="F121" s="12" t="str">
        <f aca="false">IFERROR(INDEX('Расчет Кплотн'!$C:$C,MATCH(E121,'Расчет Кплотн'!$A:$A,0)),"код не найден")</f>
        <v>Уйгурский район</v>
      </c>
      <c r="G121" s="12" t="s">
        <v>503</v>
      </c>
      <c r="H121" s="12" t="s">
        <v>803</v>
      </c>
      <c r="I121" s="12" t="s">
        <v>804</v>
      </c>
    </row>
    <row r="122" customFormat="false" ht="15" hidden="false" customHeight="false" outlineLevel="0" collapsed="false">
      <c r="A122" s="12" t="n">
        <v>119</v>
      </c>
      <c r="B122" s="12" t="s">
        <v>751</v>
      </c>
      <c r="C122" s="12" t="s">
        <v>805</v>
      </c>
      <c r="D122" s="40" t="n">
        <v>79847</v>
      </c>
      <c r="E122" s="31" t="s">
        <v>95</v>
      </c>
      <c r="F122" s="12" t="str">
        <f aca="false">IFERROR(INDEX('Расчет Кплотн'!$C:$C,MATCH(E122,'Расчет Кплотн'!$A:$A,0)),"код не найден")</f>
        <v>Қонаев</v>
      </c>
      <c r="G122" s="12" t="s">
        <v>503</v>
      </c>
      <c r="H122" s="12" t="s">
        <v>806</v>
      </c>
      <c r="I122" s="12" t="s">
        <v>774</v>
      </c>
    </row>
    <row r="123" customFormat="false" ht="15" hidden="false" customHeight="false" outlineLevel="0" collapsed="false">
      <c r="A123" s="12" t="n">
        <v>120</v>
      </c>
      <c r="B123" s="12" t="s">
        <v>751</v>
      </c>
      <c r="C123" s="12" t="s">
        <v>807</v>
      </c>
      <c r="D123" s="40" t="n">
        <v>23512</v>
      </c>
      <c r="E123" s="31" t="s">
        <v>97</v>
      </c>
      <c r="F123" s="12" t="str">
        <f aca="false">IFERROR(INDEX('Расчет Кплотн'!$C:$C,MATCH(E123,'Расчет Кплотн'!$A:$A,0)),"код не найден")</f>
        <v>Балхашский район</v>
      </c>
      <c r="G123" s="12" t="s">
        <v>503</v>
      </c>
      <c r="H123" s="12" t="s">
        <v>808</v>
      </c>
      <c r="I123" s="12" t="s">
        <v>809</v>
      </c>
    </row>
    <row r="124" customFormat="false" ht="15" hidden="false" customHeight="false" outlineLevel="0" collapsed="false">
      <c r="A124" s="12" t="n">
        <v>121</v>
      </c>
      <c r="B124" s="12" t="s">
        <v>751</v>
      </c>
      <c r="C124" s="12" t="s">
        <v>810</v>
      </c>
      <c r="D124" s="40" t="n">
        <v>42183</v>
      </c>
      <c r="E124" s="31" t="s">
        <v>105</v>
      </c>
      <c r="F124" s="12" t="str">
        <f aca="false">IFERROR(INDEX('Расчет Кплотн'!$C:$C,MATCH(E124,'Расчет Кплотн'!$A:$A,0)),"код не найден")</f>
        <v>Илийский район</v>
      </c>
      <c r="G124" s="12" t="s">
        <v>503</v>
      </c>
      <c r="H124" s="12" t="s">
        <v>811</v>
      </c>
      <c r="I124" s="12" t="s">
        <v>788</v>
      </c>
    </row>
    <row r="125" customFormat="false" ht="15" hidden="false" customHeight="false" outlineLevel="0" collapsed="false">
      <c r="A125" s="12" t="n">
        <v>122</v>
      </c>
      <c r="B125" s="12" t="s">
        <v>751</v>
      </c>
      <c r="C125" s="12" t="s">
        <v>812</v>
      </c>
      <c r="D125" s="40" t="n">
        <v>214034</v>
      </c>
      <c r="E125" s="31" t="s">
        <v>103</v>
      </c>
      <c r="F125" s="12" t="str">
        <f aca="false">IFERROR(INDEX('Расчет Кплотн'!$C:$C,MATCH(E125,'Расчет Кплотн'!$A:$A,0)),"код не найден")</f>
        <v>Талгарский район</v>
      </c>
      <c r="G125" s="12" t="s">
        <v>503</v>
      </c>
      <c r="H125" s="12" t="s">
        <v>813</v>
      </c>
      <c r="I125" s="12" t="s">
        <v>785</v>
      </c>
    </row>
    <row r="126" customFormat="false" ht="15" hidden="false" customHeight="false" outlineLevel="0" collapsed="false">
      <c r="A126" s="12" t="n">
        <v>123</v>
      </c>
      <c r="B126" s="12" t="s">
        <v>751</v>
      </c>
      <c r="C126" s="12" t="s">
        <v>814</v>
      </c>
      <c r="D126" s="40" t="n">
        <v>206731</v>
      </c>
      <c r="E126" s="31" t="s">
        <v>105</v>
      </c>
      <c r="F126" s="12" t="str">
        <f aca="false">IFERROR(INDEX('Расчет Кплотн'!$C:$C,MATCH(E126,'Расчет Кплотн'!$A:$A,0)),"код не найден")</f>
        <v>Илийский район</v>
      </c>
      <c r="G126" s="12" t="s">
        <v>503</v>
      </c>
      <c r="H126" s="12" t="s">
        <v>815</v>
      </c>
      <c r="I126" s="12" t="s">
        <v>816</v>
      </c>
    </row>
    <row r="127" customFormat="false" ht="15" hidden="false" customHeight="false" outlineLevel="0" collapsed="false">
      <c r="A127" s="12" t="n">
        <v>124</v>
      </c>
      <c r="B127" s="12" t="s">
        <v>751</v>
      </c>
      <c r="C127" s="12" t="s">
        <v>817</v>
      </c>
      <c r="D127" s="40" t="n">
        <v>161100</v>
      </c>
      <c r="E127" s="31" t="s">
        <v>98</v>
      </c>
      <c r="F127" s="12" t="str">
        <f aca="false">IFERROR(INDEX('Расчет Кплотн'!$C:$C,MATCH(E127,'Расчет Кплотн'!$A:$A,0)),"код не найден")</f>
        <v>Енбекшиказахский район</v>
      </c>
      <c r="G127" s="12" t="s">
        <v>503</v>
      </c>
      <c r="H127" s="12" t="s">
        <v>818</v>
      </c>
      <c r="I127" s="12" t="s">
        <v>777</v>
      </c>
    </row>
    <row r="128" customFormat="false" ht="15" hidden="false" customHeight="false" outlineLevel="0" collapsed="false">
      <c r="A128" s="12" t="n">
        <v>125</v>
      </c>
      <c r="B128" s="12" t="s">
        <v>751</v>
      </c>
      <c r="C128" s="12" t="s">
        <v>819</v>
      </c>
      <c r="D128" s="40" t="n">
        <v>76993</v>
      </c>
      <c r="E128" s="31" t="s">
        <v>98</v>
      </c>
      <c r="F128" s="12" t="str">
        <f aca="false">IFERROR(INDEX('Расчет Кплотн'!$C:$C,MATCH(E128,'Расчет Кплотн'!$A:$A,0)),"код не найден")</f>
        <v>Енбекшиказахский район</v>
      </c>
      <c r="G128" s="12" t="s">
        <v>503</v>
      </c>
      <c r="H128" s="12" t="s">
        <v>820</v>
      </c>
      <c r="I128" s="12" t="s">
        <v>821</v>
      </c>
    </row>
    <row r="129" customFormat="false" ht="15" hidden="false" customHeight="false" outlineLevel="0" collapsed="false">
      <c r="A129" s="12" t="n">
        <v>126</v>
      </c>
      <c r="B129" s="12" t="s">
        <v>751</v>
      </c>
      <c r="C129" s="12" t="s">
        <v>822</v>
      </c>
      <c r="D129" s="40" t="n">
        <v>286748</v>
      </c>
      <c r="E129" s="31" t="s">
        <v>101</v>
      </c>
      <c r="F129" s="12" t="str">
        <f aca="false">IFERROR(INDEX('Расчет Кплотн'!$C:$C,MATCH(E129,'Расчет Кплотн'!$A:$A,0)),"код не найден")</f>
        <v>Карасайский район</v>
      </c>
      <c r="G129" s="12" t="s">
        <v>503</v>
      </c>
      <c r="H129" s="12" t="s">
        <v>823</v>
      </c>
      <c r="I129" s="12" t="s">
        <v>756</v>
      </c>
    </row>
    <row r="130" customFormat="false" ht="15" hidden="false" customHeight="false" outlineLevel="0" collapsed="false">
      <c r="A130" s="12" t="n">
        <v>127</v>
      </c>
      <c r="B130" s="12" t="s">
        <v>751</v>
      </c>
      <c r="C130" s="12" t="s">
        <v>824</v>
      </c>
      <c r="D130" s="40" t="n">
        <v>22505</v>
      </c>
      <c r="E130" s="47" t="s">
        <v>100</v>
      </c>
      <c r="F130" s="12" t="str">
        <f aca="false">IFERROR(INDEX('Расчет Кплотн'!$C:$C,MATCH(E130,'Расчет Кплотн'!$A:$A,0)),"код не найден")</f>
        <v>Кегенский район</v>
      </c>
      <c r="G130" s="12" t="s">
        <v>827</v>
      </c>
      <c r="H130" s="12" t="s">
        <v>825</v>
      </c>
      <c r="I130" s="12" t="s">
        <v>826</v>
      </c>
    </row>
    <row r="131" customFormat="false" ht="15" hidden="false" customHeight="false" outlineLevel="0" collapsed="false">
      <c r="A131" s="12" t="n">
        <v>128</v>
      </c>
      <c r="B131" s="12" t="s">
        <v>751</v>
      </c>
      <c r="C131" s="12" t="s">
        <v>828</v>
      </c>
      <c r="D131" s="40" t="n">
        <v>25604</v>
      </c>
      <c r="E131" s="47" t="s">
        <v>102</v>
      </c>
      <c r="F131" s="12" t="str">
        <f aca="false">IFERROR(INDEX('Расчет Кплотн'!$C:$C,MATCH(E131,'Расчет Кплотн'!$A:$A,0)),"код не найден")</f>
        <v>Райымбекский район</v>
      </c>
      <c r="G131" s="12" t="s">
        <v>831</v>
      </c>
      <c r="H131" s="12" t="s">
        <v>829</v>
      </c>
      <c r="I131" s="12" t="s">
        <v>830</v>
      </c>
    </row>
    <row r="132" customFormat="false" ht="15" hidden="false" customHeight="false" outlineLevel="0" collapsed="false">
      <c r="A132" s="12" t="n">
        <v>129</v>
      </c>
      <c r="B132" s="12" t="s">
        <v>751</v>
      </c>
      <c r="C132" s="12" t="s">
        <v>832</v>
      </c>
      <c r="D132" s="40" t="n">
        <v>117967</v>
      </c>
      <c r="E132" s="31" t="s">
        <v>99</v>
      </c>
      <c r="F132" s="12" t="str">
        <f aca="false">IFERROR(INDEX('Расчет Кплотн'!$C:$C,MATCH(E132,'Расчет Кплотн'!$A:$A,0)),"код не найден")</f>
        <v>Жамбылский район</v>
      </c>
      <c r="G132" s="12" t="s">
        <v>503</v>
      </c>
      <c r="H132" s="12" t="s">
        <v>833</v>
      </c>
      <c r="I132" s="12" t="s">
        <v>753</v>
      </c>
    </row>
    <row r="133" customFormat="false" ht="15" hidden="false" customHeight="false" outlineLevel="0" collapsed="false">
      <c r="A133" s="12" t="n">
        <v>130</v>
      </c>
      <c r="B133" s="12" t="s">
        <v>751</v>
      </c>
      <c r="C133" s="12" t="s">
        <v>834</v>
      </c>
      <c r="D133" s="40" t="n">
        <v>10962</v>
      </c>
      <c r="E133" s="31" t="s">
        <v>105</v>
      </c>
      <c r="F133" s="12" t="str">
        <f aca="false">IFERROR(INDEX('Расчет Кплотн'!$C:$C,MATCH(E133,'Расчет Кплотн'!$A:$A,0)),"код не найден")</f>
        <v>Илийский район</v>
      </c>
      <c r="G133" s="12" t="s">
        <v>503</v>
      </c>
      <c r="H133" s="12" t="s">
        <v>835</v>
      </c>
      <c r="I133" s="12" t="s">
        <v>836</v>
      </c>
    </row>
    <row r="134" customFormat="false" ht="15" hidden="false" customHeight="false" outlineLevel="0" collapsed="false">
      <c r="A134" s="12" t="n">
        <v>131</v>
      </c>
      <c r="B134" s="12" t="s">
        <v>751</v>
      </c>
      <c r="C134" s="12" t="s">
        <v>837</v>
      </c>
      <c r="D134" s="40" t="n">
        <v>41958</v>
      </c>
      <c r="E134" s="31" t="s">
        <v>99</v>
      </c>
      <c r="F134" s="12" t="str">
        <f aca="false">IFERROR(INDEX('Расчет Кплотн'!$C:$C,MATCH(E134,'Расчет Кплотн'!$A:$A,0)),"код не найден")</f>
        <v>Жамбылский район</v>
      </c>
      <c r="G134" s="12" t="s">
        <v>503</v>
      </c>
      <c r="H134" s="12" t="s">
        <v>838</v>
      </c>
      <c r="I134" s="12" t="s">
        <v>839</v>
      </c>
    </row>
    <row r="135" customFormat="false" ht="15" hidden="false" customHeight="false" outlineLevel="0" collapsed="false">
      <c r="A135" s="12" t="n">
        <v>132</v>
      </c>
      <c r="B135" s="12" t="s">
        <v>840</v>
      </c>
      <c r="C135" s="12" t="s">
        <v>841</v>
      </c>
      <c r="D135" s="40" t="n">
        <v>4984</v>
      </c>
      <c r="E135" s="31" t="s">
        <v>260</v>
      </c>
      <c r="F135" s="12" t="str">
        <f aca="false">IFERROR(INDEX('Расчет Кплотн'!$C:$C,MATCH(E135,'Расчет Кплотн'!$A:$A,0)),"код не найден")</f>
        <v>г. Алматы</v>
      </c>
      <c r="G135" s="12" t="s">
        <v>503</v>
      </c>
      <c r="H135" s="12" t="s">
        <v>842</v>
      </c>
      <c r="I135" s="12" t="s">
        <v>843</v>
      </c>
    </row>
    <row r="136" customFormat="false" ht="15" hidden="false" customHeight="false" outlineLevel="0" collapsed="false">
      <c r="A136" s="12" t="n">
        <v>133</v>
      </c>
      <c r="B136" s="12" t="s">
        <v>840</v>
      </c>
      <c r="C136" s="12" t="s">
        <v>844</v>
      </c>
      <c r="D136" s="40" t="n">
        <v>6938</v>
      </c>
      <c r="E136" s="31" t="s">
        <v>260</v>
      </c>
      <c r="F136" s="12" t="str">
        <f aca="false">IFERROR(INDEX('Расчет Кплотн'!$C:$C,MATCH(E136,'Расчет Кплотн'!$A:$A,0)),"код не найден")</f>
        <v>г. Алматы</v>
      </c>
      <c r="G136" s="12" t="s">
        <v>503</v>
      </c>
      <c r="H136" s="12" t="s">
        <v>845</v>
      </c>
      <c r="I136" s="12" t="s">
        <v>846</v>
      </c>
    </row>
    <row r="137" customFormat="false" ht="15" hidden="false" customHeight="false" outlineLevel="0" collapsed="false">
      <c r="A137" s="12" t="n">
        <v>134</v>
      </c>
      <c r="B137" s="12" t="s">
        <v>840</v>
      </c>
      <c r="C137" s="12" t="s">
        <v>847</v>
      </c>
      <c r="D137" s="40" t="n">
        <v>10090</v>
      </c>
      <c r="E137" s="31" t="s">
        <v>260</v>
      </c>
      <c r="F137" s="12" t="str">
        <f aca="false">IFERROR(INDEX('Расчет Кплотн'!$C:$C,MATCH(E137,'Расчет Кплотн'!$A:$A,0)),"код не найден")</f>
        <v>г. Алматы</v>
      </c>
      <c r="G137" s="12" t="s">
        <v>503</v>
      </c>
      <c r="H137" s="12" t="s">
        <v>848</v>
      </c>
      <c r="I137" s="12" t="s">
        <v>846</v>
      </c>
    </row>
    <row r="138" customFormat="false" ht="15" hidden="false" customHeight="false" outlineLevel="0" collapsed="false">
      <c r="A138" s="12" t="n">
        <v>135</v>
      </c>
      <c r="B138" s="12" t="s">
        <v>840</v>
      </c>
      <c r="C138" s="12" t="s">
        <v>849</v>
      </c>
      <c r="D138" s="40" t="n">
        <v>13622</v>
      </c>
      <c r="E138" s="31" t="s">
        <v>260</v>
      </c>
      <c r="F138" s="12" t="str">
        <f aca="false">IFERROR(INDEX('Расчет Кплотн'!$C:$C,MATCH(E138,'Расчет Кплотн'!$A:$A,0)),"код не найден")</f>
        <v>г. Алматы</v>
      </c>
      <c r="G138" s="12" t="s">
        <v>503</v>
      </c>
      <c r="H138" s="12" t="s">
        <v>850</v>
      </c>
      <c r="I138" s="12" t="s">
        <v>846</v>
      </c>
    </row>
    <row r="139" customFormat="false" ht="15" hidden="false" customHeight="false" outlineLevel="0" collapsed="false">
      <c r="A139" s="12" t="n">
        <v>136</v>
      </c>
      <c r="B139" s="12" t="s">
        <v>840</v>
      </c>
      <c r="C139" s="12" t="s">
        <v>851</v>
      </c>
      <c r="D139" s="40" t="n">
        <v>24177</v>
      </c>
      <c r="E139" s="31" t="s">
        <v>260</v>
      </c>
      <c r="F139" s="12" t="str">
        <f aca="false">IFERROR(INDEX('Расчет Кплотн'!$C:$C,MATCH(E139,'Расчет Кплотн'!$A:$A,0)),"код не найден")</f>
        <v>г. Алматы</v>
      </c>
      <c r="G139" s="12" t="s">
        <v>503</v>
      </c>
      <c r="H139" s="12" t="s">
        <v>852</v>
      </c>
      <c r="I139" s="12" t="s">
        <v>853</v>
      </c>
    </row>
    <row r="140" customFormat="false" ht="15" hidden="false" customHeight="false" outlineLevel="0" collapsed="false">
      <c r="A140" s="12" t="n">
        <v>137</v>
      </c>
      <c r="B140" s="12" t="s">
        <v>840</v>
      </c>
      <c r="C140" s="12" t="s">
        <v>854</v>
      </c>
      <c r="D140" s="40" t="n">
        <v>11501</v>
      </c>
      <c r="E140" s="31" t="s">
        <v>260</v>
      </c>
      <c r="F140" s="12" t="str">
        <f aca="false">IFERROR(INDEX('Расчет Кплотн'!$C:$C,MATCH(E140,'Расчет Кплотн'!$A:$A,0)),"код не найден")</f>
        <v>г. Алматы</v>
      </c>
      <c r="G140" s="12" t="s">
        <v>503</v>
      </c>
      <c r="H140" s="12" t="s">
        <v>855</v>
      </c>
      <c r="I140" s="12" t="s">
        <v>856</v>
      </c>
    </row>
    <row r="141" customFormat="false" ht="15" hidden="false" customHeight="false" outlineLevel="0" collapsed="false">
      <c r="A141" s="12" t="n">
        <v>138</v>
      </c>
      <c r="B141" s="12" t="s">
        <v>840</v>
      </c>
      <c r="C141" s="12" t="s">
        <v>760</v>
      </c>
      <c r="D141" s="40" t="n">
        <v>8553</v>
      </c>
      <c r="E141" s="31" t="s">
        <v>260</v>
      </c>
      <c r="F141" s="12" t="str">
        <f aca="false">IFERROR(INDEX('Расчет Кплотн'!$C:$C,MATCH(E141,'Расчет Кплотн'!$A:$A,0)),"код не найден")</f>
        <v>г. Алматы</v>
      </c>
      <c r="G141" s="12" t="s">
        <v>503</v>
      </c>
      <c r="H141" s="12"/>
      <c r="I141" s="12" t="s">
        <v>846</v>
      </c>
    </row>
    <row r="142" customFormat="false" ht="15" hidden="false" customHeight="false" outlineLevel="0" collapsed="false">
      <c r="A142" s="12" t="n">
        <v>139</v>
      </c>
      <c r="B142" s="12" t="s">
        <v>840</v>
      </c>
      <c r="C142" s="12" t="s">
        <v>857</v>
      </c>
      <c r="D142" s="40" t="n">
        <v>19645</v>
      </c>
      <c r="E142" s="31" t="s">
        <v>260</v>
      </c>
      <c r="F142" s="12" t="str">
        <f aca="false">IFERROR(INDEX('Расчет Кплотн'!$C:$C,MATCH(E142,'Расчет Кплотн'!$A:$A,0)),"код не найден")</f>
        <v>г. Алматы</v>
      </c>
      <c r="G142" s="12" t="s">
        <v>503</v>
      </c>
      <c r="H142" s="12" t="s">
        <v>858</v>
      </c>
      <c r="I142" s="12" t="s">
        <v>859</v>
      </c>
    </row>
    <row r="143" customFormat="false" ht="15" hidden="false" customHeight="false" outlineLevel="0" collapsed="false">
      <c r="A143" s="12" t="n">
        <v>140</v>
      </c>
      <c r="B143" s="12" t="s">
        <v>840</v>
      </c>
      <c r="C143" s="12" t="s">
        <v>860</v>
      </c>
      <c r="D143" s="40" t="n">
        <v>10355</v>
      </c>
      <c r="E143" s="31" t="s">
        <v>260</v>
      </c>
      <c r="F143" s="12" t="str">
        <f aca="false">IFERROR(INDEX('Расчет Кплотн'!$C:$C,MATCH(E143,'Расчет Кплотн'!$A:$A,0)),"код не найден")</f>
        <v>г. Алматы</v>
      </c>
      <c r="G143" s="12" t="s">
        <v>503</v>
      </c>
      <c r="H143" s="12" t="s">
        <v>861</v>
      </c>
      <c r="I143" s="12" t="s">
        <v>859</v>
      </c>
    </row>
    <row r="144" customFormat="false" ht="15" hidden="false" customHeight="false" outlineLevel="0" collapsed="false">
      <c r="A144" s="12" t="n">
        <v>141</v>
      </c>
      <c r="B144" s="12" t="s">
        <v>840</v>
      </c>
      <c r="C144" s="12" t="s">
        <v>862</v>
      </c>
      <c r="D144" s="40" t="n">
        <v>35500</v>
      </c>
      <c r="E144" s="31" t="s">
        <v>260</v>
      </c>
      <c r="F144" s="12" t="str">
        <f aca="false">IFERROR(INDEX('Расчет Кплотн'!$C:$C,MATCH(E144,'Расчет Кплотн'!$A:$A,0)),"код не найден")</f>
        <v>г. Алматы</v>
      </c>
      <c r="G144" s="12" t="s">
        <v>503</v>
      </c>
      <c r="H144" s="12" t="s">
        <v>863</v>
      </c>
      <c r="I144" s="12" t="s">
        <v>864</v>
      </c>
    </row>
    <row r="145" customFormat="false" ht="15" hidden="false" customHeight="false" outlineLevel="0" collapsed="false">
      <c r="A145" s="12" t="n">
        <v>142</v>
      </c>
      <c r="B145" s="12" t="s">
        <v>840</v>
      </c>
      <c r="C145" s="12" t="s">
        <v>925</v>
      </c>
      <c r="D145" s="40" t="n">
        <v>15615</v>
      </c>
      <c r="E145" s="31" t="s">
        <v>260</v>
      </c>
      <c r="F145" s="12" t="str">
        <f aca="false">IFERROR(INDEX('Расчет Кплотн'!$C:$C,MATCH(E145,'Расчет Кплотн'!$A:$A,0)),"код не найден")</f>
        <v>г. Алматы</v>
      </c>
      <c r="G145" s="12" t="s">
        <v>503</v>
      </c>
      <c r="H145" s="12" t="s">
        <v>926</v>
      </c>
      <c r="I145" s="12" t="s">
        <v>846</v>
      </c>
    </row>
    <row r="146" customFormat="false" ht="15" hidden="false" customHeight="false" outlineLevel="0" collapsed="false">
      <c r="A146" s="12" t="n">
        <v>143</v>
      </c>
      <c r="B146" s="12" t="s">
        <v>840</v>
      </c>
      <c r="C146" s="12" t="s">
        <v>865</v>
      </c>
      <c r="D146" s="40" t="n">
        <v>23793</v>
      </c>
      <c r="E146" s="31" t="s">
        <v>260</v>
      </c>
      <c r="F146" s="12" t="str">
        <f aca="false">IFERROR(INDEX('Расчет Кплотн'!$C:$C,MATCH(E146,'Расчет Кплотн'!$A:$A,0)),"код не найден")</f>
        <v>г. Алматы</v>
      </c>
      <c r="G146" s="12" t="s">
        <v>503</v>
      </c>
      <c r="H146" s="12" t="s">
        <v>866</v>
      </c>
      <c r="I146" s="12" t="s">
        <v>846</v>
      </c>
    </row>
    <row r="147" customFormat="false" ht="15" hidden="false" customHeight="false" outlineLevel="0" collapsed="false">
      <c r="A147" s="12" t="n">
        <v>144</v>
      </c>
      <c r="B147" s="12" t="s">
        <v>840</v>
      </c>
      <c r="C147" s="12" t="s">
        <v>869</v>
      </c>
      <c r="D147" s="40" t="n">
        <v>3017</v>
      </c>
      <c r="E147" s="31" t="s">
        <v>260</v>
      </c>
      <c r="F147" s="12" t="str">
        <f aca="false">IFERROR(INDEX('Расчет Кплотн'!$C:$C,MATCH(E147,'Расчет Кплотн'!$A:$A,0)),"код не найден")</f>
        <v>г. Алматы</v>
      </c>
      <c r="G147" s="12" t="s">
        <v>503</v>
      </c>
      <c r="H147" s="12" t="s">
        <v>870</v>
      </c>
      <c r="I147" s="12" t="s">
        <v>864</v>
      </c>
    </row>
    <row r="148" customFormat="false" ht="15" hidden="false" customHeight="false" outlineLevel="0" collapsed="false">
      <c r="A148" s="12" t="n">
        <v>145</v>
      </c>
      <c r="B148" s="12" t="s">
        <v>840</v>
      </c>
      <c r="C148" s="12" t="s">
        <v>871</v>
      </c>
      <c r="D148" s="40" t="n">
        <v>18684</v>
      </c>
      <c r="E148" s="31" t="s">
        <v>260</v>
      </c>
      <c r="F148" s="12" t="str">
        <f aca="false">IFERROR(INDEX('Расчет Кплотн'!$C:$C,MATCH(E148,'Расчет Кплотн'!$A:$A,0)),"код не найден")</f>
        <v>г. Алматы</v>
      </c>
      <c r="G148" s="12" t="s">
        <v>503</v>
      </c>
      <c r="H148" s="12" t="s">
        <v>872</v>
      </c>
      <c r="I148" s="12" t="s">
        <v>846</v>
      </c>
    </row>
    <row r="149" customFormat="false" ht="15" hidden="false" customHeight="false" outlineLevel="0" collapsed="false">
      <c r="A149" s="12" t="n">
        <v>146</v>
      </c>
      <c r="B149" s="12" t="s">
        <v>840</v>
      </c>
      <c r="C149" s="12" t="s">
        <v>873</v>
      </c>
      <c r="D149" s="40" t="n">
        <v>77532</v>
      </c>
      <c r="E149" s="47" t="s">
        <v>260</v>
      </c>
      <c r="F149" s="12" t="str">
        <f aca="false">IFERROR(INDEX('Расчет Кплотн'!$C:$C,MATCH(E149,'Расчет Кплотн'!$A:$A,0)),"код не найден")</f>
        <v>г. Алматы</v>
      </c>
      <c r="G149" s="12" t="s">
        <v>876</v>
      </c>
      <c r="H149" s="12" t="s">
        <v>874</v>
      </c>
      <c r="I149" s="12" t="s">
        <v>875</v>
      </c>
    </row>
    <row r="150" customFormat="false" ht="15" hidden="false" customHeight="false" outlineLevel="0" collapsed="false">
      <c r="A150" s="12" t="n">
        <v>147</v>
      </c>
      <c r="B150" s="12" t="s">
        <v>840</v>
      </c>
      <c r="C150" s="12" t="s">
        <v>877</v>
      </c>
      <c r="D150" s="40" t="n">
        <v>13754</v>
      </c>
      <c r="E150" s="31" t="s">
        <v>260</v>
      </c>
      <c r="F150" s="12" t="str">
        <f aca="false">IFERROR(INDEX('Расчет Кплотн'!$C:$C,MATCH(E150,'Расчет Кплотн'!$A:$A,0)),"код не найден")</f>
        <v>г. Алматы</v>
      </c>
      <c r="G150" s="12" t="s">
        <v>503</v>
      </c>
      <c r="H150" s="12" t="s">
        <v>878</v>
      </c>
      <c r="I150" s="12" t="s">
        <v>859</v>
      </c>
    </row>
    <row r="151" customFormat="false" ht="15" hidden="false" customHeight="false" outlineLevel="0" collapsed="false">
      <c r="A151" s="12" t="n">
        <v>148</v>
      </c>
      <c r="B151" s="12" t="s">
        <v>840</v>
      </c>
      <c r="C151" s="12" t="s">
        <v>879</v>
      </c>
      <c r="D151" s="40" t="n">
        <v>6046</v>
      </c>
      <c r="E151" s="31" t="s">
        <v>260</v>
      </c>
      <c r="F151" s="12" t="str">
        <f aca="false">IFERROR(INDEX('Расчет Кплотн'!$C:$C,MATCH(E151,'Расчет Кплотн'!$A:$A,0)),"код не найден")</f>
        <v>г. Алматы</v>
      </c>
      <c r="G151" s="12" t="s">
        <v>503</v>
      </c>
      <c r="H151" s="12" t="s">
        <v>880</v>
      </c>
      <c r="I151" s="12" t="s">
        <v>846</v>
      </c>
    </row>
    <row r="152" customFormat="false" ht="15" hidden="false" customHeight="false" outlineLevel="0" collapsed="false">
      <c r="A152" s="12" t="n">
        <v>149</v>
      </c>
      <c r="B152" s="12" t="s">
        <v>840</v>
      </c>
      <c r="C152" s="12" t="s">
        <v>881</v>
      </c>
      <c r="D152" s="40" t="n">
        <v>11545</v>
      </c>
      <c r="E152" s="31" t="s">
        <v>260</v>
      </c>
      <c r="F152" s="12" t="str">
        <f aca="false">IFERROR(INDEX('Расчет Кплотн'!$C:$C,MATCH(E152,'Расчет Кплотн'!$A:$A,0)),"код не найден")</f>
        <v>г. Алматы</v>
      </c>
      <c r="G152" s="12" t="s">
        <v>503</v>
      </c>
      <c r="H152" s="12" t="s">
        <v>882</v>
      </c>
      <c r="I152" s="12" t="s">
        <v>883</v>
      </c>
    </row>
    <row r="153" customFormat="false" ht="15" hidden="false" customHeight="false" outlineLevel="0" collapsed="false">
      <c r="A153" s="12" t="n">
        <v>150</v>
      </c>
      <c r="B153" s="12" t="s">
        <v>840</v>
      </c>
      <c r="C153" s="12" t="s">
        <v>884</v>
      </c>
      <c r="D153" s="40" t="n">
        <v>18708</v>
      </c>
      <c r="E153" s="31" t="s">
        <v>260</v>
      </c>
      <c r="F153" s="12" t="str">
        <f aca="false">IFERROR(INDEX('Расчет Кплотн'!$C:$C,MATCH(E153,'Расчет Кплотн'!$A:$A,0)),"код не найден")</f>
        <v>г. Алматы</v>
      </c>
      <c r="G153" s="12" t="s">
        <v>503</v>
      </c>
      <c r="H153" s="12" t="s">
        <v>885</v>
      </c>
      <c r="I153" s="12" t="s">
        <v>886</v>
      </c>
    </row>
    <row r="154" customFormat="false" ht="15" hidden="false" customHeight="false" outlineLevel="0" collapsed="false">
      <c r="A154" s="12" t="n">
        <v>151</v>
      </c>
      <c r="B154" s="12" t="s">
        <v>840</v>
      </c>
      <c r="C154" s="12" t="s">
        <v>887</v>
      </c>
      <c r="D154" s="40" t="n">
        <v>14209</v>
      </c>
      <c r="E154" s="31" t="s">
        <v>260</v>
      </c>
      <c r="F154" s="12" t="str">
        <f aca="false">IFERROR(INDEX('Расчет Кплотн'!$C:$C,MATCH(E154,'Расчет Кплотн'!$A:$A,0)),"код не найден")</f>
        <v>г. Алматы</v>
      </c>
      <c r="G154" s="12" t="s">
        <v>503</v>
      </c>
      <c r="H154" s="12" t="s">
        <v>888</v>
      </c>
      <c r="I154" s="12" t="s">
        <v>859</v>
      </c>
    </row>
    <row r="155" customFormat="false" ht="15" hidden="false" customHeight="false" outlineLevel="0" collapsed="false">
      <c r="A155" s="12" t="n">
        <v>152</v>
      </c>
      <c r="B155" s="12" t="s">
        <v>840</v>
      </c>
      <c r="C155" s="12" t="s">
        <v>889</v>
      </c>
      <c r="D155" s="40" t="n">
        <v>25484</v>
      </c>
      <c r="E155" s="31" t="s">
        <v>260</v>
      </c>
      <c r="F155" s="12" t="str">
        <f aca="false">IFERROR(INDEX('Расчет Кплотн'!$C:$C,MATCH(E155,'Расчет Кплотн'!$A:$A,0)),"код не найден")</f>
        <v>г. Алматы</v>
      </c>
      <c r="G155" s="12" t="s">
        <v>503</v>
      </c>
      <c r="H155" s="12" t="s">
        <v>890</v>
      </c>
      <c r="I155" s="12" t="s">
        <v>859</v>
      </c>
    </row>
    <row r="156" customFormat="false" ht="15" hidden="false" customHeight="false" outlineLevel="0" collapsed="false">
      <c r="A156" s="12" t="n">
        <v>153</v>
      </c>
      <c r="B156" s="12" t="s">
        <v>840</v>
      </c>
      <c r="C156" s="12" t="s">
        <v>891</v>
      </c>
      <c r="D156" s="40" t="n">
        <v>40958</v>
      </c>
      <c r="E156" s="31" t="s">
        <v>260</v>
      </c>
      <c r="F156" s="12" t="str">
        <f aca="false">IFERROR(INDEX('Расчет Кплотн'!$C:$C,MATCH(E156,'Расчет Кплотн'!$A:$A,0)),"код не найден")</f>
        <v>г. Алматы</v>
      </c>
      <c r="G156" s="12" t="s">
        <v>503</v>
      </c>
      <c r="H156" s="12" t="s">
        <v>892</v>
      </c>
      <c r="I156" s="12" t="s">
        <v>859</v>
      </c>
    </row>
    <row r="157" customFormat="false" ht="15" hidden="false" customHeight="false" outlineLevel="0" collapsed="false">
      <c r="A157" s="12" t="n">
        <v>154</v>
      </c>
      <c r="B157" s="12" t="s">
        <v>840</v>
      </c>
      <c r="C157" s="12" t="s">
        <v>893</v>
      </c>
      <c r="D157" s="40" t="n">
        <v>17730</v>
      </c>
      <c r="E157" s="31" t="s">
        <v>260</v>
      </c>
      <c r="F157" s="12" t="str">
        <f aca="false">IFERROR(INDEX('Расчет Кплотн'!$C:$C,MATCH(E157,'Расчет Кплотн'!$A:$A,0)),"код не найден")</f>
        <v>г. Алматы</v>
      </c>
      <c r="G157" s="12" t="s">
        <v>503</v>
      </c>
      <c r="H157" s="12" t="s">
        <v>894</v>
      </c>
      <c r="I157" s="12" t="s">
        <v>859</v>
      </c>
    </row>
    <row r="158" customFormat="false" ht="15" hidden="false" customHeight="false" outlineLevel="0" collapsed="false">
      <c r="A158" s="12" t="n">
        <v>155</v>
      </c>
      <c r="B158" s="12" t="s">
        <v>840</v>
      </c>
      <c r="C158" s="12" t="s">
        <v>895</v>
      </c>
      <c r="D158" s="40" t="n">
        <v>5065</v>
      </c>
      <c r="E158" s="31" t="s">
        <v>260</v>
      </c>
      <c r="F158" s="12" t="str">
        <f aca="false">IFERROR(INDEX('Расчет Кплотн'!$C:$C,MATCH(E158,'Расчет Кплотн'!$A:$A,0)),"код не найден")</f>
        <v>г. Алматы</v>
      </c>
      <c r="G158" s="12" t="s">
        <v>503</v>
      </c>
      <c r="H158" s="12" t="s">
        <v>896</v>
      </c>
      <c r="I158" s="12" t="s">
        <v>859</v>
      </c>
    </row>
    <row r="159" customFormat="false" ht="15" hidden="false" customHeight="false" outlineLevel="0" collapsed="false">
      <c r="A159" s="12" t="n">
        <v>156</v>
      </c>
      <c r="B159" s="12" t="s">
        <v>840</v>
      </c>
      <c r="C159" s="12" t="s">
        <v>897</v>
      </c>
      <c r="D159" s="40" t="n">
        <v>5108</v>
      </c>
      <c r="E159" s="31" t="s">
        <v>260</v>
      </c>
      <c r="F159" s="12" t="str">
        <f aca="false">IFERROR(INDEX('Расчет Кплотн'!$C:$C,MATCH(E159,'Расчет Кплотн'!$A:$A,0)),"код не найден")</f>
        <v>г. Алматы</v>
      </c>
      <c r="G159" s="12" t="s">
        <v>503</v>
      </c>
      <c r="H159" s="12" t="s">
        <v>898</v>
      </c>
      <c r="I159" s="12" t="s">
        <v>853</v>
      </c>
    </row>
    <row r="160" customFormat="false" ht="15" hidden="false" customHeight="false" outlineLevel="0" collapsed="false">
      <c r="A160" s="12" t="n">
        <v>157</v>
      </c>
      <c r="B160" s="12" t="s">
        <v>840</v>
      </c>
      <c r="C160" s="12" t="s">
        <v>899</v>
      </c>
      <c r="D160" s="40" t="n">
        <v>11906</v>
      </c>
      <c r="E160" s="31" t="s">
        <v>260</v>
      </c>
      <c r="F160" s="12" t="str">
        <f aca="false">IFERROR(INDEX('Расчет Кплотн'!$C:$C,MATCH(E160,'Расчет Кплотн'!$A:$A,0)),"код не найден")</f>
        <v>г. Алматы</v>
      </c>
      <c r="G160" s="12" t="s">
        <v>503</v>
      </c>
      <c r="H160" s="12" t="s">
        <v>900</v>
      </c>
      <c r="I160" s="12" t="s">
        <v>843</v>
      </c>
    </row>
    <row r="161" customFormat="false" ht="15" hidden="false" customHeight="false" outlineLevel="0" collapsed="false">
      <c r="A161" s="12" t="n">
        <v>158</v>
      </c>
      <c r="B161" s="12" t="s">
        <v>840</v>
      </c>
      <c r="C161" s="12" t="s">
        <v>901</v>
      </c>
      <c r="D161" s="40" t="n">
        <v>15786</v>
      </c>
      <c r="E161" s="31" t="s">
        <v>260</v>
      </c>
      <c r="F161" s="12" t="str">
        <f aca="false">IFERROR(INDEX('Расчет Кплотн'!$C:$C,MATCH(E161,'Расчет Кплотн'!$A:$A,0)),"код не найден")</f>
        <v>г. Алматы</v>
      </c>
      <c r="G161" s="12" t="s">
        <v>503</v>
      </c>
      <c r="H161" s="12" t="s">
        <v>902</v>
      </c>
      <c r="I161" s="12" t="s">
        <v>843</v>
      </c>
    </row>
    <row r="162" customFormat="false" ht="15" hidden="false" customHeight="false" outlineLevel="0" collapsed="false">
      <c r="A162" s="12" t="n">
        <v>159</v>
      </c>
      <c r="B162" s="12" t="s">
        <v>840</v>
      </c>
      <c r="C162" s="12" t="s">
        <v>903</v>
      </c>
      <c r="D162" s="40" t="n">
        <v>50139</v>
      </c>
      <c r="E162" s="31" t="s">
        <v>260</v>
      </c>
      <c r="F162" s="12" t="str">
        <f aca="false">IFERROR(INDEX('Расчет Кплотн'!$C:$C,MATCH(E162,'Расчет Кплотн'!$A:$A,0)),"код не найден")</f>
        <v>г. Алматы</v>
      </c>
      <c r="G162" s="12" t="s">
        <v>503</v>
      </c>
      <c r="H162" s="12" t="s">
        <v>904</v>
      </c>
      <c r="I162" s="12" t="s">
        <v>846</v>
      </c>
    </row>
    <row r="163" customFormat="false" ht="15" hidden="false" customHeight="false" outlineLevel="0" collapsed="false">
      <c r="A163" s="12" t="n">
        <v>160</v>
      </c>
      <c r="B163" s="12" t="s">
        <v>840</v>
      </c>
      <c r="C163" s="12" t="s">
        <v>905</v>
      </c>
      <c r="D163" s="40" t="n">
        <v>10520</v>
      </c>
      <c r="E163" s="31" t="s">
        <v>260</v>
      </c>
      <c r="F163" s="12" t="str">
        <f aca="false">IFERROR(INDEX('Расчет Кплотн'!$C:$C,MATCH(E163,'Расчет Кплотн'!$A:$A,0)),"код не найден")</f>
        <v>г. Алматы</v>
      </c>
      <c r="G163" s="12" t="s">
        <v>503</v>
      </c>
      <c r="H163" s="12" t="s">
        <v>906</v>
      </c>
      <c r="I163" s="12" t="s">
        <v>843</v>
      </c>
    </row>
    <row r="164" customFormat="false" ht="15" hidden="false" customHeight="false" outlineLevel="0" collapsed="false">
      <c r="A164" s="12" t="n">
        <v>161</v>
      </c>
      <c r="B164" s="12" t="s">
        <v>840</v>
      </c>
      <c r="C164" s="12" t="s">
        <v>907</v>
      </c>
      <c r="D164" s="40" t="n">
        <v>18767</v>
      </c>
      <c r="E164" s="31" t="s">
        <v>260</v>
      </c>
      <c r="F164" s="12" t="str">
        <f aca="false">IFERROR(INDEX('Расчет Кплотн'!$C:$C,MATCH(E164,'Расчет Кплотн'!$A:$A,0)),"код не найден")</f>
        <v>г. Алматы</v>
      </c>
      <c r="G164" s="12" t="s">
        <v>503</v>
      </c>
      <c r="H164" s="12" t="s">
        <v>908</v>
      </c>
      <c r="I164" s="12" t="s">
        <v>843</v>
      </c>
    </row>
    <row r="165" customFormat="false" ht="15" hidden="false" customHeight="false" outlineLevel="0" collapsed="false">
      <c r="A165" s="12" t="n">
        <v>162</v>
      </c>
      <c r="B165" s="12" t="s">
        <v>840</v>
      </c>
      <c r="C165" s="12" t="s">
        <v>909</v>
      </c>
      <c r="D165" s="40" t="n">
        <v>12402</v>
      </c>
      <c r="E165" s="31" t="s">
        <v>260</v>
      </c>
      <c r="F165" s="12" t="str">
        <f aca="false">IFERROR(INDEX('Расчет Кплотн'!$C:$C,MATCH(E165,'Расчет Кплотн'!$A:$A,0)),"код не найден")</f>
        <v>г. Алматы</v>
      </c>
      <c r="G165" s="12" t="s">
        <v>503</v>
      </c>
      <c r="H165" s="12" t="s">
        <v>910</v>
      </c>
      <c r="I165" s="12" t="s">
        <v>843</v>
      </c>
    </row>
    <row r="166" customFormat="false" ht="15" hidden="false" customHeight="false" outlineLevel="0" collapsed="false">
      <c r="A166" s="12" t="n">
        <v>163</v>
      </c>
      <c r="B166" s="12" t="s">
        <v>840</v>
      </c>
      <c r="C166" s="12" t="s">
        <v>911</v>
      </c>
      <c r="D166" s="40" t="n">
        <v>27413</v>
      </c>
      <c r="E166" s="31" t="s">
        <v>260</v>
      </c>
      <c r="F166" s="12" t="str">
        <f aca="false">IFERROR(INDEX('Расчет Кплотн'!$C:$C,MATCH(E166,'Расчет Кплотн'!$A:$A,0)),"код не найден")</f>
        <v>г. Алматы</v>
      </c>
      <c r="G166" s="12" t="s">
        <v>503</v>
      </c>
      <c r="H166" s="12" t="s">
        <v>912</v>
      </c>
      <c r="I166" s="12" t="s">
        <v>853</v>
      </c>
    </row>
    <row r="167" customFormat="false" ht="15" hidden="false" customHeight="false" outlineLevel="0" collapsed="false">
      <c r="A167" s="12" t="n">
        <v>164</v>
      </c>
      <c r="B167" s="12" t="s">
        <v>840</v>
      </c>
      <c r="C167" s="12" t="s">
        <v>913</v>
      </c>
      <c r="D167" s="40" t="n">
        <v>8605</v>
      </c>
      <c r="E167" s="31" t="s">
        <v>260</v>
      </c>
      <c r="F167" s="12" t="str">
        <f aca="false">IFERROR(INDEX('Расчет Кплотн'!$C:$C,MATCH(E167,'Расчет Кплотн'!$A:$A,0)),"код не найден")</f>
        <v>г. Алматы</v>
      </c>
      <c r="G167" s="12" t="s">
        <v>503</v>
      </c>
      <c r="H167" s="12" t="s">
        <v>914</v>
      </c>
      <c r="I167" s="12" t="s">
        <v>859</v>
      </c>
    </row>
    <row r="168" customFormat="false" ht="15" hidden="false" customHeight="false" outlineLevel="0" collapsed="false">
      <c r="A168" s="12" t="n">
        <v>165</v>
      </c>
      <c r="B168" s="12" t="s">
        <v>840</v>
      </c>
      <c r="C168" s="12" t="s">
        <v>915</v>
      </c>
      <c r="D168" s="40" t="n">
        <v>14219</v>
      </c>
      <c r="E168" s="31" t="s">
        <v>260</v>
      </c>
      <c r="F168" s="12" t="str">
        <f aca="false">IFERROR(INDEX('Расчет Кплотн'!$C:$C,MATCH(E168,'Расчет Кплотн'!$A:$A,0)),"код не найден")</f>
        <v>г. Алматы</v>
      </c>
      <c r="G168" s="12" t="s">
        <v>503</v>
      </c>
      <c r="H168" s="12" t="s">
        <v>916</v>
      </c>
      <c r="I168" s="12" t="s">
        <v>859</v>
      </c>
    </row>
    <row r="169" customFormat="false" ht="15" hidden="false" customHeight="false" outlineLevel="0" collapsed="false">
      <c r="A169" s="12" t="n">
        <v>166</v>
      </c>
      <c r="B169" s="12" t="s">
        <v>840</v>
      </c>
      <c r="C169" s="12" t="s">
        <v>917</v>
      </c>
      <c r="D169" s="40" t="n">
        <v>9353</v>
      </c>
      <c r="E169" s="31" t="s">
        <v>260</v>
      </c>
      <c r="F169" s="12" t="str">
        <f aca="false">IFERROR(INDEX('Расчет Кплотн'!$C:$C,MATCH(E169,'Расчет Кплотн'!$A:$A,0)),"код не найден")</f>
        <v>г. Алматы</v>
      </c>
      <c r="G169" s="12" t="s">
        <v>503</v>
      </c>
      <c r="H169" s="12" t="s">
        <v>918</v>
      </c>
      <c r="I169" s="12" t="s">
        <v>859</v>
      </c>
    </row>
    <row r="170" customFormat="false" ht="15" hidden="false" customHeight="false" outlineLevel="0" collapsed="false">
      <c r="A170" s="12" t="n">
        <v>167</v>
      </c>
      <c r="B170" s="12" t="s">
        <v>840</v>
      </c>
      <c r="C170" s="12" t="s">
        <v>919</v>
      </c>
      <c r="D170" s="40" t="n">
        <v>18985</v>
      </c>
      <c r="E170" s="31" t="s">
        <v>260</v>
      </c>
      <c r="F170" s="12" t="str">
        <f aca="false">IFERROR(INDEX('Расчет Кплотн'!$C:$C,MATCH(E170,'Расчет Кплотн'!$A:$A,0)),"код не найден")</f>
        <v>г. Алматы</v>
      </c>
      <c r="G170" s="12" t="s">
        <v>503</v>
      </c>
      <c r="H170" s="12" t="s">
        <v>920</v>
      </c>
      <c r="I170" s="12" t="s">
        <v>859</v>
      </c>
    </row>
    <row r="171" customFormat="false" ht="15" hidden="false" customHeight="false" outlineLevel="0" collapsed="false">
      <c r="A171" s="12" t="n">
        <v>168</v>
      </c>
      <c r="B171" s="12" t="s">
        <v>840</v>
      </c>
      <c r="C171" s="12" t="s">
        <v>921</v>
      </c>
      <c r="D171" s="40" t="n">
        <v>11380</v>
      </c>
      <c r="E171" s="31" t="s">
        <v>260</v>
      </c>
      <c r="F171" s="12" t="str">
        <f aca="false">IFERROR(INDEX('Расчет Кплотн'!$C:$C,MATCH(E171,'Расчет Кплотн'!$A:$A,0)),"код не найден")</f>
        <v>г. Алматы</v>
      </c>
      <c r="G171" s="12" t="s">
        <v>503</v>
      </c>
      <c r="H171" s="12" t="s">
        <v>922</v>
      </c>
      <c r="I171" s="12" t="s">
        <v>843</v>
      </c>
    </row>
    <row r="172" customFormat="false" ht="15" hidden="false" customHeight="false" outlineLevel="0" collapsed="false">
      <c r="A172" s="12" t="n">
        <v>169</v>
      </c>
      <c r="B172" s="12" t="s">
        <v>840</v>
      </c>
      <c r="C172" s="12" t="s">
        <v>923</v>
      </c>
      <c r="D172" s="40" t="n">
        <v>15670</v>
      </c>
      <c r="E172" s="31" t="s">
        <v>260</v>
      </c>
      <c r="F172" s="12" t="str">
        <f aca="false">IFERROR(INDEX('Расчет Кплотн'!$C:$C,MATCH(E172,'Расчет Кплотн'!$A:$A,0)),"код не найден")</f>
        <v>г. Алматы</v>
      </c>
      <c r="G172" s="12" t="s">
        <v>503</v>
      </c>
      <c r="H172" s="12" t="s">
        <v>924</v>
      </c>
      <c r="I172" s="12" t="s">
        <v>856</v>
      </c>
    </row>
    <row r="173" customFormat="false" ht="15" hidden="false" customHeight="false" outlineLevel="0" collapsed="false">
      <c r="A173" s="12" t="n">
        <v>170</v>
      </c>
      <c r="B173" s="12" t="s">
        <v>840</v>
      </c>
      <c r="C173" s="12" t="s">
        <v>867</v>
      </c>
      <c r="D173" s="40" t="n">
        <v>4654</v>
      </c>
      <c r="E173" s="31" t="s">
        <v>260</v>
      </c>
      <c r="F173" s="12" t="str">
        <f aca="false">IFERROR(INDEX('Расчет Кплотн'!$C:$C,MATCH(E173,'Расчет Кплотн'!$A:$A,0)),"код не найден")</f>
        <v>г. Алматы</v>
      </c>
      <c r="G173" s="12" t="s">
        <v>503</v>
      </c>
      <c r="H173" s="12" t="s">
        <v>868</v>
      </c>
      <c r="I173" s="12" t="s">
        <v>859</v>
      </c>
    </row>
    <row r="174" customFormat="false" ht="15" hidden="false" customHeight="false" outlineLevel="0" collapsed="false">
      <c r="A174" s="12" t="n">
        <v>171</v>
      </c>
      <c r="B174" s="12" t="s">
        <v>840</v>
      </c>
      <c r="C174" s="12" t="s">
        <v>927</v>
      </c>
      <c r="D174" s="40" t="n">
        <v>25096</v>
      </c>
      <c r="E174" s="31" t="s">
        <v>260</v>
      </c>
      <c r="F174" s="12" t="str">
        <f aca="false">IFERROR(INDEX('Расчет Кплотн'!$C:$C,MATCH(E174,'Расчет Кплотн'!$A:$A,0)),"код не найден")</f>
        <v>г. Алматы</v>
      </c>
      <c r="G174" s="12" t="s">
        <v>503</v>
      </c>
      <c r="H174" s="12" t="s">
        <v>928</v>
      </c>
      <c r="I174" s="12" t="s">
        <v>859</v>
      </c>
    </row>
    <row r="175" customFormat="false" ht="15" hidden="false" customHeight="false" outlineLevel="0" collapsed="false">
      <c r="A175" s="12" t="n">
        <v>172</v>
      </c>
      <c r="B175" s="12" t="s">
        <v>840</v>
      </c>
      <c r="C175" s="12" t="s">
        <v>943</v>
      </c>
      <c r="D175" s="40" t="n">
        <v>76554</v>
      </c>
      <c r="E175" s="31" t="s">
        <v>260</v>
      </c>
      <c r="F175" s="12" t="str">
        <f aca="false">IFERROR(INDEX('Расчет Кплотн'!$C:$C,MATCH(E175,'Расчет Кплотн'!$A:$A,0)),"код не найден")</f>
        <v>г. Алматы</v>
      </c>
      <c r="G175" s="12" t="s">
        <v>503</v>
      </c>
      <c r="H175" s="12" t="s">
        <v>944</v>
      </c>
      <c r="I175" s="12" t="s">
        <v>846</v>
      </c>
    </row>
    <row r="176" customFormat="false" ht="15" hidden="false" customHeight="false" outlineLevel="0" collapsed="false">
      <c r="A176" s="12" t="n">
        <v>173</v>
      </c>
      <c r="B176" s="12" t="s">
        <v>840</v>
      </c>
      <c r="C176" s="12" t="s">
        <v>929</v>
      </c>
      <c r="D176" s="40" t="n">
        <v>62214</v>
      </c>
      <c r="E176" s="31" t="s">
        <v>260</v>
      </c>
      <c r="F176" s="12" t="str">
        <f aca="false">IFERROR(INDEX('Расчет Кплотн'!$C:$C,MATCH(E176,'Расчет Кплотн'!$A:$A,0)),"код не найден")</f>
        <v>г. Алматы</v>
      </c>
      <c r="G176" s="12" t="s">
        <v>503</v>
      </c>
      <c r="H176" s="12" t="s">
        <v>930</v>
      </c>
      <c r="I176" s="12" t="s">
        <v>886</v>
      </c>
    </row>
    <row r="177" customFormat="false" ht="15" hidden="false" customHeight="false" outlineLevel="0" collapsed="false">
      <c r="A177" s="12" t="n">
        <v>174</v>
      </c>
      <c r="B177" s="12" t="s">
        <v>840</v>
      </c>
      <c r="C177" s="12" t="s">
        <v>931</v>
      </c>
      <c r="D177" s="40" t="n">
        <v>33482</v>
      </c>
      <c r="E177" s="31" t="s">
        <v>260</v>
      </c>
      <c r="F177" s="12" t="str">
        <f aca="false">IFERROR(INDEX('Расчет Кплотн'!$C:$C,MATCH(E177,'Расчет Кплотн'!$A:$A,0)),"код не найден")</f>
        <v>г. Алматы</v>
      </c>
      <c r="G177" s="12" t="s">
        <v>503</v>
      </c>
      <c r="H177" s="12" t="s">
        <v>932</v>
      </c>
      <c r="I177" s="12" t="s">
        <v>883</v>
      </c>
    </row>
    <row r="178" customFormat="false" ht="15" hidden="false" customHeight="false" outlineLevel="0" collapsed="false">
      <c r="A178" s="12" t="n">
        <v>175</v>
      </c>
      <c r="B178" s="12" t="s">
        <v>840</v>
      </c>
      <c r="C178" s="12" t="s">
        <v>933</v>
      </c>
      <c r="D178" s="40" t="n">
        <v>62267</v>
      </c>
      <c r="E178" s="31" t="s">
        <v>260</v>
      </c>
      <c r="F178" s="12" t="str">
        <f aca="false">IFERROR(INDEX('Расчет Кплотн'!$C:$C,MATCH(E178,'Расчет Кплотн'!$A:$A,0)),"код не найден")</f>
        <v>г. Алматы</v>
      </c>
      <c r="G178" s="12" t="s">
        <v>503</v>
      </c>
      <c r="H178" s="12" t="s">
        <v>934</v>
      </c>
      <c r="I178" s="12" t="s">
        <v>859</v>
      </c>
    </row>
    <row r="179" customFormat="false" ht="15" hidden="false" customHeight="false" outlineLevel="0" collapsed="false">
      <c r="A179" s="12" t="n">
        <v>176</v>
      </c>
      <c r="B179" s="12" t="s">
        <v>840</v>
      </c>
      <c r="C179" s="12" t="s">
        <v>935</v>
      </c>
      <c r="D179" s="40" t="n">
        <v>35227</v>
      </c>
      <c r="E179" s="31" t="s">
        <v>260</v>
      </c>
      <c r="F179" s="12" t="str">
        <f aca="false">IFERROR(INDEX('Расчет Кплотн'!$C:$C,MATCH(E179,'Расчет Кплотн'!$A:$A,0)),"код не найден")</f>
        <v>г. Алматы</v>
      </c>
      <c r="G179" s="12" t="s">
        <v>503</v>
      </c>
      <c r="H179" s="12" t="s">
        <v>936</v>
      </c>
      <c r="I179" s="12" t="s">
        <v>883</v>
      </c>
    </row>
    <row r="180" customFormat="false" ht="15" hidden="false" customHeight="false" outlineLevel="0" collapsed="false">
      <c r="A180" s="12" t="n">
        <v>177</v>
      </c>
      <c r="B180" s="12" t="s">
        <v>840</v>
      </c>
      <c r="C180" s="12" t="s">
        <v>937</v>
      </c>
      <c r="D180" s="40" t="n">
        <v>32309</v>
      </c>
      <c r="E180" s="31" t="s">
        <v>260</v>
      </c>
      <c r="F180" s="12" t="str">
        <f aca="false">IFERROR(INDEX('Расчет Кплотн'!$C:$C,MATCH(E180,'Расчет Кплотн'!$A:$A,0)),"код не найден")</f>
        <v>г. Алматы</v>
      </c>
      <c r="G180" s="12" t="s">
        <v>503</v>
      </c>
      <c r="H180" s="12" t="s">
        <v>938</v>
      </c>
      <c r="I180" s="12" t="s">
        <v>843</v>
      </c>
    </row>
    <row r="181" customFormat="false" ht="15" hidden="false" customHeight="false" outlineLevel="0" collapsed="false">
      <c r="A181" s="12" t="n">
        <v>178</v>
      </c>
      <c r="B181" s="12" t="s">
        <v>840</v>
      </c>
      <c r="C181" s="12" t="s">
        <v>939</v>
      </c>
      <c r="D181" s="40" t="n">
        <v>56140</v>
      </c>
      <c r="E181" s="31" t="s">
        <v>260</v>
      </c>
      <c r="F181" s="12" t="str">
        <f aca="false">IFERROR(INDEX('Расчет Кплотн'!$C:$C,MATCH(E181,'Расчет Кплотн'!$A:$A,0)),"код не найден")</f>
        <v>г. Алматы</v>
      </c>
      <c r="G181" s="12" t="s">
        <v>503</v>
      </c>
      <c r="H181" s="12" t="s">
        <v>940</v>
      </c>
      <c r="I181" s="12" t="s">
        <v>843</v>
      </c>
    </row>
    <row r="182" customFormat="false" ht="15" hidden="false" customHeight="false" outlineLevel="0" collapsed="false">
      <c r="A182" s="12" t="n">
        <v>179</v>
      </c>
      <c r="B182" s="12" t="s">
        <v>840</v>
      </c>
      <c r="C182" s="12" t="s">
        <v>941</v>
      </c>
      <c r="D182" s="40" t="n">
        <v>45449</v>
      </c>
      <c r="E182" s="31" t="s">
        <v>260</v>
      </c>
      <c r="F182" s="12" t="str">
        <f aca="false">IFERROR(INDEX('Расчет Кплотн'!$C:$C,MATCH(E182,'Расчет Кплотн'!$A:$A,0)),"код не найден")</f>
        <v>г. Алматы</v>
      </c>
      <c r="G182" s="12" t="s">
        <v>503</v>
      </c>
      <c r="H182" s="12" t="s">
        <v>942</v>
      </c>
      <c r="I182" s="12" t="s">
        <v>843</v>
      </c>
    </row>
    <row r="183" customFormat="false" ht="15" hidden="false" customHeight="false" outlineLevel="0" collapsed="false">
      <c r="A183" s="12" t="n">
        <v>180</v>
      </c>
      <c r="B183" s="12" t="s">
        <v>840</v>
      </c>
      <c r="C183" s="12" t="s">
        <v>945</v>
      </c>
      <c r="D183" s="40" t="n">
        <v>29885</v>
      </c>
      <c r="E183" s="31" t="s">
        <v>260</v>
      </c>
      <c r="F183" s="12" t="str">
        <f aca="false">IFERROR(INDEX('Расчет Кплотн'!$C:$C,MATCH(E183,'Расчет Кплотн'!$A:$A,0)),"код не найден")</f>
        <v>г. Алматы</v>
      </c>
      <c r="G183" s="12" t="s">
        <v>503</v>
      </c>
      <c r="H183" s="12" t="s">
        <v>946</v>
      </c>
      <c r="I183" s="12" t="s">
        <v>883</v>
      </c>
    </row>
    <row r="184" customFormat="false" ht="15" hidden="false" customHeight="false" outlineLevel="0" collapsed="false">
      <c r="A184" s="12" t="n">
        <v>181</v>
      </c>
      <c r="B184" s="12" t="s">
        <v>840</v>
      </c>
      <c r="C184" s="12" t="s">
        <v>961</v>
      </c>
      <c r="D184" s="40" t="n">
        <v>60733</v>
      </c>
      <c r="E184" s="31" t="s">
        <v>260</v>
      </c>
      <c r="F184" s="12" t="str">
        <f aca="false">IFERROR(INDEX('Расчет Кплотн'!$C:$C,MATCH(E184,'Расчет Кплотн'!$A:$A,0)),"код не найден")</f>
        <v>г. Алматы</v>
      </c>
      <c r="G184" s="12" t="s">
        <v>503</v>
      </c>
      <c r="H184" s="12" t="s">
        <v>962</v>
      </c>
      <c r="I184" s="12" t="s">
        <v>846</v>
      </c>
    </row>
    <row r="185" customFormat="false" ht="15" hidden="false" customHeight="false" outlineLevel="0" collapsed="false">
      <c r="A185" s="12" t="n">
        <v>182</v>
      </c>
      <c r="B185" s="12" t="s">
        <v>840</v>
      </c>
      <c r="C185" s="12" t="s">
        <v>947</v>
      </c>
      <c r="D185" s="40" t="n">
        <v>66091</v>
      </c>
      <c r="E185" s="31" t="s">
        <v>260</v>
      </c>
      <c r="F185" s="12" t="str">
        <f aca="false">IFERROR(INDEX('Расчет Кплотн'!$C:$C,MATCH(E185,'Расчет Кплотн'!$A:$A,0)),"код не найден")</f>
        <v>г. Алматы</v>
      </c>
      <c r="G185" s="12" t="s">
        <v>503</v>
      </c>
      <c r="H185" s="12" t="s">
        <v>948</v>
      </c>
      <c r="I185" s="12" t="s">
        <v>856</v>
      </c>
    </row>
    <row r="186" customFormat="false" ht="15" hidden="false" customHeight="false" outlineLevel="0" collapsed="false">
      <c r="A186" s="12" t="n">
        <v>183</v>
      </c>
      <c r="B186" s="12" t="s">
        <v>840</v>
      </c>
      <c r="C186" s="12" t="s">
        <v>949</v>
      </c>
      <c r="D186" s="40" t="n">
        <v>58911</v>
      </c>
      <c r="E186" s="31" t="s">
        <v>260</v>
      </c>
      <c r="F186" s="12" t="str">
        <f aca="false">IFERROR(INDEX('Расчет Кплотн'!$C:$C,MATCH(E186,'Расчет Кплотн'!$A:$A,0)),"код не найден")</f>
        <v>г. Алматы</v>
      </c>
      <c r="G186" s="12" t="s">
        <v>503</v>
      </c>
      <c r="H186" s="12" t="s">
        <v>950</v>
      </c>
      <c r="I186" s="12" t="s">
        <v>843</v>
      </c>
    </row>
    <row r="187" customFormat="false" ht="15" hidden="false" customHeight="false" outlineLevel="0" collapsed="false">
      <c r="A187" s="12" t="n">
        <v>184</v>
      </c>
      <c r="B187" s="12" t="s">
        <v>840</v>
      </c>
      <c r="C187" s="12" t="s">
        <v>951</v>
      </c>
      <c r="D187" s="40" t="n">
        <v>53870</v>
      </c>
      <c r="E187" s="31" t="s">
        <v>260</v>
      </c>
      <c r="F187" s="12" t="str">
        <f aca="false">IFERROR(INDEX('Расчет Кплотн'!$C:$C,MATCH(E187,'Расчет Кплотн'!$A:$A,0)),"код не найден")</f>
        <v>г. Алматы</v>
      </c>
      <c r="G187" s="12" t="s">
        <v>503</v>
      </c>
      <c r="H187" s="12" t="s">
        <v>952</v>
      </c>
      <c r="I187" s="12" t="s">
        <v>864</v>
      </c>
    </row>
    <row r="188" customFormat="false" ht="15" hidden="false" customHeight="false" outlineLevel="0" collapsed="false">
      <c r="A188" s="12" t="n">
        <v>185</v>
      </c>
      <c r="B188" s="12" t="s">
        <v>840</v>
      </c>
      <c r="C188" s="12" t="s">
        <v>953</v>
      </c>
      <c r="D188" s="40" t="n">
        <v>32149</v>
      </c>
      <c r="E188" s="31" t="s">
        <v>260</v>
      </c>
      <c r="F188" s="12" t="str">
        <f aca="false">IFERROR(INDEX('Расчет Кплотн'!$C:$C,MATCH(E188,'Расчет Кплотн'!$A:$A,0)),"код не найден")</f>
        <v>г. Алматы</v>
      </c>
      <c r="G188" s="12" t="s">
        <v>503</v>
      </c>
      <c r="H188" s="12" t="s">
        <v>954</v>
      </c>
      <c r="I188" s="12" t="s">
        <v>886</v>
      </c>
    </row>
    <row r="189" customFormat="false" ht="15" hidden="false" customHeight="false" outlineLevel="0" collapsed="false">
      <c r="A189" s="12" t="n">
        <v>186</v>
      </c>
      <c r="B189" s="12" t="s">
        <v>840</v>
      </c>
      <c r="C189" s="12" t="s">
        <v>955</v>
      </c>
      <c r="D189" s="40" t="n">
        <v>62803</v>
      </c>
      <c r="E189" s="31" t="s">
        <v>260</v>
      </c>
      <c r="F189" s="12" t="str">
        <f aca="false">IFERROR(INDEX('Расчет Кплотн'!$C:$C,MATCH(E189,'Расчет Кплотн'!$A:$A,0)),"код не найден")</f>
        <v>г. Алматы</v>
      </c>
      <c r="G189" s="12" t="s">
        <v>503</v>
      </c>
      <c r="H189" s="12" t="s">
        <v>956</v>
      </c>
      <c r="I189" s="12" t="s">
        <v>864</v>
      </c>
    </row>
    <row r="190" customFormat="false" ht="15" hidden="false" customHeight="false" outlineLevel="0" collapsed="false">
      <c r="A190" s="12" t="n">
        <v>187</v>
      </c>
      <c r="B190" s="12" t="s">
        <v>840</v>
      </c>
      <c r="C190" s="12" t="s">
        <v>957</v>
      </c>
      <c r="D190" s="40" t="n">
        <v>10501</v>
      </c>
      <c r="E190" s="31" t="s">
        <v>260</v>
      </c>
      <c r="F190" s="12" t="str">
        <f aca="false">IFERROR(INDEX('Расчет Кплотн'!$C:$C,MATCH(E190,'Расчет Кплотн'!$A:$A,0)),"код не найден")</f>
        <v>г. Алматы</v>
      </c>
      <c r="G190" s="12" t="s">
        <v>503</v>
      </c>
      <c r="H190" s="12" t="s">
        <v>958</v>
      </c>
      <c r="I190" s="12" t="s">
        <v>864</v>
      </c>
    </row>
    <row r="191" customFormat="false" ht="15" hidden="false" customHeight="false" outlineLevel="0" collapsed="false">
      <c r="A191" s="12" t="n">
        <v>188</v>
      </c>
      <c r="B191" s="12" t="s">
        <v>840</v>
      </c>
      <c r="C191" s="12" t="s">
        <v>959</v>
      </c>
      <c r="D191" s="40" t="n">
        <v>44003</v>
      </c>
      <c r="E191" s="31" t="s">
        <v>260</v>
      </c>
      <c r="F191" s="12" t="str">
        <f aca="false">IFERROR(INDEX('Расчет Кплотн'!$C:$C,MATCH(E191,'Расчет Кплотн'!$A:$A,0)),"код не найден")</f>
        <v>г. Алматы</v>
      </c>
      <c r="G191" s="12" t="s">
        <v>503</v>
      </c>
      <c r="H191" s="12" t="s">
        <v>960</v>
      </c>
      <c r="I191" s="12" t="s">
        <v>853</v>
      </c>
    </row>
    <row r="192" customFormat="false" ht="15" hidden="false" customHeight="false" outlineLevel="0" collapsed="false">
      <c r="A192" s="12" t="n">
        <v>189</v>
      </c>
      <c r="B192" s="12" t="s">
        <v>840</v>
      </c>
      <c r="C192" s="12" t="s">
        <v>963</v>
      </c>
      <c r="D192" s="40" t="n">
        <v>49895</v>
      </c>
      <c r="E192" s="31" t="s">
        <v>260</v>
      </c>
      <c r="F192" s="12" t="str">
        <f aca="false">IFERROR(INDEX('Расчет Кплотн'!$C:$C,MATCH(E192,'Расчет Кплотн'!$A:$A,0)),"код не найден")</f>
        <v>г. Алматы</v>
      </c>
      <c r="G192" s="12" t="s">
        <v>503</v>
      </c>
      <c r="H192" s="12" t="s">
        <v>964</v>
      </c>
      <c r="I192" s="12" t="s">
        <v>856</v>
      </c>
    </row>
    <row r="193" customFormat="false" ht="15" hidden="false" customHeight="false" outlineLevel="0" collapsed="false">
      <c r="A193" s="12" t="n">
        <v>190</v>
      </c>
      <c r="B193" s="12" t="s">
        <v>840</v>
      </c>
      <c r="C193" s="12" t="s">
        <v>969</v>
      </c>
      <c r="D193" s="40" t="n">
        <v>41432</v>
      </c>
      <c r="E193" s="31" t="s">
        <v>260</v>
      </c>
      <c r="F193" s="12" t="str">
        <f aca="false">IFERROR(INDEX('Расчет Кплотн'!$C:$C,MATCH(E193,'Расчет Кплотн'!$A:$A,0)),"код не найден")</f>
        <v>г. Алматы</v>
      </c>
      <c r="G193" s="12" t="s">
        <v>503</v>
      </c>
      <c r="H193" s="12" t="s">
        <v>970</v>
      </c>
      <c r="I193" s="12" t="s">
        <v>859</v>
      </c>
    </row>
    <row r="194" customFormat="false" ht="15" hidden="false" customHeight="false" outlineLevel="0" collapsed="false">
      <c r="A194" s="12" t="n">
        <v>191</v>
      </c>
      <c r="B194" s="12" t="s">
        <v>840</v>
      </c>
      <c r="C194" s="12" t="s">
        <v>965</v>
      </c>
      <c r="D194" s="40" t="n">
        <v>16250</v>
      </c>
      <c r="E194" s="31" t="s">
        <v>260</v>
      </c>
      <c r="F194" s="12" t="str">
        <f aca="false">IFERROR(INDEX('Расчет Кплотн'!$C:$C,MATCH(E194,'Расчет Кплотн'!$A:$A,0)),"код не найден")</f>
        <v>г. Алматы</v>
      </c>
      <c r="G194" s="12" t="s">
        <v>503</v>
      </c>
      <c r="H194" s="12" t="s">
        <v>966</v>
      </c>
      <c r="I194" s="12" t="s">
        <v>856</v>
      </c>
    </row>
    <row r="195" customFormat="false" ht="15" hidden="false" customHeight="false" outlineLevel="0" collapsed="false">
      <c r="A195" s="12" t="n">
        <v>192</v>
      </c>
      <c r="B195" s="12" t="s">
        <v>840</v>
      </c>
      <c r="C195" s="12" t="s">
        <v>1001</v>
      </c>
      <c r="D195" s="40" t="n">
        <v>35282</v>
      </c>
      <c r="E195" s="31" t="s">
        <v>260</v>
      </c>
      <c r="F195" s="12" t="str">
        <f aca="false">IFERROR(INDEX('Расчет Кплотн'!$C:$C,MATCH(E195,'Расчет Кплотн'!$A:$A,0)),"код не найден")</f>
        <v>г. Алматы</v>
      </c>
      <c r="G195" s="12" t="s">
        <v>503</v>
      </c>
      <c r="H195" s="12" t="s">
        <v>1002</v>
      </c>
      <c r="I195" s="12" t="s">
        <v>853</v>
      </c>
    </row>
    <row r="196" customFormat="false" ht="15" hidden="false" customHeight="false" outlineLevel="0" collapsed="false">
      <c r="A196" s="12" t="n">
        <v>193</v>
      </c>
      <c r="B196" s="12" t="s">
        <v>840</v>
      </c>
      <c r="C196" s="12" t="s">
        <v>967</v>
      </c>
      <c r="D196" s="40" t="n">
        <v>40733</v>
      </c>
      <c r="E196" s="31" t="s">
        <v>260</v>
      </c>
      <c r="F196" s="12" t="str">
        <f aca="false">IFERROR(INDEX('Расчет Кплотн'!$C:$C,MATCH(E196,'Расчет Кплотн'!$A:$A,0)),"код не найден")</f>
        <v>г. Алматы</v>
      </c>
      <c r="G196" s="12" t="s">
        <v>503</v>
      </c>
      <c r="H196" s="12" t="s">
        <v>968</v>
      </c>
      <c r="I196" s="12" t="s">
        <v>883</v>
      </c>
    </row>
    <row r="197" customFormat="false" ht="15" hidden="false" customHeight="false" outlineLevel="0" collapsed="false">
      <c r="A197" s="12" t="n">
        <v>194</v>
      </c>
      <c r="B197" s="12" t="s">
        <v>840</v>
      </c>
      <c r="C197" s="12" t="s">
        <v>971</v>
      </c>
      <c r="D197" s="40" t="n">
        <v>41536</v>
      </c>
      <c r="E197" s="31" t="s">
        <v>260</v>
      </c>
      <c r="F197" s="12" t="str">
        <f aca="false">IFERROR(INDEX('Расчет Кплотн'!$C:$C,MATCH(E197,'Расчет Кплотн'!$A:$A,0)),"код не найден")</f>
        <v>г. Алматы</v>
      </c>
      <c r="G197" s="12" t="s">
        <v>503</v>
      </c>
      <c r="H197" s="12" t="s">
        <v>972</v>
      </c>
      <c r="I197" s="12" t="s">
        <v>846</v>
      </c>
    </row>
    <row r="198" customFormat="false" ht="15" hidden="false" customHeight="false" outlineLevel="0" collapsed="false">
      <c r="A198" s="12" t="n">
        <v>195</v>
      </c>
      <c r="B198" s="12" t="s">
        <v>840</v>
      </c>
      <c r="C198" s="12" t="s">
        <v>973</v>
      </c>
      <c r="D198" s="40" t="n">
        <v>55364</v>
      </c>
      <c r="E198" s="31" t="s">
        <v>260</v>
      </c>
      <c r="F198" s="12" t="str">
        <f aca="false">IFERROR(INDEX('Расчет Кплотн'!$C:$C,MATCH(E198,'Расчет Кплотн'!$A:$A,0)),"код не найден")</f>
        <v>г. Алматы</v>
      </c>
      <c r="G198" s="12" t="s">
        <v>503</v>
      </c>
      <c r="H198" s="12" t="s">
        <v>974</v>
      </c>
      <c r="I198" s="12" t="s">
        <v>843</v>
      </c>
    </row>
    <row r="199" customFormat="false" ht="15" hidden="false" customHeight="false" outlineLevel="0" collapsed="false">
      <c r="A199" s="12" t="n">
        <v>196</v>
      </c>
      <c r="B199" s="12" t="s">
        <v>840</v>
      </c>
      <c r="C199" s="12" t="s">
        <v>2417</v>
      </c>
      <c r="D199" s="40" t="n">
        <v>40200</v>
      </c>
      <c r="E199" s="31" t="s">
        <v>260</v>
      </c>
      <c r="F199" s="12" t="str">
        <f aca="false">IFERROR(INDEX('Расчет Кплотн'!$C:$C,MATCH(E199,'Расчет Кплотн'!$A:$A,0)),"код не найден")</f>
        <v>г. Алматы</v>
      </c>
      <c r="G199" s="12" t="s">
        <v>1069</v>
      </c>
      <c r="H199" s="12" t="s">
        <v>2418</v>
      </c>
      <c r="I199" s="12"/>
    </row>
    <row r="200" customFormat="false" ht="15" hidden="false" customHeight="false" outlineLevel="0" collapsed="false">
      <c r="A200" s="12" t="n">
        <v>197</v>
      </c>
      <c r="B200" s="12" t="s">
        <v>840</v>
      </c>
      <c r="C200" s="12" t="s">
        <v>975</v>
      </c>
      <c r="D200" s="40" t="n">
        <v>36336</v>
      </c>
      <c r="E200" s="31" t="s">
        <v>260</v>
      </c>
      <c r="F200" s="12" t="str">
        <f aca="false">IFERROR(INDEX('Расчет Кплотн'!$C:$C,MATCH(E200,'Расчет Кплотн'!$A:$A,0)),"код не найден")</f>
        <v>г. Алматы</v>
      </c>
      <c r="G200" s="12" t="s">
        <v>503</v>
      </c>
      <c r="H200" s="12" t="s">
        <v>976</v>
      </c>
      <c r="I200" s="12" t="s">
        <v>864</v>
      </c>
    </row>
    <row r="201" customFormat="false" ht="15" hidden="false" customHeight="false" outlineLevel="0" collapsed="false">
      <c r="A201" s="12" t="n">
        <v>198</v>
      </c>
      <c r="B201" s="12" t="s">
        <v>840</v>
      </c>
      <c r="C201" s="12" t="s">
        <v>977</v>
      </c>
      <c r="D201" s="40" t="n">
        <v>28184</v>
      </c>
      <c r="E201" s="31" t="s">
        <v>260</v>
      </c>
      <c r="F201" s="12" t="str">
        <f aca="false">IFERROR(INDEX('Расчет Кплотн'!$C:$C,MATCH(E201,'Расчет Кплотн'!$A:$A,0)),"код не найден")</f>
        <v>г. Алматы</v>
      </c>
      <c r="G201" s="12" t="s">
        <v>503</v>
      </c>
      <c r="H201" s="12" t="s">
        <v>978</v>
      </c>
      <c r="I201" s="12" t="s">
        <v>859</v>
      </c>
    </row>
    <row r="202" customFormat="false" ht="15" hidden="false" customHeight="false" outlineLevel="0" collapsed="false">
      <c r="A202" s="12" t="n">
        <v>199</v>
      </c>
      <c r="B202" s="12" t="s">
        <v>840</v>
      </c>
      <c r="C202" s="12" t="s">
        <v>985</v>
      </c>
      <c r="D202" s="40" t="n">
        <v>71319</v>
      </c>
      <c r="E202" s="31" t="s">
        <v>260</v>
      </c>
      <c r="F202" s="12" t="str">
        <f aca="false">IFERROR(INDEX('Расчет Кплотн'!$C:$C,MATCH(E202,'Расчет Кплотн'!$A:$A,0)),"код не найден")</f>
        <v>г. Алматы</v>
      </c>
      <c r="G202" s="12" t="s">
        <v>503</v>
      </c>
      <c r="H202" s="12" t="s">
        <v>986</v>
      </c>
      <c r="I202" s="12" t="s">
        <v>853</v>
      </c>
    </row>
    <row r="203" customFormat="false" ht="15" hidden="false" customHeight="false" outlineLevel="0" collapsed="false">
      <c r="A203" s="12" t="n">
        <v>200</v>
      </c>
      <c r="B203" s="12" t="s">
        <v>840</v>
      </c>
      <c r="C203" s="12" t="s">
        <v>981</v>
      </c>
      <c r="D203" s="40" t="n">
        <v>17662</v>
      </c>
      <c r="E203" s="31" t="s">
        <v>260</v>
      </c>
      <c r="F203" s="12" t="str">
        <f aca="false">IFERROR(INDEX('Расчет Кплотн'!$C:$C,MATCH(E203,'Расчет Кплотн'!$A:$A,0)),"код не найден")</f>
        <v>г. Алматы</v>
      </c>
      <c r="G203" s="12" t="s">
        <v>503</v>
      </c>
      <c r="H203" s="12" t="s">
        <v>982</v>
      </c>
      <c r="I203" s="12" t="s">
        <v>886</v>
      </c>
    </row>
    <row r="204" customFormat="false" ht="15" hidden="false" customHeight="false" outlineLevel="0" collapsed="false">
      <c r="A204" s="12" t="n">
        <v>201</v>
      </c>
      <c r="B204" s="12" t="s">
        <v>840</v>
      </c>
      <c r="C204" s="12" t="s">
        <v>979</v>
      </c>
      <c r="D204" s="40" t="n">
        <v>43791</v>
      </c>
      <c r="E204" s="31" t="s">
        <v>260</v>
      </c>
      <c r="F204" s="12" t="str">
        <f aca="false">IFERROR(INDEX('Расчет Кплотн'!$C:$C,MATCH(E204,'Расчет Кплотн'!$A:$A,0)),"код не найден")</f>
        <v>г. Алматы</v>
      </c>
      <c r="G204" s="12" t="s">
        <v>503</v>
      </c>
      <c r="H204" s="12" t="s">
        <v>980</v>
      </c>
      <c r="I204" s="12" t="s">
        <v>883</v>
      </c>
    </row>
    <row r="205" customFormat="false" ht="15" hidden="false" customHeight="false" outlineLevel="0" collapsed="false">
      <c r="A205" s="12" t="n">
        <v>202</v>
      </c>
      <c r="B205" s="12" t="s">
        <v>840</v>
      </c>
      <c r="C205" s="12" t="s">
        <v>999</v>
      </c>
      <c r="D205" s="40" t="n">
        <v>46119</v>
      </c>
      <c r="E205" s="31" t="s">
        <v>260</v>
      </c>
      <c r="F205" s="12" t="str">
        <f aca="false">IFERROR(INDEX('Расчет Кплотн'!$C:$C,MATCH(E205,'Расчет Кплотн'!$A:$A,0)),"код не найден")</f>
        <v>г. Алматы</v>
      </c>
      <c r="G205" s="12" t="s">
        <v>503</v>
      </c>
      <c r="H205" s="12" t="s">
        <v>1000</v>
      </c>
      <c r="I205" s="12" t="s">
        <v>853</v>
      </c>
    </row>
    <row r="206" customFormat="false" ht="15" hidden="false" customHeight="false" outlineLevel="0" collapsed="false">
      <c r="A206" s="12" t="n">
        <v>203</v>
      </c>
      <c r="B206" s="12" t="s">
        <v>840</v>
      </c>
      <c r="C206" s="12" t="s">
        <v>987</v>
      </c>
      <c r="D206" s="40" t="n">
        <v>44812</v>
      </c>
      <c r="E206" s="31" t="s">
        <v>260</v>
      </c>
      <c r="F206" s="12" t="str">
        <f aca="false">IFERROR(INDEX('Расчет Кплотн'!$C:$C,MATCH(E206,'Расчет Кплотн'!$A:$A,0)),"код не найден")</f>
        <v>г. Алматы</v>
      </c>
      <c r="G206" s="12" t="s">
        <v>503</v>
      </c>
      <c r="H206" s="12" t="s">
        <v>988</v>
      </c>
      <c r="I206" s="12" t="s">
        <v>853</v>
      </c>
    </row>
    <row r="207" customFormat="false" ht="15" hidden="false" customHeight="false" outlineLevel="0" collapsed="false">
      <c r="A207" s="12" t="n">
        <v>204</v>
      </c>
      <c r="B207" s="12" t="s">
        <v>840</v>
      </c>
      <c r="C207" s="12" t="s">
        <v>989</v>
      </c>
      <c r="D207" s="40" t="n">
        <v>29452</v>
      </c>
      <c r="E207" s="31" t="s">
        <v>260</v>
      </c>
      <c r="F207" s="12" t="str">
        <f aca="false">IFERROR(INDEX('Расчет Кплотн'!$C:$C,MATCH(E207,'Расчет Кплотн'!$A:$A,0)),"код не найден")</f>
        <v>г. Алматы</v>
      </c>
      <c r="G207" s="12" t="s">
        <v>503</v>
      </c>
      <c r="H207" s="12" t="s">
        <v>990</v>
      </c>
      <c r="I207" s="12" t="s">
        <v>856</v>
      </c>
    </row>
    <row r="208" customFormat="false" ht="15" hidden="false" customHeight="false" outlineLevel="0" collapsed="false">
      <c r="A208" s="12" t="n">
        <v>205</v>
      </c>
      <c r="B208" s="12" t="s">
        <v>840</v>
      </c>
      <c r="C208" s="12" t="s">
        <v>991</v>
      </c>
      <c r="D208" s="40" t="n">
        <v>36965</v>
      </c>
      <c r="E208" s="31" t="s">
        <v>260</v>
      </c>
      <c r="F208" s="12" t="str">
        <f aca="false">IFERROR(INDEX('Расчет Кплотн'!$C:$C,MATCH(E208,'Расчет Кплотн'!$A:$A,0)),"код не найден")</f>
        <v>г. Алматы</v>
      </c>
      <c r="G208" s="12" t="s">
        <v>503</v>
      </c>
      <c r="H208" s="12" t="s">
        <v>992</v>
      </c>
      <c r="I208" s="12" t="s">
        <v>883</v>
      </c>
    </row>
    <row r="209" customFormat="false" ht="15" hidden="false" customHeight="false" outlineLevel="0" collapsed="false">
      <c r="A209" s="12" t="n">
        <v>206</v>
      </c>
      <c r="B209" s="12" t="s">
        <v>840</v>
      </c>
      <c r="C209" s="12" t="s">
        <v>993</v>
      </c>
      <c r="D209" s="40" t="n">
        <v>67578</v>
      </c>
      <c r="E209" s="31" t="s">
        <v>260</v>
      </c>
      <c r="F209" s="12" t="str">
        <f aca="false">IFERROR(INDEX('Расчет Кплотн'!$C:$C,MATCH(E209,'Расчет Кплотн'!$A:$A,0)),"код не найден")</f>
        <v>г. Алматы</v>
      </c>
      <c r="G209" s="12" t="s">
        <v>503</v>
      </c>
      <c r="H209" s="12" t="s">
        <v>994</v>
      </c>
      <c r="I209" s="12" t="s">
        <v>864</v>
      </c>
    </row>
    <row r="210" customFormat="false" ht="15" hidden="false" customHeight="false" outlineLevel="0" collapsed="false">
      <c r="A210" s="12" t="n">
        <v>207</v>
      </c>
      <c r="B210" s="12" t="s">
        <v>840</v>
      </c>
      <c r="C210" s="12" t="s">
        <v>995</v>
      </c>
      <c r="D210" s="40" t="n">
        <v>34490</v>
      </c>
      <c r="E210" s="31" t="s">
        <v>260</v>
      </c>
      <c r="F210" s="12" t="str">
        <f aca="false">IFERROR(INDEX('Расчет Кплотн'!$C:$C,MATCH(E210,'Расчет Кплотн'!$A:$A,0)),"код не найден")</f>
        <v>г. Алматы</v>
      </c>
      <c r="G210" s="12" t="s">
        <v>503</v>
      </c>
      <c r="H210" s="12" t="s">
        <v>996</v>
      </c>
      <c r="I210" s="12" t="s">
        <v>883</v>
      </c>
    </row>
    <row r="211" customFormat="false" ht="15" hidden="false" customHeight="false" outlineLevel="0" collapsed="false">
      <c r="A211" s="12" t="n">
        <v>208</v>
      </c>
      <c r="B211" s="12" t="s">
        <v>840</v>
      </c>
      <c r="C211" s="12" t="s">
        <v>997</v>
      </c>
      <c r="D211" s="40" t="n">
        <v>53533</v>
      </c>
      <c r="E211" s="31" t="s">
        <v>260</v>
      </c>
      <c r="F211" s="12" t="str">
        <f aca="false">IFERROR(INDEX('Расчет Кплотн'!$C:$C,MATCH(E211,'Расчет Кплотн'!$A:$A,0)),"код не найден")</f>
        <v>г. Алматы</v>
      </c>
      <c r="G211" s="12" t="s">
        <v>503</v>
      </c>
      <c r="H211" s="12" t="s">
        <v>998</v>
      </c>
      <c r="I211" s="12" t="s">
        <v>846</v>
      </c>
    </row>
    <row r="212" customFormat="false" ht="15" hidden="false" customHeight="false" outlineLevel="0" collapsed="false">
      <c r="A212" s="12" t="n">
        <v>209</v>
      </c>
      <c r="B212" s="12" t="s">
        <v>840</v>
      </c>
      <c r="C212" s="12" t="s">
        <v>983</v>
      </c>
      <c r="D212" s="40" t="n">
        <v>47406</v>
      </c>
      <c r="E212" s="31" t="s">
        <v>260</v>
      </c>
      <c r="F212" s="12" t="str">
        <f aca="false">IFERROR(INDEX('Расчет Кплотн'!$C:$C,MATCH(E212,'Расчет Кплотн'!$A:$A,0)),"код не найден")</f>
        <v>г. Алматы</v>
      </c>
      <c r="G212" s="12" t="s">
        <v>503</v>
      </c>
      <c r="H212" s="12" t="s">
        <v>984</v>
      </c>
      <c r="I212" s="12" t="s">
        <v>886</v>
      </c>
    </row>
    <row r="213" customFormat="false" ht="15" hidden="false" customHeight="false" outlineLevel="0" collapsed="false">
      <c r="A213" s="12" t="n">
        <v>210</v>
      </c>
      <c r="B213" s="12" t="s">
        <v>1003</v>
      </c>
      <c r="C213" s="12" t="s">
        <v>1007</v>
      </c>
      <c r="D213" s="40" t="n">
        <v>12827</v>
      </c>
      <c r="E213" s="31" t="s">
        <v>259</v>
      </c>
      <c r="F213" s="12" t="str">
        <f aca="false">IFERROR(INDEX('Расчет Кплотн'!$C:$C,MATCH(E213,'Расчет Кплотн'!$A:$A,0)),"код не найден")</f>
        <v>г. Астана</v>
      </c>
      <c r="G213" s="12" t="s">
        <v>503</v>
      </c>
      <c r="H213" s="12" t="s">
        <v>1008</v>
      </c>
      <c r="I213" s="12" t="s">
        <v>1006</v>
      </c>
    </row>
    <row r="214" customFormat="false" ht="15" hidden="false" customHeight="false" outlineLevel="0" collapsed="false">
      <c r="A214" s="12" t="n">
        <v>211</v>
      </c>
      <c r="B214" s="12" t="s">
        <v>1003</v>
      </c>
      <c r="C214" s="12" t="s">
        <v>1004</v>
      </c>
      <c r="D214" s="40" t="n">
        <v>49392</v>
      </c>
      <c r="E214" s="31" t="s">
        <v>259</v>
      </c>
      <c r="F214" s="12" t="str">
        <f aca="false">IFERROR(INDEX('Расчет Кплотн'!$C:$C,MATCH(E214,'Расчет Кплотн'!$A:$A,0)),"код не найден")</f>
        <v>г. Астана</v>
      </c>
      <c r="G214" s="12" t="s">
        <v>503</v>
      </c>
      <c r="H214" s="12" t="s">
        <v>1005</v>
      </c>
      <c r="I214" s="12" t="s">
        <v>1006</v>
      </c>
    </row>
    <row r="215" customFormat="false" ht="15" hidden="false" customHeight="false" outlineLevel="0" collapsed="false">
      <c r="A215" s="12" t="n">
        <v>212</v>
      </c>
      <c r="B215" s="12" t="s">
        <v>1003</v>
      </c>
      <c r="C215" s="12" t="s">
        <v>1009</v>
      </c>
      <c r="D215" s="40" t="n">
        <v>21794</v>
      </c>
      <c r="E215" s="31" t="s">
        <v>259</v>
      </c>
      <c r="F215" s="12" t="str">
        <f aca="false">IFERROR(INDEX('Расчет Кплотн'!$C:$C,MATCH(E215,'Расчет Кплотн'!$A:$A,0)),"код не найден")</f>
        <v>г. Астана</v>
      </c>
      <c r="G215" s="12" t="s">
        <v>503</v>
      </c>
      <c r="H215" s="12" t="s">
        <v>1010</v>
      </c>
      <c r="I215" s="12" t="s">
        <v>1011</v>
      </c>
    </row>
    <row r="216" customFormat="false" ht="15" hidden="false" customHeight="false" outlineLevel="0" collapsed="false">
      <c r="A216" s="12" t="n">
        <v>213</v>
      </c>
      <c r="B216" s="12" t="s">
        <v>1003</v>
      </c>
      <c r="C216" s="12" t="s">
        <v>1012</v>
      </c>
      <c r="D216" s="40" t="n">
        <v>12653</v>
      </c>
      <c r="E216" s="31" t="s">
        <v>259</v>
      </c>
      <c r="F216" s="12" t="str">
        <f aca="false">IFERROR(INDEX('Расчет Кплотн'!$C:$C,MATCH(E216,'Расчет Кплотн'!$A:$A,0)),"код не найден")</f>
        <v>г. Астана</v>
      </c>
      <c r="G216" s="12" t="s">
        <v>503</v>
      </c>
      <c r="H216" s="12" t="s">
        <v>1013</v>
      </c>
      <c r="I216" s="12" t="s">
        <v>1006</v>
      </c>
    </row>
    <row r="217" customFormat="false" ht="15" hidden="false" customHeight="false" outlineLevel="0" collapsed="false">
      <c r="A217" s="12" t="n">
        <v>214</v>
      </c>
      <c r="B217" s="12" t="s">
        <v>1003</v>
      </c>
      <c r="C217" s="12" t="s">
        <v>1014</v>
      </c>
      <c r="D217" s="40" t="n">
        <v>13178</v>
      </c>
      <c r="E217" s="31" t="s">
        <v>259</v>
      </c>
      <c r="F217" s="12" t="str">
        <f aca="false">IFERROR(INDEX('Расчет Кплотн'!$C:$C,MATCH(E217,'Расчет Кплотн'!$A:$A,0)),"код не найден")</f>
        <v>г. Астана</v>
      </c>
      <c r="G217" s="12" t="s">
        <v>503</v>
      </c>
      <c r="H217" s="12" t="s">
        <v>1015</v>
      </c>
      <c r="I217" s="12" t="s">
        <v>1006</v>
      </c>
    </row>
    <row r="218" customFormat="false" ht="15" hidden="false" customHeight="false" outlineLevel="0" collapsed="false">
      <c r="A218" s="12" t="n">
        <v>215</v>
      </c>
      <c r="B218" s="12" t="s">
        <v>1003</v>
      </c>
      <c r="C218" s="12" t="s">
        <v>1016</v>
      </c>
      <c r="D218" s="40" t="n">
        <v>11598</v>
      </c>
      <c r="E218" s="31" t="s">
        <v>259</v>
      </c>
      <c r="F218" s="12" t="str">
        <f aca="false">IFERROR(INDEX('Расчет Кплотн'!$C:$C,MATCH(E218,'Расчет Кплотн'!$A:$A,0)),"код не найден")</f>
        <v>г. Астана</v>
      </c>
      <c r="G218" s="12" t="s">
        <v>503</v>
      </c>
      <c r="H218" s="12" t="s">
        <v>1017</v>
      </c>
      <c r="I218" s="12" t="s">
        <v>1018</v>
      </c>
    </row>
    <row r="219" customFormat="false" ht="15" hidden="false" customHeight="false" outlineLevel="0" collapsed="false">
      <c r="A219" s="12" t="n">
        <v>216</v>
      </c>
      <c r="B219" s="12" t="s">
        <v>1003</v>
      </c>
      <c r="C219" s="12" t="s">
        <v>1021</v>
      </c>
      <c r="D219" s="40" t="n">
        <v>3317</v>
      </c>
      <c r="E219" s="31" t="s">
        <v>259</v>
      </c>
      <c r="F219" s="12" t="str">
        <f aca="false">IFERROR(INDEX('Расчет Кплотн'!$C:$C,MATCH(E219,'Расчет Кплотн'!$A:$A,0)),"код не найден")</f>
        <v>г. Астана</v>
      </c>
      <c r="G219" s="12" t="s">
        <v>503</v>
      </c>
      <c r="H219" s="12" t="s">
        <v>1022</v>
      </c>
      <c r="I219" s="12" t="s">
        <v>1006</v>
      </c>
    </row>
    <row r="220" customFormat="false" ht="15" hidden="false" customHeight="false" outlineLevel="0" collapsed="false">
      <c r="A220" s="12" t="n">
        <v>217</v>
      </c>
      <c r="B220" s="12" t="s">
        <v>1003</v>
      </c>
      <c r="C220" s="12" t="s">
        <v>1023</v>
      </c>
      <c r="D220" s="40" t="n">
        <v>25735</v>
      </c>
      <c r="E220" s="31" t="s">
        <v>259</v>
      </c>
      <c r="F220" s="12" t="str">
        <f aca="false">IFERROR(INDEX('Расчет Кплотн'!$C:$C,MATCH(E220,'Расчет Кплотн'!$A:$A,0)),"код не найден")</f>
        <v>г. Астана</v>
      </c>
      <c r="G220" s="12" t="s">
        <v>503</v>
      </c>
      <c r="H220" s="12" t="s">
        <v>1024</v>
      </c>
      <c r="I220" s="12" t="s">
        <v>1011</v>
      </c>
    </row>
    <row r="221" customFormat="false" ht="15" hidden="false" customHeight="false" outlineLevel="0" collapsed="false">
      <c r="A221" s="12" t="n">
        <v>218</v>
      </c>
      <c r="B221" s="12" t="s">
        <v>1003</v>
      </c>
      <c r="C221" s="12" t="s">
        <v>1042</v>
      </c>
      <c r="D221" s="40" t="n">
        <v>126686</v>
      </c>
      <c r="E221" s="31" t="s">
        <v>259</v>
      </c>
      <c r="F221" s="12" t="str">
        <f aca="false">IFERROR(INDEX('Расчет Кплотн'!$C:$C,MATCH(E221,'Расчет Кплотн'!$A:$A,0)),"код не найден")</f>
        <v>г. Астана</v>
      </c>
      <c r="G221" s="12" t="s">
        <v>503</v>
      </c>
      <c r="H221" s="12" t="s">
        <v>1043</v>
      </c>
      <c r="I221" s="12" t="s">
        <v>1011</v>
      </c>
    </row>
    <row r="222" customFormat="false" ht="15" hidden="false" customHeight="false" outlineLevel="0" collapsed="false">
      <c r="A222" s="12" t="n">
        <v>219</v>
      </c>
      <c r="B222" s="12" t="s">
        <v>1003</v>
      </c>
      <c r="C222" s="12" t="s">
        <v>1027</v>
      </c>
      <c r="D222" s="40" t="n">
        <v>28168</v>
      </c>
      <c r="E222" s="31" t="s">
        <v>259</v>
      </c>
      <c r="F222" s="12" t="str">
        <f aca="false">IFERROR(INDEX('Расчет Кплотн'!$C:$C,MATCH(E222,'Расчет Кплотн'!$A:$A,0)),"код не найден")</f>
        <v>г. Астана</v>
      </c>
      <c r="G222" s="12" t="s">
        <v>503</v>
      </c>
      <c r="H222" s="12" t="s">
        <v>1028</v>
      </c>
      <c r="I222" s="12" t="s">
        <v>1029</v>
      </c>
    </row>
    <row r="223" customFormat="false" ht="15" hidden="false" customHeight="false" outlineLevel="0" collapsed="false">
      <c r="A223" s="12" t="n">
        <v>220</v>
      </c>
      <c r="B223" s="12" t="s">
        <v>1003</v>
      </c>
      <c r="C223" s="12" t="s">
        <v>1030</v>
      </c>
      <c r="D223" s="40" t="n">
        <v>11474</v>
      </c>
      <c r="E223" s="31" t="s">
        <v>259</v>
      </c>
      <c r="F223" s="12" t="str">
        <f aca="false">IFERROR(INDEX('Расчет Кплотн'!$C:$C,MATCH(E223,'Расчет Кплотн'!$A:$A,0)),"код не найден")</f>
        <v>г. Астана</v>
      </c>
      <c r="G223" s="12" t="s">
        <v>503</v>
      </c>
      <c r="H223" s="12" t="s">
        <v>1031</v>
      </c>
      <c r="I223" s="12" t="s">
        <v>1018</v>
      </c>
    </row>
    <row r="224" customFormat="false" ht="15" hidden="false" customHeight="false" outlineLevel="0" collapsed="false">
      <c r="A224" s="12" t="n">
        <v>221</v>
      </c>
      <c r="B224" s="12" t="s">
        <v>1003</v>
      </c>
      <c r="C224" s="12" t="s">
        <v>1032</v>
      </c>
      <c r="D224" s="40" t="n">
        <v>4273</v>
      </c>
      <c r="E224" s="31" t="s">
        <v>259</v>
      </c>
      <c r="F224" s="12" t="str">
        <f aca="false">IFERROR(INDEX('Расчет Кплотн'!$C:$C,MATCH(E224,'Расчет Кплотн'!$A:$A,0)),"код не найден")</f>
        <v>г. Астана</v>
      </c>
      <c r="G224" s="12" t="s">
        <v>503</v>
      </c>
      <c r="H224" s="12" t="s">
        <v>1033</v>
      </c>
      <c r="I224" s="12" t="s">
        <v>1006</v>
      </c>
    </row>
    <row r="225" customFormat="false" ht="15" hidden="false" customHeight="false" outlineLevel="0" collapsed="false">
      <c r="A225" s="12" t="n">
        <v>222</v>
      </c>
      <c r="B225" s="12" t="s">
        <v>1003</v>
      </c>
      <c r="C225" s="12" t="s">
        <v>1034</v>
      </c>
      <c r="D225" s="40" t="n">
        <v>28955</v>
      </c>
      <c r="E225" s="31" t="s">
        <v>259</v>
      </c>
      <c r="F225" s="12" t="str">
        <f aca="false">IFERROR(INDEX('Расчет Кплотн'!$C:$C,MATCH(E225,'Расчет Кплотн'!$A:$A,0)),"код не найден")</f>
        <v>г. Астана</v>
      </c>
      <c r="G225" s="12" t="s">
        <v>503</v>
      </c>
      <c r="H225" s="12" t="s">
        <v>1035</v>
      </c>
      <c r="I225" s="12" t="s">
        <v>1018</v>
      </c>
    </row>
    <row r="226" customFormat="false" ht="15" hidden="false" customHeight="false" outlineLevel="0" collapsed="false">
      <c r="A226" s="12" t="n">
        <v>223</v>
      </c>
      <c r="B226" s="12" t="s">
        <v>1003</v>
      </c>
      <c r="C226" s="12" t="s">
        <v>1036</v>
      </c>
      <c r="D226" s="40" t="n">
        <v>106033</v>
      </c>
      <c r="E226" s="31" t="s">
        <v>259</v>
      </c>
      <c r="F226" s="12" t="str">
        <f aca="false">IFERROR(INDEX('Расчет Кплотн'!$C:$C,MATCH(E226,'Расчет Кплотн'!$A:$A,0)),"код не найден")</f>
        <v>г. Астана</v>
      </c>
      <c r="G226" s="12" t="s">
        <v>503</v>
      </c>
      <c r="H226" s="12" t="s">
        <v>1037</v>
      </c>
      <c r="I226" s="12" t="s">
        <v>1011</v>
      </c>
    </row>
    <row r="227" customFormat="false" ht="15" hidden="false" customHeight="false" outlineLevel="0" collapsed="false">
      <c r="A227" s="12" t="n">
        <v>224</v>
      </c>
      <c r="B227" s="12" t="s">
        <v>1003</v>
      </c>
      <c r="C227" s="12" t="s">
        <v>1038</v>
      </c>
      <c r="D227" s="40" t="n">
        <v>15075</v>
      </c>
      <c r="E227" s="31" t="s">
        <v>259</v>
      </c>
      <c r="F227" s="12" t="str">
        <f aca="false">IFERROR(INDEX('Расчет Кплотн'!$C:$C,MATCH(E227,'Расчет Кплотн'!$A:$A,0)),"код не найден")</f>
        <v>г. Астана</v>
      </c>
      <c r="G227" s="12" t="s">
        <v>503</v>
      </c>
      <c r="H227" s="12" t="s">
        <v>1039</v>
      </c>
      <c r="I227" s="12" t="s">
        <v>1011</v>
      </c>
    </row>
    <row r="228" customFormat="false" ht="15" hidden="false" customHeight="false" outlineLevel="0" collapsed="false">
      <c r="A228" s="12" t="n">
        <v>225</v>
      </c>
      <c r="B228" s="12" t="s">
        <v>1003</v>
      </c>
      <c r="C228" s="12" t="s">
        <v>1025</v>
      </c>
      <c r="D228" s="40" t="n">
        <v>103673</v>
      </c>
      <c r="E228" s="31" t="s">
        <v>259</v>
      </c>
      <c r="F228" s="12" t="str">
        <f aca="false">IFERROR(INDEX('Расчет Кплотн'!$C:$C,MATCH(E228,'Расчет Кплотн'!$A:$A,0)),"код не найден")</f>
        <v>г. Астана</v>
      </c>
      <c r="G228" s="12" t="s">
        <v>503</v>
      </c>
      <c r="H228" s="12" t="s">
        <v>1026</v>
      </c>
      <c r="I228" s="12" t="s">
        <v>1011</v>
      </c>
    </row>
    <row r="229" customFormat="false" ht="15" hidden="false" customHeight="false" outlineLevel="0" collapsed="false">
      <c r="A229" s="12" t="n">
        <v>226</v>
      </c>
      <c r="B229" s="12" t="s">
        <v>1003</v>
      </c>
      <c r="C229" s="12" t="s">
        <v>1019</v>
      </c>
      <c r="D229" s="40" t="n">
        <v>6961</v>
      </c>
      <c r="E229" s="31" t="s">
        <v>259</v>
      </c>
      <c r="F229" s="12" t="str">
        <f aca="false">IFERROR(INDEX('Расчет Кплотн'!$C:$C,MATCH(E229,'Расчет Кплотн'!$A:$A,0)),"код не найден")</f>
        <v>г. Астана</v>
      </c>
      <c r="G229" s="12" t="s">
        <v>503</v>
      </c>
      <c r="H229" s="12" t="s">
        <v>1020</v>
      </c>
      <c r="I229" s="12" t="s">
        <v>1006</v>
      </c>
    </row>
    <row r="230" customFormat="false" ht="15" hidden="false" customHeight="false" outlineLevel="0" collapsed="false">
      <c r="A230" s="12" t="n">
        <v>227</v>
      </c>
      <c r="B230" s="12" t="s">
        <v>1003</v>
      </c>
      <c r="C230" s="12" t="s">
        <v>1044</v>
      </c>
      <c r="D230" s="40" t="n">
        <v>10275</v>
      </c>
      <c r="E230" s="31" t="s">
        <v>259</v>
      </c>
      <c r="F230" s="12" t="str">
        <f aca="false">IFERROR(INDEX('Расчет Кплотн'!$C:$C,MATCH(E230,'Расчет Кплотн'!$A:$A,0)),"код не найден")</f>
        <v>г. Астана</v>
      </c>
      <c r="G230" s="12" t="s">
        <v>503</v>
      </c>
      <c r="H230" s="12" t="s">
        <v>1045</v>
      </c>
      <c r="I230" s="12" t="s">
        <v>1018</v>
      </c>
    </row>
    <row r="231" customFormat="false" ht="15" hidden="false" customHeight="false" outlineLevel="0" collapsed="false">
      <c r="A231" s="12" t="n">
        <v>228</v>
      </c>
      <c r="B231" s="12" t="s">
        <v>1003</v>
      </c>
      <c r="C231" s="12" t="s">
        <v>1046</v>
      </c>
      <c r="D231" s="40" t="n">
        <v>88315</v>
      </c>
      <c r="E231" s="31" t="s">
        <v>259</v>
      </c>
      <c r="F231" s="12" t="str">
        <f aca="false">IFERROR(INDEX('Расчет Кплотн'!$C:$C,MATCH(E231,'Расчет Кплотн'!$A:$A,0)),"код не найден")</f>
        <v>г. Астана</v>
      </c>
      <c r="G231" s="12" t="s">
        <v>503</v>
      </c>
      <c r="H231" s="12" t="s">
        <v>1047</v>
      </c>
      <c r="I231" s="12" t="s">
        <v>1011</v>
      </c>
    </row>
    <row r="232" customFormat="false" ht="15" hidden="false" customHeight="false" outlineLevel="0" collapsed="false">
      <c r="A232" s="12" t="n">
        <v>229</v>
      </c>
      <c r="B232" s="12" t="s">
        <v>1003</v>
      </c>
      <c r="C232" s="12" t="s">
        <v>1040</v>
      </c>
      <c r="D232" s="40" t="n">
        <v>5735</v>
      </c>
      <c r="E232" s="31" t="s">
        <v>259</v>
      </c>
      <c r="F232" s="12" t="str">
        <f aca="false">IFERROR(INDEX('Расчет Кплотн'!$C:$C,MATCH(E232,'Расчет Кплотн'!$A:$A,0)),"код не найден")</f>
        <v>г. Астана</v>
      </c>
      <c r="G232" s="12" t="s">
        <v>503</v>
      </c>
      <c r="H232" s="12" t="s">
        <v>1041</v>
      </c>
      <c r="I232" s="12" t="s">
        <v>1018</v>
      </c>
    </row>
    <row r="233" customFormat="false" ht="15" hidden="false" customHeight="false" outlineLevel="0" collapsed="false">
      <c r="A233" s="12" t="n">
        <v>230</v>
      </c>
      <c r="B233" s="12" t="s">
        <v>1003</v>
      </c>
      <c r="C233" s="12" t="s">
        <v>1050</v>
      </c>
      <c r="D233" s="40" t="n">
        <v>75298</v>
      </c>
      <c r="E233" s="31" t="s">
        <v>259</v>
      </c>
      <c r="F233" s="12" t="str">
        <f aca="false">IFERROR(INDEX('Расчет Кплотн'!$C:$C,MATCH(E233,'Расчет Кплотн'!$A:$A,0)),"код не найден")</f>
        <v>г. Астана</v>
      </c>
      <c r="G233" s="12" t="s">
        <v>503</v>
      </c>
      <c r="H233" s="12" t="s">
        <v>1051</v>
      </c>
      <c r="I233" s="12" t="s">
        <v>1018</v>
      </c>
    </row>
    <row r="234" customFormat="false" ht="15" hidden="false" customHeight="false" outlineLevel="0" collapsed="false">
      <c r="A234" s="12" t="n">
        <v>231</v>
      </c>
      <c r="B234" s="12" t="s">
        <v>1003</v>
      </c>
      <c r="C234" s="12" t="s">
        <v>1061</v>
      </c>
      <c r="D234" s="40" t="n">
        <v>47713</v>
      </c>
      <c r="E234" s="31" t="s">
        <v>259</v>
      </c>
      <c r="F234" s="12" t="str">
        <f aca="false">IFERROR(INDEX('Расчет Кплотн'!$C:$C,MATCH(E234,'Расчет Кплотн'!$A:$A,0)),"код не найден")</f>
        <v>г. Астана</v>
      </c>
      <c r="G234" s="12" t="s">
        <v>503</v>
      </c>
      <c r="H234" s="12" t="s">
        <v>1062</v>
      </c>
      <c r="I234" s="12" t="s">
        <v>1011</v>
      </c>
    </row>
    <row r="235" customFormat="false" ht="15" hidden="false" customHeight="false" outlineLevel="0" collapsed="false">
      <c r="A235" s="12" t="n">
        <v>232</v>
      </c>
      <c r="B235" s="12" t="s">
        <v>1003</v>
      </c>
      <c r="C235" s="12" t="s">
        <v>1053</v>
      </c>
      <c r="D235" s="40" t="n">
        <v>42100</v>
      </c>
      <c r="E235" s="31" t="s">
        <v>259</v>
      </c>
      <c r="F235" s="12" t="str">
        <f aca="false">IFERROR(INDEX('Расчет Кплотн'!$C:$C,MATCH(E235,'Расчет Кплотн'!$A:$A,0)),"код не найден")</f>
        <v>г. Астана</v>
      </c>
      <c r="G235" s="12" t="s">
        <v>503</v>
      </c>
      <c r="H235" s="12" t="s">
        <v>1054</v>
      </c>
      <c r="I235" s="12" t="s">
        <v>1018</v>
      </c>
    </row>
    <row r="236" customFormat="false" ht="15" hidden="false" customHeight="false" outlineLevel="0" collapsed="false">
      <c r="A236" s="12" t="n">
        <v>233</v>
      </c>
      <c r="B236" s="12" t="s">
        <v>1003</v>
      </c>
      <c r="C236" s="12" t="s">
        <v>1055</v>
      </c>
      <c r="D236" s="40" t="n">
        <v>52917</v>
      </c>
      <c r="E236" s="31" t="s">
        <v>259</v>
      </c>
      <c r="F236" s="12" t="str">
        <f aca="false">IFERROR(INDEX('Расчет Кплотн'!$C:$C,MATCH(E236,'Расчет Кплотн'!$A:$A,0)),"код не найден")</f>
        <v>г. Астана</v>
      </c>
      <c r="G236" s="12" t="s">
        <v>503</v>
      </c>
      <c r="H236" s="12" t="s">
        <v>1056</v>
      </c>
      <c r="I236" s="12" t="s">
        <v>1006</v>
      </c>
    </row>
    <row r="237" customFormat="false" ht="15" hidden="false" customHeight="false" outlineLevel="0" collapsed="false">
      <c r="A237" s="12" t="n">
        <v>234</v>
      </c>
      <c r="B237" s="12" t="s">
        <v>1003</v>
      </c>
      <c r="C237" s="12" t="s">
        <v>1057</v>
      </c>
      <c r="D237" s="40" t="n">
        <v>56489</v>
      </c>
      <c r="E237" s="31" t="s">
        <v>259</v>
      </c>
      <c r="F237" s="12" t="str">
        <f aca="false">IFERROR(INDEX('Расчет Кплотн'!$C:$C,MATCH(E237,'Расчет Кплотн'!$A:$A,0)),"код не найден")</f>
        <v>г. Астана</v>
      </c>
      <c r="G237" s="12" t="s">
        <v>503</v>
      </c>
      <c r="H237" s="12" t="s">
        <v>1058</v>
      </c>
      <c r="I237" s="12" t="s">
        <v>1018</v>
      </c>
    </row>
    <row r="238" customFormat="false" ht="15" hidden="false" customHeight="false" outlineLevel="0" collapsed="false">
      <c r="A238" s="12" t="n">
        <v>235</v>
      </c>
      <c r="B238" s="12" t="s">
        <v>1003</v>
      </c>
      <c r="C238" s="12" t="s">
        <v>1059</v>
      </c>
      <c r="D238" s="40" t="n">
        <v>85257</v>
      </c>
      <c r="E238" s="31" t="s">
        <v>259</v>
      </c>
      <c r="F238" s="12" t="str">
        <f aca="false">IFERROR(INDEX('Расчет Кплотн'!$C:$C,MATCH(E238,'Расчет Кплотн'!$A:$A,0)),"код не найден")</f>
        <v>г. Астана</v>
      </c>
      <c r="G238" s="12" t="s">
        <v>503</v>
      </c>
      <c r="H238" s="12" t="s">
        <v>1060</v>
      </c>
      <c r="I238" s="12" t="s">
        <v>1018</v>
      </c>
    </row>
    <row r="239" customFormat="false" ht="15" hidden="false" customHeight="false" outlineLevel="0" collapsed="false">
      <c r="A239" s="12" t="n">
        <v>236</v>
      </c>
      <c r="B239" s="12" t="s">
        <v>1003</v>
      </c>
      <c r="C239" s="12" t="s">
        <v>1048</v>
      </c>
      <c r="D239" s="40" t="n">
        <v>18956</v>
      </c>
      <c r="E239" s="31" t="s">
        <v>259</v>
      </c>
      <c r="F239" s="12" t="str">
        <f aca="false">IFERROR(INDEX('Расчет Кплотн'!$C:$C,MATCH(E239,'Расчет Кплотн'!$A:$A,0)),"код не найден")</f>
        <v>г. Астана</v>
      </c>
      <c r="G239" s="12" t="s">
        <v>503</v>
      </c>
      <c r="H239" s="12" t="s">
        <v>1049</v>
      </c>
      <c r="I239" s="12" t="s">
        <v>1018</v>
      </c>
    </row>
    <row r="240" customFormat="false" ht="15" hidden="false" customHeight="false" outlineLevel="0" collapsed="false">
      <c r="A240" s="12" t="n">
        <v>237</v>
      </c>
      <c r="B240" s="12" t="s">
        <v>1003</v>
      </c>
      <c r="C240" s="12" t="s">
        <v>1082</v>
      </c>
      <c r="D240" s="40" t="n">
        <v>81698</v>
      </c>
      <c r="E240" s="31" t="s">
        <v>259</v>
      </c>
      <c r="F240" s="12" t="str">
        <f aca="false">IFERROR(INDEX('Расчет Кплотн'!$C:$C,MATCH(E240,'Расчет Кплотн'!$A:$A,0)),"код не найден")</f>
        <v>г. Астана</v>
      </c>
      <c r="G240" s="12" t="s">
        <v>503</v>
      </c>
      <c r="H240" s="12" t="s">
        <v>1083</v>
      </c>
      <c r="I240" s="12" t="s">
        <v>1006</v>
      </c>
    </row>
    <row r="241" customFormat="false" ht="15" hidden="false" customHeight="false" outlineLevel="0" collapsed="false">
      <c r="A241" s="12" t="n">
        <v>238</v>
      </c>
      <c r="B241" s="12" t="s">
        <v>1003</v>
      </c>
      <c r="C241" s="12" t="s">
        <v>1065</v>
      </c>
      <c r="D241" s="40" t="n">
        <v>100108</v>
      </c>
      <c r="E241" s="31" t="s">
        <v>259</v>
      </c>
      <c r="F241" s="12" t="str">
        <f aca="false">IFERROR(INDEX('Расчет Кплотн'!$C:$C,MATCH(E241,'Расчет Кплотн'!$A:$A,0)),"код не найден")</f>
        <v>г. Астана</v>
      </c>
      <c r="G241" s="12" t="s">
        <v>503</v>
      </c>
      <c r="H241" s="12" t="s">
        <v>1066</v>
      </c>
      <c r="I241" s="12" t="s">
        <v>1011</v>
      </c>
    </row>
    <row r="242" customFormat="false" ht="15" hidden="false" customHeight="false" outlineLevel="0" collapsed="false">
      <c r="A242" s="12" t="n">
        <v>239</v>
      </c>
      <c r="B242" s="12" t="s">
        <v>1003</v>
      </c>
      <c r="C242" s="12" t="s">
        <v>1067</v>
      </c>
      <c r="D242" s="40" t="n">
        <v>39136</v>
      </c>
      <c r="E242" s="31" t="s">
        <v>259</v>
      </c>
      <c r="F242" s="12" t="str">
        <f aca="false">IFERROR(INDEX('Расчет Кплотн'!$C:$C,MATCH(E242,'Расчет Кплотн'!$A:$A,0)),"код не найден")</f>
        <v>г. Астана</v>
      </c>
      <c r="G242" s="12" t="s">
        <v>1069</v>
      </c>
      <c r="H242" s="12" t="s">
        <v>1068</v>
      </c>
      <c r="I242" s="12" t="s">
        <v>1006</v>
      </c>
    </row>
    <row r="243" customFormat="false" ht="15" hidden="false" customHeight="false" outlineLevel="0" collapsed="false">
      <c r="A243" s="12" t="n">
        <v>240</v>
      </c>
      <c r="B243" s="12" t="s">
        <v>1003</v>
      </c>
      <c r="C243" s="12" t="s">
        <v>1070</v>
      </c>
      <c r="D243" s="40" t="n">
        <v>55327</v>
      </c>
      <c r="E243" s="31" t="s">
        <v>259</v>
      </c>
      <c r="F243" s="12" t="str">
        <f aca="false">IFERROR(INDEX('Расчет Кплотн'!$C:$C,MATCH(E243,'Расчет Кплотн'!$A:$A,0)),"код не найден")</f>
        <v>г. Астана</v>
      </c>
      <c r="G243" s="12" t="s">
        <v>503</v>
      </c>
      <c r="H243" s="12" t="s">
        <v>1071</v>
      </c>
      <c r="I243" s="12" t="s">
        <v>1018</v>
      </c>
    </row>
    <row r="244" customFormat="false" ht="15" hidden="false" customHeight="false" outlineLevel="0" collapsed="false">
      <c r="A244" s="12" t="n">
        <v>241</v>
      </c>
      <c r="B244" s="12" t="s">
        <v>1003</v>
      </c>
      <c r="C244" s="12" t="s">
        <v>1072</v>
      </c>
      <c r="D244" s="40" t="n">
        <v>98015</v>
      </c>
      <c r="E244" s="31" t="s">
        <v>259</v>
      </c>
      <c r="F244" s="12" t="str">
        <f aca="false">IFERROR(INDEX('Расчет Кплотн'!$C:$C,MATCH(E244,'Расчет Кплотн'!$A:$A,0)),"код не найден")</f>
        <v>г. Астана</v>
      </c>
      <c r="G244" s="12" t="s">
        <v>503</v>
      </c>
      <c r="H244" s="12" t="s">
        <v>1073</v>
      </c>
      <c r="I244" s="12" t="s">
        <v>1006</v>
      </c>
    </row>
    <row r="245" customFormat="false" ht="15" hidden="false" customHeight="false" outlineLevel="0" collapsed="false">
      <c r="A245" s="12" t="n">
        <v>242</v>
      </c>
      <c r="B245" s="12" t="s">
        <v>1003</v>
      </c>
      <c r="C245" s="12" t="s">
        <v>1074</v>
      </c>
      <c r="D245" s="40" t="n">
        <v>36231</v>
      </c>
      <c r="E245" s="31" t="s">
        <v>259</v>
      </c>
      <c r="F245" s="12" t="str">
        <f aca="false">IFERROR(INDEX('Расчет Кплотн'!$C:$C,MATCH(E245,'Расчет Кплотн'!$A:$A,0)),"код не найден")</f>
        <v>г. Астана</v>
      </c>
      <c r="G245" s="12" t="s">
        <v>503</v>
      </c>
      <c r="H245" s="12" t="s">
        <v>1075</v>
      </c>
      <c r="I245" s="12" t="s">
        <v>1011</v>
      </c>
    </row>
    <row r="246" customFormat="false" ht="15" hidden="false" customHeight="false" outlineLevel="0" collapsed="false">
      <c r="A246" s="12" t="n">
        <v>243</v>
      </c>
      <c r="B246" s="12" t="s">
        <v>1003</v>
      </c>
      <c r="C246" s="12" t="s">
        <v>700</v>
      </c>
      <c r="D246" s="40" t="n">
        <v>10073</v>
      </c>
      <c r="E246" s="31" t="s">
        <v>259</v>
      </c>
      <c r="F246" s="12" t="str">
        <f aca="false">IFERROR(INDEX('Расчет Кплотн'!$C:$C,MATCH(E246,'Расчет Кплотн'!$A:$A,0)),"код не найден")</f>
        <v>г. Астана</v>
      </c>
      <c r="G246" s="12" t="s">
        <v>503</v>
      </c>
      <c r="H246" s="12" t="s">
        <v>1052</v>
      </c>
      <c r="I246" s="12" t="s">
        <v>1011</v>
      </c>
    </row>
    <row r="247" customFormat="false" ht="15" hidden="false" customHeight="false" outlineLevel="0" collapsed="false">
      <c r="A247" s="12" t="n">
        <v>244</v>
      </c>
      <c r="B247" s="12" t="s">
        <v>1003</v>
      </c>
      <c r="C247" s="12" t="s">
        <v>1076</v>
      </c>
      <c r="D247" s="40" t="n">
        <v>51186</v>
      </c>
      <c r="E247" s="31" t="s">
        <v>259</v>
      </c>
      <c r="F247" s="12" t="str">
        <f aca="false">IFERROR(INDEX('Расчет Кплотн'!$C:$C,MATCH(E247,'Расчет Кплотн'!$A:$A,0)),"код не найден")</f>
        <v>г. Астана</v>
      </c>
      <c r="G247" s="12" t="s">
        <v>503</v>
      </c>
      <c r="H247" s="12" t="s">
        <v>1077</v>
      </c>
      <c r="I247" s="12" t="s">
        <v>1006</v>
      </c>
    </row>
    <row r="248" customFormat="false" ht="15" hidden="false" customHeight="false" outlineLevel="0" collapsed="false">
      <c r="A248" s="12" t="n">
        <v>245</v>
      </c>
      <c r="B248" s="12" t="s">
        <v>1003</v>
      </c>
      <c r="C248" s="12" t="s">
        <v>1080</v>
      </c>
      <c r="D248" s="40" t="n">
        <v>4375</v>
      </c>
      <c r="E248" s="31" t="s">
        <v>259</v>
      </c>
      <c r="F248" s="12" t="str">
        <f aca="false">IFERROR(INDEX('Расчет Кплотн'!$C:$C,MATCH(E248,'Расчет Кплотн'!$A:$A,0)),"код не найден")</f>
        <v>г. Астана</v>
      </c>
      <c r="G248" s="12" t="s">
        <v>503</v>
      </c>
      <c r="H248" s="12" t="s">
        <v>1081</v>
      </c>
      <c r="I248" s="12" t="s">
        <v>1018</v>
      </c>
    </row>
    <row r="249" customFormat="false" ht="15" hidden="false" customHeight="false" outlineLevel="0" collapsed="false">
      <c r="A249" s="12" t="n">
        <v>246</v>
      </c>
      <c r="B249" s="12" t="s">
        <v>1003</v>
      </c>
      <c r="C249" s="12" t="s">
        <v>1063</v>
      </c>
      <c r="D249" s="40" t="n">
        <v>82491</v>
      </c>
      <c r="E249" s="31" t="s">
        <v>259</v>
      </c>
      <c r="F249" s="12" t="str">
        <f aca="false">IFERROR(INDEX('Расчет Кплотн'!$C:$C,MATCH(E249,'Расчет Кплотн'!$A:$A,0)),"код не найден")</f>
        <v>г. Астана</v>
      </c>
      <c r="G249" s="12" t="s">
        <v>503</v>
      </c>
      <c r="H249" s="12" t="s">
        <v>1064</v>
      </c>
      <c r="I249" s="12" t="s">
        <v>1006</v>
      </c>
    </row>
    <row r="250" customFormat="false" ht="15" hidden="false" customHeight="false" outlineLevel="0" collapsed="false">
      <c r="A250" s="12" t="n">
        <v>247</v>
      </c>
      <c r="B250" s="12" t="s">
        <v>1003</v>
      </c>
      <c r="C250" s="12" t="s">
        <v>1084</v>
      </c>
      <c r="D250" s="40" t="n">
        <v>4424</v>
      </c>
      <c r="E250" s="31" t="s">
        <v>259</v>
      </c>
      <c r="F250" s="12" t="str">
        <f aca="false">IFERROR(INDEX('Расчет Кплотн'!$C:$C,MATCH(E250,'Расчет Кплотн'!$A:$A,0)),"код не найден")</f>
        <v>г. Астана</v>
      </c>
      <c r="G250" s="12" t="s">
        <v>503</v>
      </c>
      <c r="H250" s="12" t="s">
        <v>1085</v>
      </c>
      <c r="I250" s="12" t="s">
        <v>1011</v>
      </c>
    </row>
    <row r="251" customFormat="false" ht="15" hidden="false" customHeight="false" outlineLevel="0" collapsed="false">
      <c r="A251" s="12" t="n">
        <v>248</v>
      </c>
      <c r="B251" s="12" t="s">
        <v>1003</v>
      </c>
      <c r="C251" s="12" t="s">
        <v>1086</v>
      </c>
      <c r="D251" s="40" t="n">
        <v>29929</v>
      </c>
      <c r="E251" s="31" t="s">
        <v>259</v>
      </c>
      <c r="F251" s="12" t="str">
        <f aca="false">IFERROR(INDEX('Расчет Кплотн'!$C:$C,MATCH(E251,'Расчет Кплотн'!$A:$A,0)),"код не найден")</f>
        <v>г. Астана</v>
      </c>
      <c r="G251" s="12" t="s">
        <v>503</v>
      </c>
      <c r="H251" s="12" t="s">
        <v>1087</v>
      </c>
      <c r="I251" s="12" t="s">
        <v>1018</v>
      </c>
    </row>
    <row r="252" customFormat="false" ht="15" hidden="false" customHeight="false" outlineLevel="0" collapsed="false">
      <c r="A252" s="12" t="n">
        <v>249</v>
      </c>
      <c r="B252" s="12" t="s">
        <v>1003</v>
      </c>
      <c r="C252" s="12" t="s">
        <v>1088</v>
      </c>
      <c r="D252" s="40" t="n">
        <v>29993</v>
      </c>
      <c r="E252" s="31" t="s">
        <v>259</v>
      </c>
      <c r="F252" s="12" t="str">
        <f aca="false">IFERROR(INDEX('Расчет Кплотн'!$C:$C,MATCH(E252,'Расчет Кплотн'!$A:$A,0)),"код не найден")</f>
        <v>г. Астана</v>
      </c>
      <c r="G252" s="12" t="s">
        <v>503</v>
      </c>
      <c r="H252" s="12" t="s">
        <v>1089</v>
      </c>
      <c r="I252" s="12" t="s">
        <v>1018</v>
      </c>
    </row>
    <row r="253" customFormat="false" ht="15" hidden="false" customHeight="false" outlineLevel="0" collapsed="false">
      <c r="A253" s="12" t="n">
        <v>250</v>
      </c>
      <c r="B253" s="12" t="s">
        <v>1003</v>
      </c>
      <c r="C253" s="12" t="s">
        <v>1090</v>
      </c>
      <c r="D253" s="40" t="n">
        <v>12182</v>
      </c>
      <c r="E253" s="31" t="s">
        <v>259</v>
      </c>
      <c r="F253" s="12" t="str">
        <f aca="false">IFERROR(INDEX('Расчет Кплотн'!$C:$C,MATCH(E253,'Расчет Кплотн'!$A:$A,0)),"код не найден")</f>
        <v>г. Астана</v>
      </c>
      <c r="G253" s="12" t="s">
        <v>503</v>
      </c>
      <c r="H253" s="12" t="s">
        <v>1091</v>
      </c>
      <c r="I253" s="12" t="s">
        <v>1011</v>
      </c>
    </row>
    <row r="254" customFormat="false" ht="15" hidden="false" customHeight="false" outlineLevel="0" collapsed="false">
      <c r="A254" s="12" t="n">
        <v>251</v>
      </c>
      <c r="B254" s="12" t="s">
        <v>1092</v>
      </c>
      <c r="C254" s="12" t="s">
        <v>1093</v>
      </c>
      <c r="D254" s="40" t="n">
        <v>37465</v>
      </c>
      <c r="E254" s="31" t="s">
        <v>106</v>
      </c>
      <c r="F254" s="12" t="str">
        <f aca="false">IFERROR(INDEX('Расчет Кплотн'!$C:$C,MATCH(E254,'Расчет Кплотн'!$A:$A,0)),"код не найден")</f>
        <v>Атырау</v>
      </c>
      <c r="G254" s="12" t="s">
        <v>503</v>
      </c>
      <c r="H254" s="12" t="s">
        <v>1094</v>
      </c>
      <c r="I254" s="12" t="s">
        <v>1095</v>
      </c>
    </row>
    <row r="255" customFormat="false" ht="15" hidden="false" customHeight="false" outlineLevel="0" collapsed="false">
      <c r="A255" s="12" t="n">
        <v>252</v>
      </c>
      <c r="B255" s="12" t="s">
        <v>1092</v>
      </c>
      <c r="C255" s="12" t="s">
        <v>1096</v>
      </c>
      <c r="D255" s="40" t="n">
        <v>13946</v>
      </c>
      <c r="E255" s="31" t="s">
        <v>106</v>
      </c>
      <c r="F255" s="12" t="str">
        <f aca="false">IFERROR(INDEX('Расчет Кплотн'!$C:$C,MATCH(E255,'Расчет Кплотн'!$A:$A,0)),"код не найден")</f>
        <v>Атырау</v>
      </c>
      <c r="G255" s="12" t="s">
        <v>503</v>
      </c>
      <c r="H255" s="12" t="s">
        <v>1097</v>
      </c>
      <c r="I255" s="12" t="s">
        <v>1098</v>
      </c>
    </row>
    <row r="256" customFormat="false" ht="15" hidden="false" customHeight="false" outlineLevel="0" collapsed="false">
      <c r="A256" s="12" t="n">
        <v>253</v>
      </c>
      <c r="B256" s="12" t="s">
        <v>1092</v>
      </c>
      <c r="C256" s="12" t="s">
        <v>1099</v>
      </c>
      <c r="D256" s="40" t="n">
        <v>11281</v>
      </c>
      <c r="E256" s="31" t="s">
        <v>106</v>
      </c>
      <c r="F256" s="12" t="str">
        <f aca="false">IFERROR(INDEX('Расчет Кплотн'!$C:$C,MATCH(E256,'Расчет Кплотн'!$A:$A,0)),"код не найден")</f>
        <v>Атырау</v>
      </c>
      <c r="G256" s="12" t="s">
        <v>503</v>
      </c>
      <c r="H256" s="12" t="s">
        <v>1100</v>
      </c>
      <c r="I256" s="12" t="s">
        <v>1095</v>
      </c>
    </row>
    <row r="257" customFormat="false" ht="15" hidden="false" customHeight="false" outlineLevel="0" collapsed="false">
      <c r="A257" s="12" t="n">
        <v>254</v>
      </c>
      <c r="B257" s="12" t="s">
        <v>1092</v>
      </c>
      <c r="C257" s="12" t="s">
        <v>1101</v>
      </c>
      <c r="D257" s="40" t="n">
        <v>26163</v>
      </c>
      <c r="E257" s="31" t="s">
        <v>106</v>
      </c>
      <c r="F257" s="12" t="str">
        <f aca="false">IFERROR(INDEX('Расчет Кплотн'!$C:$C,MATCH(E257,'Расчет Кплотн'!$A:$A,0)),"код не найден")</f>
        <v>Атырау</v>
      </c>
      <c r="G257" s="12" t="s">
        <v>503</v>
      </c>
      <c r="H257" s="12" t="s">
        <v>1102</v>
      </c>
      <c r="I257" s="12" t="s">
        <v>1095</v>
      </c>
    </row>
    <row r="258" customFormat="false" ht="15" hidden="false" customHeight="false" outlineLevel="0" collapsed="false">
      <c r="A258" s="12" t="n">
        <v>255</v>
      </c>
      <c r="B258" s="12" t="s">
        <v>1092</v>
      </c>
      <c r="C258" s="12" t="s">
        <v>1103</v>
      </c>
      <c r="D258" s="40" t="n">
        <v>24429</v>
      </c>
      <c r="E258" s="31" t="s">
        <v>106</v>
      </c>
      <c r="F258" s="12" t="str">
        <f aca="false">IFERROR(INDEX('Расчет Кплотн'!$C:$C,MATCH(E258,'Расчет Кплотн'!$A:$A,0)),"код не найден")</f>
        <v>Атырау</v>
      </c>
      <c r="G258" s="12" t="s">
        <v>503</v>
      </c>
      <c r="H258" s="12" t="s">
        <v>1104</v>
      </c>
      <c r="I258" s="12" t="s">
        <v>1095</v>
      </c>
    </row>
    <row r="259" customFormat="false" ht="15" hidden="false" customHeight="false" outlineLevel="0" collapsed="false">
      <c r="A259" s="12" t="n">
        <v>256</v>
      </c>
      <c r="B259" s="12" t="s">
        <v>1092</v>
      </c>
      <c r="C259" s="12" t="s">
        <v>1105</v>
      </c>
      <c r="D259" s="40" t="n">
        <v>22068</v>
      </c>
      <c r="E259" s="31" t="s">
        <v>106</v>
      </c>
      <c r="F259" s="12" t="str">
        <f aca="false">IFERROR(INDEX('Расчет Кплотн'!$C:$C,MATCH(E259,'Расчет Кплотн'!$A:$A,0)),"код не найден")</f>
        <v>Атырау</v>
      </c>
      <c r="G259" s="12" t="s">
        <v>503</v>
      </c>
      <c r="H259" s="12" t="s">
        <v>1106</v>
      </c>
      <c r="I259" s="12" t="s">
        <v>1095</v>
      </c>
    </row>
    <row r="260" customFormat="false" ht="15" hidden="false" customHeight="false" outlineLevel="0" collapsed="false">
      <c r="A260" s="12" t="n">
        <v>257</v>
      </c>
      <c r="B260" s="12" t="s">
        <v>1092</v>
      </c>
      <c r="C260" s="12" t="s">
        <v>1107</v>
      </c>
      <c r="D260" s="40" t="n">
        <v>8160</v>
      </c>
      <c r="E260" s="31" t="s">
        <v>106</v>
      </c>
      <c r="F260" s="12" t="str">
        <f aca="false">IFERROR(INDEX('Расчет Кплотн'!$C:$C,MATCH(E260,'Расчет Кплотн'!$A:$A,0)),"код не найден")</f>
        <v>Атырау</v>
      </c>
      <c r="G260" s="12" t="s">
        <v>503</v>
      </c>
      <c r="H260" s="12" t="s">
        <v>1108</v>
      </c>
      <c r="I260" s="12" t="s">
        <v>1095</v>
      </c>
    </row>
    <row r="261" customFormat="false" ht="15" hidden="false" customHeight="false" outlineLevel="0" collapsed="false">
      <c r="A261" s="12" t="n">
        <v>258</v>
      </c>
      <c r="B261" s="12" t="s">
        <v>1092</v>
      </c>
      <c r="C261" s="12" t="s">
        <v>1109</v>
      </c>
      <c r="D261" s="40" t="n">
        <v>27414</v>
      </c>
      <c r="E261" s="31" t="s">
        <v>111</v>
      </c>
      <c r="F261" s="12" t="str">
        <f aca="false">IFERROR(INDEX('Расчет Кплотн'!$C:$C,MATCH(E261,'Расчет Кплотн'!$A:$A,0)),"код не найден")</f>
        <v>Кзылкогинский район</v>
      </c>
      <c r="G261" s="12" t="s">
        <v>503</v>
      </c>
      <c r="H261" s="12" t="s">
        <v>1110</v>
      </c>
      <c r="I261" s="12" t="s">
        <v>1111</v>
      </c>
    </row>
    <row r="262" customFormat="false" ht="15" hidden="false" customHeight="false" outlineLevel="0" collapsed="false">
      <c r="A262" s="12" t="n">
        <v>259</v>
      </c>
      <c r="B262" s="12" t="s">
        <v>1092</v>
      </c>
      <c r="C262" s="12" t="s">
        <v>1112</v>
      </c>
      <c r="D262" s="40" t="n">
        <v>26015</v>
      </c>
      <c r="E262" s="31" t="s">
        <v>112</v>
      </c>
      <c r="F262" s="12" t="str">
        <f aca="false">IFERROR(INDEX('Расчет Кплотн'!$C:$C,MATCH(E262,'Расчет Кплотн'!$A:$A,0)),"код не найден")</f>
        <v>Макатский район</v>
      </c>
      <c r="G262" s="12" t="s">
        <v>503</v>
      </c>
      <c r="H262" s="12" t="s">
        <v>1113</v>
      </c>
      <c r="I262" s="12" t="s">
        <v>1114</v>
      </c>
    </row>
    <row r="263" customFormat="false" ht="15" hidden="false" customHeight="false" outlineLevel="0" collapsed="false">
      <c r="A263" s="12" t="n">
        <v>260</v>
      </c>
      <c r="B263" s="12" t="s">
        <v>1092</v>
      </c>
      <c r="C263" s="12" t="s">
        <v>1115</v>
      </c>
      <c r="D263" s="40" t="n">
        <v>4663</v>
      </c>
      <c r="E263" s="31" t="s">
        <v>106</v>
      </c>
      <c r="F263" s="12" t="str">
        <f aca="false">IFERROR(INDEX('Расчет Кплотн'!$C:$C,MATCH(E263,'Расчет Кплотн'!$A:$A,0)),"код не найден")</f>
        <v>Атырау</v>
      </c>
      <c r="G263" s="12" t="s">
        <v>503</v>
      </c>
      <c r="H263" s="12" t="s">
        <v>1116</v>
      </c>
      <c r="I263" s="12" t="s">
        <v>1095</v>
      </c>
    </row>
    <row r="264" customFormat="false" ht="15" hidden="false" customHeight="false" outlineLevel="0" collapsed="false">
      <c r="A264" s="12" t="n">
        <v>261</v>
      </c>
      <c r="B264" s="12" t="s">
        <v>1092</v>
      </c>
      <c r="C264" s="12" t="s">
        <v>1117</v>
      </c>
      <c r="D264" s="40" t="n">
        <v>38161</v>
      </c>
      <c r="E264" s="31" t="s">
        <v>106</v>
      </c>
      <c r="F264" s="12" t="str">
        <f aca="false">IFERROR(INDEX('Расчет Кплотн'!$C:$C,MATCH(E264,'Расчет Кплотн'!$A:$A,0)),"код не найден")</f>
        <v>Атырау</v>
      </c>
      <c r="G264" s="12" t="s">
        <v>503</v>
      </c>
      <c r="H264" s="12" t="s">
        <v>1118</v>
      </c>
      <c r="I264" s="12" t="s">
        <v>1095</v>
      </c>
    </row>
    <row r="265" customFormat="false" ht="15" hidden="false" customHeight="false" outlineLevel="0" collapsed="false">
      <c r="A265" s="12" t="n">
        <v>262</v>
      </c>
      <c r="B265" s="12" t="s">
        <v>1092</v>
      </c>
      <c r="C265" s="12" t="s">
        <v>1119</v>
      </c>
      <c r="D265" s="40" t="n">
        <v>61730</v>
      </c>
      <c r="E265" s="31" t="s">
        <v>106</v>
      </c>
      <c r="F265" s="12" t="str">
        <f aca="false">IFERROR(INDEX('Расчет Кплотн'!$C:$C,MATCH(E265,'Расчет Кплотн'!$A:$A,0)),"код не найден")</f>
        <v>Атырау</v>
      </c>
      <c r="G265" s="12" t="s">
        <v>503</v>
      </c>
      <c r="H265" s="12" t="s">
        <v>1120</v>
      </c>
      <c r="I265" s="12" t="s">
        <v>1095</v>
      </c>
    </row>
    <row r="266" customFormat="false" ht="15" hidden="false" customHeight="false" outlineLevel="0" collapsed="false">
      <c r="A266" s="12" t="n">
        <v>263</v>
      </c>
      <c r="B266" s="12" t="s">
        <v>1092</v>
      </c>
      <c r="C266" s="12" t="s">
        <v>1121</v>
      </c>
      <c r="D266" s="40" t="n">
        <v>54029</v>
      </c>
      <c r="E266" s="31" t="s">
        <v>106</v>
      </c>
      <c r="F266" s="12" t="str">
        <f aca="false">IFERROR(INDEX('Расчет Кплотн'!$C:$C,MATCH(E266,'Расчет Кплотн'!$A:$A,0)),"код не найден")</f>
        <v>Атырау</v>
      </c>
      <c r="G266" s="12" t="s">
        <v>503</v>
      </c>
      <c r="H266" s="12" t="s">
        <v>1122</v>
      </c>
      <c r="I266" s="12" t="s">
        <v>1095</v>
      </c>
    </row>
    <row r="267" customFormat="false" ht="15" hidden="false" customHeight="false" outlineLevel="0" collapsed="false">
      <c r="A267" s="12" t="n">
        <v>264</v>
      </c>
      <c r="B267" s="12" t="s">
        <v>1092</v>
      </c>
      <c r="C267" s="12" t="s">
        <v>1123</v>
      </c>
      <c r="D267" s="40" t="n">
        <v>37463</v>
      </c>
      <c r="E267" s="31" t="s">
        <v>106</v>
      </c>
      <c r="F267" s="12" t="str">
        <f aca="false">IFERROR(INDEX('Расчет Кплотн'!$C:$C,MATCH(E267,'Расчет Кплотн'!$A:$A,0)),"код не найден")</f>
        <v>Атырау</v>
      </c>
      <c r="G267" s="12" t="s">
        <v>503</v>
      </c>
      <c r="H267" s="12" t="s">
        <v>1124</v>
      </c>
      <c r="I267" s="12" t="s">
        <v>1095</v>
      </c>
    </row>
    <row r="268" customFormat="false" ht="15" hidden="false" customHeight="false" outlineLevel="0" collapsed="false">
      <c r="A268" s="12" t="n">
        <v>265</v>
      </c>
      <c r="B268" s="12" t="s">
        <v>1092</v>
      </c>
      <c r="C268" s="12" t="s">
        <v>1125</v>
      </c>
      <c r="D268" s="40" t="n">
        <v>25235</v>
      </c>
      <c r="E268" s="31" t="s">
        <v>113</v>
      </c>
      <c r="F268" s="12" t="str">
        <f aca="false">IFERROR(INDEX('Расчет Кплотн'!$C:$C,MATCH(E268,'Расчет Кплотн'!$A:$A,0)),"код не найден")</f>
        <v>Махамбетский район</v>
      </c>
      <c r="G268" s="12" t="s">
        <v>503</v>
      </c>
      <c r="H268" s="12" t="s">
        <v>1126</v>
      </c>
      <c r="I268" s="12" t="s">
        <v>1127</v>
      </c>
    </row>
    <row r="269" customFormat="false" ht="15" hidden="false" customHeight="false" outlineLevel="0" collapsed="false">
      <c r="A269" s="12" t="n">
        <v>266</v>
      </c>
      <c r="B269" s="12" t="s">
        <v>1092</v>
      </c>
      <c r="C269" s="12" t="s">
        <v>1128</v>
      </c>
      <c r="D269" s="40" t="n">
        <v>23265</v>
      </c>
      <c r="E269" s="31" t="s">
        <v>109</v>
      </c>
      <c r="F269" s="12" t="str">
        <f aca="false">IFERROR(INDEX('Расчет Кплотн'!$C:$C,MATCH(E269,'Расчет Кплотн'!$A:$A,0)),"код не найден")</f>
        <v>Исатайский район</v>
      </c>
      <c r="G269" s="12" t="s">
        <v>503</v>
      </c>
      <c r="H269" s="12" t="s">
        <v>1129</v>
      </c>
      <c r="I269" s="12" t="s">
        <v>1130</v>
      </c>
    </row>
    <row r="270" customFormat="false" ht="15" hidden="false" customHeight="false" outlineLevel="0" collapsed="false">
      <c r="A270" s="12" t="n">
        <v>267</v>
      </c>
      <c r="B270" s="12" t="s">
        <v>1092</v>
      </c>
      <c r="C270" s="12" t="s">
        <v>1131</v>
      </c>
      <c r="D270" s="40" t="n">
        <v>16208</v>
      </c>
      <c r="E270" s="31" t="s">
        <v>106</v>
      </c>
      <c r="F270" s="12" t="str">
        <f aca="false">IFERROR(INDEX('Расчет Кплотн'!$C:$C,MATCH(E270,'Расчет Кплотн'!$A:$A,0)),"код не найден")</f>
        <v>Атырау</v>
      </c>
      <c r="G270" s="12" t="s">
        <v>503</v>
      </c>
      <c r="H270" s="12" t="s">
        <v>1132</v>
      </c>
      <c r="I270" s="12" t="s">
        <v>1095</v>
      </c>
    </row>
    <row r="271" customFormat="false" ht="15" hidden="false" customHeight="false" outlineLevel="0" collapsed="false">
      <c r="A271" s="12" t="n">
        <v>268</v>
      </c>
      <c r="B271" s="12" t="s">
        <v>1092</v>
      </c>
      <c r="C271" s="12" t="s">
        <v>1133</v>
      </c>
      <c r="D271" s="40" t="n">
        <v>48286</v>
      </c>
      <c r="E271" s="31" t="s">
        <v>110</v>
      </c>
      <c r="F271" s="12" t="str">
        <f aca="false">IFERROR(INDEX('Расчет Кплотн'!$C:$C,MATCH(E271,'Расчет Кплотн'!$A:$A,0)),"код не найден")</f>
        <v>Курмангазинский район</v>
      </c>
      <c r="G271" s="12" t="s">
        <v>503</v>
      </c>
      <c r="H271" s="12" t="s">
        <v>1134</v>
      </c>
      <c r="I271" s="12" t="s">
        <v>1135</v>
      </c>
    </row>
    <row r="272" customFormat="false" ht="15" hidden="false" customHeight="false" outlineLevel="0" collapsed="false">
      <c r="A272" s="12" t="n">
        <v>269</v>
      </c>
      <c r="B272" s="12" t="s">
        <v>1092</v>
      </c>
      <c r="C272" s="12" t="s">
        <v>1136</v>
      </c>
      <c r="D272" s="40" t="n">
        <v>29349</v>
      </c>
      <c r="E272" s="31" t="s">
        <v>108</v>
      </c>
      <c r="F272" s="12" t="str">
        <f aca="false">IFERROR(INDEX('Расчет Кплотн'!$C:$C,MATCH(E272,'Расчет Кплотн'!$A:$A,0)),"код не найден")</f>
        <v>Индерский район</v>
      </c>
      <c r="G272" s="12" t="s">
        <v>503</v>
      </c>
      <c r="H272" s="12" t="s">
        <v>1137</v>
      </c>
      <c r="I272" s="12" t="s">
        <v>1138</v>
      </c>
    </row>
    <row r="273" customFormat="false" ht="15" hidden="false" customHeight="false" outlineLevel="0" collapsed="false">
      <c r="A273" s="12" t="n">
        <v>270</v>
      </c>
      <c r="B273" s="12" t="s">
        <v>1092</v>
      </c>
      <c r="C273" s="12" t="s">
        <v>1139</v>
      </c>
      <c r="D273" s="40" t="n">
        <v>71557</v>
      </c>
      <c r="E273" s="31" t="s">
        <v>107</v>
      </c>
      <c r="F273" s="12" t="str">
        <f aca="false">IFERROR(INDEX('Расчет Кплотн'!$C:$C,MATCH(E273,'Расчет Кплотн'!$A:$A,0)),"код не найден")</f>
        <v>Жылыойский район</v>
      </c>
      <c r="G273" s="12" t="s">
        <v>503</v>
      </c>
      <c r="H273" s="12" t="s">
        <v>1140</v>
      </c>
      <c r="I273" s="12" t="s">
        <v>1141</v>
      </c>
    </row>
    <row r="274" customFormat="false" ht="15" hidden="false" customHeight="false" outlineLevel="0" collapsed="false">
      <c r="A274" s="12" t="n">
        <v>271</v>
      </c>
      <c r="B274" s="12" t="s">
        <v>1092</v>
      </c>
      <c r="C274" s="12" t="s">
        <v>1142</v>
      </c>
      <c r="D274" s="40" t="n">
        <v>55734</v>
      </c>
      <c r="E274" s="31" t="s">
        <v>106</v>
      </c>
      <c r="F274" s="12" t="str">
        <f aca="false">IFERROR(INDEX('Расчет Кплотн'!$C:$C,MATCH(E274,'Расчет Кплотн'!$A:$A,0)),"код не найден")</f>
        <v>Атырау</v>
      </c>
      <c r="G274" s="12" t="s">
        <v>503</v>
      </c>
      <c r="H274" s="12" t="s">
        <v>1143</v>
      </c>
      <c r="I274" s="12" t="s">
        <v>1095</v>
      </c>
    </row>
    <row r="275" customFormat="false" ht="15" hidden="false" customHeight="false" outlineLevel="0" collapsed="false">
      <c r="A275" s="12" t="n">
        <v>272</v>
      </c>
      <c r="B275" s="12" t="s">
        <v>1092</v>
      </c>
      <c r="C275" s="12" t="s">
        <v>1144</v>
      </c>
      <c r="D275" s="40" t="n">
        <v>44627</v>
      </c>
      <c r="E275" s="31" t="s">
        <v>106</v>
      </c>
      <c r="F275" s="12" t="str">
        <f aca="false">IFERROR(INDEX('Расчет Кплотн'!$C:$C,MATCH(E275,'Расчет Кплотн'!$A:$A,0)),"код не найден")</f>
        <v>Атырау</v>
      </c>
      <c r="G275" s="12" t="s">
        <v>503</v>
      </c>
      <c r="H275" s="12" t="s">
        <v>1145</v>
      </c>
      <c r="I275" s="12" t="s">
        <v>1095</v>
      </c>
    </row>
    <row r="276" customFormat="false" ht="15" hidden="false" customHeight="false" outlineLevel="0" collapsed="false">
      <c r="A276" s="12" t="n">
        <v>273</v>
      </c>
      <c r="B276" s="12" t="s">
        <v>1146</v>
      </c>
      <c r="C276" s="12" t="s">
        <v>1147</v>
      </c>
      <c r="D276" s="40" t="n">
        <v>4618</v>
      </c>
      <c r="E276" s="31" t="s">
        <v>246</v>
      </c>
      <c r="F276" s="12" t="str">
        <f aca="false">IFERROR(INDEX('Расчет Кплотн'!$C:$C,MATCH(E276,'Расчет Кплотн'!$A:$A,0)),"код не найден")</f>
        <v>Усть-Каменогорск</v>
      </c>
      <c r="G276" s="12" t="s">
        <v>503</v>
      </c>
      <c r="H276" s="12" t="s">
        <v>1148</v>
      </c>
      <c r="I276" s="12" t="s">
        <v>1149</v>
      </c>
    </row>
    <row r="277" customFormat="false" ht="15" hidden="false" customHeight="false" outlineLevel="0" collapsed="false">
      <c r="A277" s="12" t="n">
        <v>274</v>
      </c>
      <c r="B277" s="12" t="s">
        <v>1146</v>
      </c>
      <c r="C277" s="12" t="s">
        <v>1150</v>
      </c>
      <c r="D277" s="40" t="n">
        <v>6087</v>
      </c>
      <c r="E277" s="31" t="s">
        <v>246</v>
      </c>
      <c r="F277" s="12" t="str">
        <f aca="false">IFERROR(INDEX('Расчет Кплотн'!$C:$C,MATCH(E277,'Расчет Кплотн'!$A:$A,0)),"код не найден")</f>
        <v>Усть-Каменогорск</v>
      </c>
      <c r="G277" s="12" t="s">
        <v>503</v>
      </c>
      <c r="H277" s="12" t="s">
        <v>1151</v>
      </c>
      <c r="I277" s="12" t="s">
        <v>1149</v>
      </c>
    </row>
    <row r="278" customFormat="false" ht="15" hidden="false" customHeight="false" outlineLevel="0" collapsed="false">
      <c r="A278" s="12" t="n">
        <v>275</v>
      </c>
      <c r="B278" s="12" t="s">
        <v>1146</v>
      </c>
      <c r="C278" s="12" t="s">
        <v>1152</v>
      </c>
      <c r="D278" s="40" t="n">
        <v>12652</v>
      </c>
      <c r="E278" s="31" t="s">
        <v>246</v>
      </c>
      <c r="F278" s="12" t="str">
        <f aca="false">IFERROR(INDEX('Расчет Кплотн'!$C:$C,MATCH(E278,'Расчет Кплотн'!$A:$A,0)),"код не найден")</f>
        <v>Усть-Каменогорск</v>
      </c>
      <c r="G278" s="12" t="s">
        <v>503</v>
      </c>
      <c r="H278" s="12" t="s">
        <v>1153</v>
      </c>
      <c r="I278" s="12" t="s">
        <v>1149</v>
      </c>
    </row>
    <row r="279" customFormat="false" ht="15" hidden="false" customHeight="false" outlineLevel="0" collapsed="false">
      <c r="A279" s="12" t="n">
        <v>276</v>
      </c>
      <c r="B279" s="12" t="s">
        <v>1146</v>
      </c>
      <c r="C279" s="12" t="s">
        <v>1154</v>
      </c>
      <c r="D279" s="40" t="n">
        <v>36567</v>
      </c>
      <c r="E279" s="31" t="s">
        <v>246</v>
      </c>
      <c r="F279" s="12" t="str">
        <f aca="false">IFERROR(INDEX('Расчет Кплотн'!$C:$C,MATCH(E279,'Расчет Кплотн'!$A:$A,0)),"код не найден")</f>
        <v>Усть-Каменогорск</v>
      </c>
      <c r="G279" s="12" t="s">
        <v>503</v>
      </c>
      <c r="H279" s="12" t="s">
        <v>1155</v>
      </c>
      <c r="I279" s="12" t="s">
        <v>1149</v>
      </c>
    </row>
    <row r="280" customFormat="false" ht="15" hidden="false" customHeight="false" outlineLevel="0" collapsed="false">
      <c r="A280" s="12" t="n">
        <v>277</v>
      </c>
      <c r="B280" s="12" t="s">
        <v>1146</v>
      </c>
      <c r="C280" s="12" t="s">
        <v>1156</v>
      </c>
      <c r="D280" s="40" t="n">
        <v>24537</v>
      </c>
      <c r="E280" s="31" t="s">
        <v>246</v>
      </c>
      <c r="F280" s="12" t="str">
        <f aca="false">IFERROR(INDEX('Расчет Кплотн'!$C:$C,MATCH(E280,'Расчет Кплотн'!$A:$A,0)),"код не найден")</f>
        <v>Усть-Каменогорск</v>
      </c>
      <c r="G280" s="12" t="s">
        <v>503</v>
      </c>
      <c r="H280" s="12" t="s">
        <v>1157</v>
      </c>
      <c r="I280" s="12" t="s">
        <v>1149</v>
      </c>
    </row>
    <row r="281" customFormat="false" ht="15" hidden="false" customHeight="false" outlineLevel="0" collapsed="false">
      <c r="A281" s="12" t="n">
        <v>278</v>
      </c>
      <c r="B281" s="12" t="s">
        <v>1146</v>
      </c>
      <c r="C281" s="12" t="s">
        <v>1158</v>
      </c>
      <c r="D281" s="40" t="n">
        <v>18446</v>
      </c>
      <c r="E281" s="31" t="s">
        <v>246</v>
      </c>
      <c r="F281" s="12" t="str">
        <f aca="false">IFERROR(INDEX('Расчет Кплотн'!$C:$C,MATCH(E281,'Расчет Кплотн'!$A:$A,0)),"код не найден")</f>
        <v>Усть-Каменогорск</v>
      </c>
      <c r="G281" s="12" t="s">
        <v>503</v>
      </c>
      <c r="H281" s="12" t="s">
        <v>1159</v>
      </c>
      <c r="I281" s="12" t="s">
        <v>1149</v>
      </c>
    </row>
    <row r="282" customFormat="false" ht="15" hidden="false" customHeight="false" outlineLevel="0" collapsed="false">
      <c r="A282" s="12" t="n">
        <v>279</v>
      </c>
      <c r="B282" s="12" t="s">
        <v>1146</v>
      </c>
      <c r="C282" s="12" t="s">
        <v>1160</v>
      </c>
      <c r="D282" s="40" t="n">
        <v>29420</v>
      </c>
      <c r="E282" s="31" t="s">
        <v>246</v>
      </c>
      <c r="F282" s="12" t="str">
        <f aca="false">IFERROR(INDEX('Расчет Кплотн'!$C:$C,MATCH(E282,'Расчет Кплотн'!$A:$A,0)),"код не найден")</f>
        <v>Усть-Каменогорск</v>
      </c>
      <c r="G282" s="12" t="s">
        <v>503</v>
      </c>
      <c r="H282" s="12" t="s">
        <v>1161</v>
      </c>
      <c r="I282" s="12" t="s">
        <v>1149</v>
      </c>
    </row>
    <row r="283" customFormat="false" ht="15" hidden="false" customHeight="false" outlineLevel="0" collapsed="false">
      <c r="A283" s="12" t="n">
        <v>280</v>
      </c>
      <c r="B283" s="12" t="s">
        <v>1146</v>
      </c>
      <c r="C283" s="12" t="s">
        <v>1162</v>
      </c>
      <c r="D283" s="40" t="n">
        <v>14201</v>
      </c>
      <c r="E283" s="31" t="s">
        <v>246</v>
      </c>
      <c r="F283" s="12" t="str">
        <f aca="false">IFERROR(INDEX('Расчет Кплотн'!$C:$C,MATCH(E283,'Расчет Кплотн'!$A:$A,0)),"код не найден")</f>
        <v>Усть-Каменогорск</v>
      </c>
      <c r="G283" s="12" t="s">
        <v>503</v>
      </c>
      <c r="H283" s="12" t="s">
        <v>1163</v>
      </c>
      <c r="I283" s="12" t="s">
        <v>1149</v>
      </c>
    </row>
    <row r="284" customFormat="false" ht="15" hidden="false" customHeight="false" outlineLevel="0" collapsed="false">
      <c r="A284" s="12" t="n">
        <v>281</v>
      </c>
      <c r="B284" s="12" t="s">
        <v>1146</v>
      </c>
      <c r="C284" s="12" t="s">
        <v>1164</v>
      </c>
      <c r="D284" s="40" t="n">
        <v>21582</v>
      </c>
      <c r="E284" s="31" t="s">
        <v>246</v>
      </c>
      <c r="F284" s="12" t="str">
        <f aca="false">IFERROR(INDEX('Расчет Кплотн'!$C:$C,MATCH(E284,'Расчет Кплотн'!$A:$A,0)),"код не найден")</f>
        <v>Усть-Каменогорск</v>
      </c>
      <c r="G284" s="12" t="s">
        <v>503</v>
      </c>
      <c r="H284" s="12" t="s">
        <v>1165</v>
      </c>
      <c r="I284" s="12" t="s">
        <v>1149</v>
      </c>
    </row>
    <row r="285" customFormat="false" ht="15" hidden="false" customHeight="false" outlineLevel="0" collapsed="false">
      <c r="A285" s="12" t="n">
        <v>282</v>
      </c>
      <c r="B285" s="12" t="s">
        <v>1146</v>
      </c>
      <c r="C285" s="12" t="s">
        <v>1166</v>
      </c>
      <c r="D285" s="40" t="n">
        <v>34728</v>
      </c>
      <c r="E285" s="31" t="s">
        <v>246</v>
      </c>
      <c r="F285" s="12" t="str">
        <f aca="false">IFERROR(INDEX('Расчет Кплотн'!$C:$C,MATCH(E285,'Расчет Кплотн'!$A:$A,0)),"код не найден")</f>
        <v>Усть-Каменогорск</v>
      </c>
      <c r="G285" s="12" t="s">
        <v>503</v>
      </c>
      <c r="H285" s="12" t="s">
        <v>1167</v>
      </c>
      <c r="I285" s="12" t="s">
        <v>1149</v>
      </c>
    </row>
    <row r="286" customFormat="false" ht="15" hidden="false" customHeight="false" outlineLevel="0" collapsed="false">
      <c r="A286" s="12" t="n">
        <v>283</v>
      </c>
      <c r="B286" s="12" t="s">
        <v>1146</v>
      </c>
      <c r="C286" s="12" t="s">
        <v>1168</v>
      </c>
      <c r="D286" s="40" t="n">
        <v>9397</v>
      </c>
      <c r="E286" s="47" t="s">
        <v>257</v>
      </c>
      <c r="F286" s="12" t="str">
        <f aca="false">IFERROR(INDEX('Расчет Кплотн'!$C:$C,MATCH(E286,'Расчет Кплотн'!$A:$A,0)),"код не найден")</f>
        <v>район Үлкен Нарын</v>
      </c>
      <c r="G286" s="12" t="s">
        <v>1171</v>
      </c>
      <c r="H286" s="12" t="s">
        <v>1169</v>
      </c>
      <c r="I286" s="12" t="s">
        <v>1170</v>
      </c>
    </row>
    <row r="287" customFormat="false" ht="15" hidden="false" customHeight="false" outlineLevel="0" collapsed="false">
      <c r="A287" s="12" t="n">
        <v>284</v>
      </c>
      <c r="B287" s="12" t="s">
        <v>1146</v>
      </c>
      <c r="C287" s="12" t="s">
        <v>1172</v>
      </c>
      <c r="D287" s="40" t="n">
        <v>18685</v>
      </c>
      <c r="E287" s="31" t="s">
        <v>246</v>
      </c>
      <c r="F287" s="12" t="str">
        <f aca="false">IFERROR(INDEX('Расчет Кплотн'!$C:$C,MATCH(E287,'Расчет Кплотн'!$A:$A,0)),"код не найден")</f>
        <v>Усть-Каменогорск</v>
      </c>
      <c r="G287" s="12" t="s">
        <v>503</v>
      </c>
      <c r="H287" s="12" t="s">
        <v>1173</v>
      </c>
      <c r="I287" s="12" t="s">
        <v>1149</v>
      </c>
    </row>
    <row r="288" customFormat="false" ht="15" hidden="false" customHeight="false" outlineLevel="0" collapsed="false">
      <c r="A288" s="12" t="n">
        <v>285</v>
      </c>
      <c r="B288" s="12" t="s">
        <v>1146</v>
      </c>
      <c r="C288" s="12" t="s">
        <v>1174</v>
      </c>
      <c r="D288" s="40" t="n">
        <v>8541</v>
      </c>
      <c r="E288" s="47" t="s">
        <v>252</v>
      </c>
      <c r="F288" s="12" t="str">
        <f aca="false">IFERROR(INDEX('Расчет Кплотн'!$C:$C,MATCH(E288,'Расчет Кплотн'!$A:$A,0)),"код не найден")</f>
        <v>Катон-Карагайский район</v>
      </c>
      <c r="G288" s="12" t="s">
        <v>1177</v>
      </c>
      <c r="H288" s="12" t="s">
        <v>1175</v>
      </c>
      <c r="I288" s="12" t="s">
        <v>1176</v>
      </c>
    </row>
    <row r="289" customFormat="false" ht="15" hidden="false" customHeight="false" outlineLevel="0" collapsed="false">
      <c r="A289" s="12" t="n">
        <v>286</v>
      </c>
      <c r="B289" s="12" t="s">
        <v>1146</v>
      </c>
      <c r="C289" s="12" t="s">
        <v>1178</v>
      </c>
      <c r="D289" s="40" t="n">
        <v>28068</v>
      </c>
      <c r="E289" s="31" t="s">
        <v>256</v>
      </c>
      <c r="F289" s="12" t="str">
        <f aca="false">IFERROR(INDEX('Расчет Кплотн'!$C:$C,MATCH(E289,'Расчет Кплотн'!$A:$A,0)),"код не найден")</f>
        <v>Уланский район</v>
      </c>
      <c r="G289" s="12" t="s">
        <v>503</v>
      </c>
      <c r="H289" s="12" t="s">
        <v>1179</v>
      </c>
      <c r="I289" s="12" t="s">
        <v>1180</v>
      </c>
    </row>
    <row r="290" customFormat="false" ht="15" hidden="false" customHeight="false" outlineLevel="0" collapsed="false">
      <c r="A290" s="12" t="n">
        <v>287</v>
      </c>
      <c r="B290" s="12" t="s">
        <v>1146</v>
      </c>
      <c r="C290" s="12" t="s">
        <v>1181</v>
      </c>
      <c r="D290" s="40" t="n">
        <v>42720</v>
      </c>
      <c r="E290" s="31" t="s">
        <v>250</v>
      </c>
      <c r="F290" s="12" t="str">
        <f aca="false">IFERROR(INDEX('Расчет Кплотн'!$C:$C,MATCH(E290,'Расчет Кплотн'!$A:$A,0)),"код не найден")</f>
        <v>район Алтай</v>
      </c>
      <c r="G290" s="12" t="s">
        <v>503</v>
      </c>
      <c r="H290" s="12" t="s">
        <v>1182</v>
      </c>
      <c r="I290" s="12" t="s">
        <v>1183</v>
      </c>
    </row>
    <row r="291" customFormat="false" ht="15" hidden="false" customHeight="false" outlineLevel="0" collapsed="false">
      <c r="A291" s="12" t="n">
        <v>288</v>
      </c>
      <c r="B291" s="12" t="s">
        <v>1146</v>
      </c>
      <c r="C291" s="12" t="s">
        <v>1184</v>
      </c>
      <c r="D291" s="40" t="n">
        <v>63972</v>
      </c>
      <c r="E291" s="31" t="s">
        <v>246</v>
      </c>
      <c r="F291" s="12" t="str">
        <f aca="false">IFERROR(INDEX('Расчет Кплотн'!$C:$C,MATCH(E291,'Расчет Кплотн'!$A:$A,0)),"код не найден")</f>
        <v>Усть-Каменогорск</v>
      </c>
      <c r="G291" s="12" t="s">
        <v>503</v>
      </c>
      <c r="H291" s="12" t="s">
        <v>1185</v>
      </c>
      <c r="I291" s="12" t="s">
        <v>1149</v>
      </c>
    </row>
    <row r="292" customFormat="false" ht="15" hidden="false" customHeight="false" outlineLevel="0" collapsed="false">
      <c r="A292" s="12" t="n">
        <v>289</v>
      </c>
      <c r="B292" s="12" t="s">
        <v>1146</v>
      </c>
      <c r="C292" s="12" t="s">
        <v>1186</v>
      </c>
      <c r="D292" s="40" t="n">
        <v>51779</v>
      </c>
      <c r="E292" s="31" t="s">
        <v>246</v>
      </c>
      <c r="F292" s="12" t="str">
        <f aca="false">IFERROR(INDEX('Расчет Кплотн'!$C:$C,MATCH(E292,'Расчет Кплотн'!$A:$A,0)),"код не найден")</f>
        <v>Усть-Каменогорск</v>
      </c>
      <c r="G292" s="12" t="s">
        <v>503</v>
      </c>
      <c r="H292" s="12" t="s">
        <v>1187</v>
      </c>
      <c r="I292" s="12" t="s">
        <v>1149</v>
      </c>
    </row>
    <row r="293" customFormat="false" ht="15" hidden="false" customHeight="false" outlineLevel="0" collapsed="false">
      <c r="A293" s="12" t="n">
        <v>290</v>
      </c>
      <c r="B293" s="12" t="s">
        <v>1146</v>
      </c>
      <c r="C293" s="12" t="s">
        <v>1188</v>
      </c>
      <c r="D293" s="40" t="n">
        <v>26864</v>
      </c>
      <c r="E293" s="31" t="s">
        <v>246</v>
      </c>
      <c r="F293" s="12" t="str">
        <f aca="false">IFERROR(INDEX('Расчет Кплотн'!$C:$C,MATCH(E293,'Расчет Кплотн'!$A:$A,0)),"код не найден")</f>
        <v>Усть-Каменогорск</v>
      </c>
      <c r="G293" s="12" t="s">
        <v>503</v>
      </c>
      <c r="H293" s="12" t="s">
        <v>1189</v>
      </c>
      <c r="I293" s="12" t="s">
        <v>1190</v>
      </c>
    </row>
    <row r="294" customFormat="false" ht="15" hidden="false" customHeight="false" outlineLevel="0" collapsed="false">
      <c r="A294" s="12" t="n">
        <v>291</v>
      </c>
      <c r="B294" s="12" t="s">
        <v>1146</v>
      </c>
      <c r="C294" s="12" t="s">
        <v>1191</v>
      </c>
      <c r="D294" s="40" t="n">
        <v>25286</v>
      </c>
      <c r="E294" s="31" t="s">
        <v>246</v>
      </c>
      <c r="F294" s="12" t="str">
        <f aca="false">IFERROR(INDEX('Расчет Кплотн'!$C:$C,MATCH(E294,'Расчет Кплотн'!$A:$A,0)),"код не найден")</f>
        <v>Усть-Каменогорск</v>
      </c>
      <c r="G294" s="12" t="s">
        <v>503</v>
      </c>
      <c r="H294" s="12" t="s">
        <v>1192</v>
      </c>
      <c r="I294" s="12" t="s">
        <v>1149</v>
      </c>
    </row>
    <row r="295" customFormat="false" ht="15" hidden="false" customHeight="false" outlineLevel="0" collapsed="false">
      <c r="A295" s="12" t="n">
        <v>292</v>
      </c>
      <c r="B295" s="12" t="s">
        <v>1146</v>
      </c>
      <c r="C295" s="12" t="s">
        <v>1193</v>
      </c>
      <c r="D295" s="40" t="n">
        <v>39767</v>
      </c>
      <c r="E295" s="31" t="s">
        <v>258</v>
      </c>
      <c r="F295" s="12" t="str">
        <f aca="false">IFERROR(INDEX('Расчет Кплотн'!$C:$C,MATCH(E295,'Расчет Кплотн'!$A:$A,0)),"код не найден")</f>
        <v>Шемонаихинский район</v>
      </c>
      <c r="G295" s="12" t="s">
        <v>503</v>
      </c>
      <c r="H295" s="12" t="s">
        <v>1194</v>
      </c>
      <c r="I295" s="12" t="s">
        <v>1195</v>
      </c>
    </row>
    <row r="296" customFormat="false" ht="15" hidden="false" customHeight="false" outlineLevel="0" collapsed="false">
      <c r="A296" s="12" t="n">
        <v>293</v>
      </c>
      <c r="B296" s="12" t="s">
        <v>1146</v>
      </c>
      <c r="C296" s="12" t="s">
        <v>1196</v>
      </c>
      <c r="D296" s="40" t="n">
        <v>16838</v>
      </c>
      <c r="E296" s="31" t="s">
        <v>255</v>
      </c>
      <c r="F296" s="12" t="str">
        <f aca="false">IFERROR(INDEX('Расчет Кплотн'!$C:$C,MATCH(E296,'Расчет Кплотн'!$A:$A,0)),"код не найден")</f>
        <v>Тарбагатайский район</v>
      </c>
      <c r="G296" s="12" t="s">
        <v>503</v>
      </c>
      <c r="H296" s="12" t="s">
        <v>1197</v>
      </c>
      <c r="I296" s="12" t="s">
        <v>1198</v>
      </c>
    </row>
    <row r="297" customFormat="false" ht="15" hidden="false" customHeight="false" outlineLevel="0" collapsed="false">
      <c r="A297" s="12" t="n">
        <v>294</v>
      </c>
      <c r="B297" s="12" t="s">
        <v>1146</v>
      </c>
      <c r="C297" s="12" t="s">
        <v>1199</v>
      </c>
      <c r="D297" s="40" t="n">
        <v>10576</v>
      </c>
      <c r="E297" s="31" t="s">
        <v>254</v>
      </c>
      <c r="F297" s="12" t="str">
        <f aca="false">IFERROR(INDEX('Расчет Кплотн'!$C:$C,MATCH(E297,'Расчет Кплотн'!$A:$A,0)),"код не найден")</f>
        <v>район Самар</v>
      </c>
      <c r="G297" s="12" t="s">
        <v>503</v>
      </c>
      <c r="H297" s="12" t="s">
        <v>1200</v>
      </c>
      <c r="I297" s="12" t="s">
        <v>1201</v>
      </c>
    </row>
    <row r="298" customFormat="false" ht="15" hidden="false" customHeight="false" outlineLevel="0" collapsed="false">
      <c r="A298" s="12" t="n">
        <v>295</v>
      </c>
      <c r="B298" s="12" t="s">
        <v>1146</v>
      </c>
      <c r="C298" s="12" t="s">
        <v>1202</v>
      </c>
      <c r="D298" s="40" t="n">
        <v>19628</v>
      </c>
      <c r="E298" s="31" t="s">
        <v>251</v>
      </c>
      <c r="F298" s="12" t="str">
        <f aca="false">IFERROR(INDEX('Расчет Кплотн'!$C:$C,MATCH(E298,'Расчет Кплотн'!$A:$A,0)),"код не найден")</f>
        <v>Курчумский район</v>
      </c>
      <c r="G298" s="12" t="s">
        <v>2419</v>
      </c>
      <c r="H298" s="12" t="s">
        <v>1203</v>
      </c>
      <c r="I298" s="12" t="s">
        <v>1204</v>
      </c>
    </row>
    <row r="299" customFormat="false" ht="15" hidden="false" customHeight="false" outlineLevel="0" collapsed="false">
      <c r="A299" s="12" t="n">
        <v>296</v>
      </c>
      <c r="B299" s="12" t="s">
        <v>1146</v>
      </c>
      <c r="C299" s="12" t="s">
        <v>1205</v>
      </c>
      <c r="D299" s="40" t="n">
        <v>13699</v>
      </c>
      <c r="E299" s="31" t="s">
        <v>250</v>
      </c>
      <c r="F299" s="12" t="str">
        <f aca="false">IFERROR(INDEX('Расчет Кплотн'!$C:$C,MATCH(E299,'Расчет Кплотн'!$A:$A,0)),"код не найден")</f>
        <v>район Алтай</v>
      </c>
      <c r="G299" s="12" t="s">
        <v>503</v>
      </c>
      <c r="H299" s="12" t="s">
        <v>1206</v>
      </c>
      <c r="I299" s="12" t="s">
        <v>1207</v>
      </c>
    </row>
    <row r="300" customFormat="false" ht="15" hidden="false" customHeight="false" outlineLevel="0" collapsed="false">
      <c r="A300" s="12" t="n">
        <v>297</v>
      </c>
      <c r="B300" s="12" t="s">
        <v>1146</v>
      </c>
      <c r="C300" s="12" t="s">
        <v>1208</v>
      </c>
      <c r="D300" s="40" t="n">
        <v>51538</v>
      </c>
      <c r="E300" s="31" t="s">
        <v>247</v>
      </c>
      <c r="F300" s="12" t="str">
        <f aca="false">IFERROR(INDEX('Расчет Кплотн'!$C:$C,MATCH(E300,'Расчет Кплотн'!$A:$A,0)),"код не найден")</f>
        <v>Риддер</v>
      </c>
      <c r="G300" s="12" t="s">
        <v>503</v>
      </c>
      <c r="H300" s="12" t="s">
        <v>1209</v>
      </c>
      <c r="I300" s="12" t="s">
        <v>1210</v>
      </c>
    </row>
    <row r="301" customFormat="false" ht="15" hidden="false" customHeight="false" outlineLevel="0" collapsed="false">
      <c r="A301" s="12" t="n">
        <v>298</v>
      </c>
      <c r="B301" s="12" t="s">
        <v>1146</v>
      </c>
      <c r="C301" s="12" t="s">
        <v>1211</v>
      </c>
      <c r="D301" s="40" t="n">
        <v>32344</v>
      </c>
      <c r="E301" s="31" t="s">
        <v>249</v>
      </c>
      <c r="F301" s="12" t="str">
        <f aca="false">IFERROR(INDEX('Расчет Кплотн'!$C:$C,MATCH(E301,'Расчет Кплотн'!$A:$A,0)),"код не найден")</f>
        <v>Зайсанский район</v>
      </c>
      <c r="G301" s="12" t="s">
        <v>503</v>
      </c>
      <c r="H301" s="12" t="s">
        <v>1212</v>
      </c>
      <c r="I301" s="12" t="s">
        <v>1213</v>
      </c>
    </row>
    <row r="302" customFormat="false" ht="15" hidden="false" customHeight="false" outlineLevel="0" collapsed="false">
      <c r="A302" s="12" t="n">
        <v>299</v>
      </c>
      <c r="B302" s="12" t="s">
        <v>1146</v>
      </c>
      <c r="C302" s="12" t="s">
        <v>1214</v>
      </c>
      <c r="D302" s="40" t="n">
        <v>47500</v>
      </c>
      <c r="E302" s="31" t="s">
        <v>248</v>
      </c>
      <c r="F302" s="12" t="str">
        <f aca="false">IFERROR(INDEX('Расчет Кплотн'!$C:$C,MATCH(E302,'Расчет Кплотн'!$A:$A,0)),"код не найден")</f>
        <v>Глубоковский район</v>
      </c>
      <c r="G302" s="12" t="s">
        <v>503</v>
      </c>
      <c r="H302" s="12" t="s">
        <v>1215</v>
      </c>
      <c r="I302" s="12" t="s">
        <v>1216</v>
      </c>
    </row>
    <row r="303" customFormat="false" ht="15" hidden="false" customHeight="false" outlineLevel="0" collapsed="false">
      <c r="A303" s="12" t="n">
        <v>300</v>
      </c>
      <c r="B303" s="12" t="s">
        <v>1217</v>
      </c>
      <c r="C303" s="12" t="s">
        <v>1218</v>
      </c>
      <c r="D303" s="40" t="n">
        <v>3180</v>
      </c>
      <c r="E303" s="31" t="s">
        <v>133</v>
      </c>
      <c r="F303" s="12" t="str">
        <f aca="false">IFERROR(INDEX('Расчет Кплотн'!$C:$C,MATCH(E303,'Расчет Кплотн'!$A:$A,0)),"код не найден")</f>
        <v>Меркенский район</v>
      </c>
      <c r="G303" s="12" t="s">
        <v>503</v>
      </c>
      <c r="H303" s="12" t="s">
        <v>1219</v>
      </c>
      <c r="I303" s="12" t="s">
        <v>1220</v>
      </c>
    </row>
    <row r="304" customFormat="false" ht="15" hidden="false" customHeight="false" outlineLevel="0" collapsed="false">
      <c r="A304" s="12" t="n">
        <v>301</v>
      </c>
      <c r="B304" s="12" t="s">
        <v>1217</v>
      </c>
      <c r="C304" s="12" t="s">
        <v>1221</v>
      </c>
      <c r="D304" s="40" t="n">
        <v>8936</v>
      </c>
      <c r="E304" s="31" t="s">
        <v>127</v>
      </c>
      <c r="F304" s="12" t="str">
        <f aca="false">IFERROR(INDEX('Расчет Кплотн'!$C:$C,MATCH(E304,'Расчет Кплотн'!$A:$A,0)),"код не найден")</f>
        <v>Тараз</v>
      </c>
      <c r="G304" s="12" t="s">
        <v>503</v>
      </c>
      <c r="H304" s="12" t="s">
        <v>1222</v>
      </c>
      <c r="I304" s="12" t="s">
        <v>1223</v>
      </c>
    </row>
    <row r="305" customFormat="false" ht="15" hidden="false" customHeight="false" outlineLevel="0" collapsed="false">
      <c r="A305" s="12" t="n">
        <v>302</v>
      </c>
      <c r="B305" s="12" t="s">
        <v>1217</v>
      </c>
      <c r="C305" s="12" t="s">
        <v>1224</v>
      </c>
      <c r="D305" s="40" t="n">
        <v>56747</v>
      </c>
      <c r="E305" s="31" t="s">
        <v>127</v>
      </c>
      <c r="F305" s="12" t="str">
        <f aca="false">IFERROR(INDEX('Расчет Кплотн'!$C:$C,MATCH(E305,'Расчет Кплотн'!$A:$A,0)),"код не найден")</f>
        <v>Тараз</v>
      </c>
      <c r="G305" s="12" t="s">
        <v>503</v>
      </c>
      <c r="H305" s="12" t="s">
        <v>1225</v>
      </c>
      <c r="I305" s="12" t="s">
        <v>1223</v>
      </c>
    </row>
    <row r="306" customFormat="false" ht="15" hidden="false" customHeight="false" outlineLevel="0" collapsed="false">
      <c r="A306" s="12" t="n">
        <v>303</v>
      </c>
      <c r="B306" s="12" t="s">
        <v>1217</v>
      </c>
      <c r="C306" s="12" t="s">
        <v>1226</v>
      </c>
      <c r="D306" s="40" t="n">
        <v>47978</v>
      </c>
      <c r="E306" s="31" t="s">
        <v>127</v>
      </c>
      <c r="F306" s="12" t="str">
        <f aca="false">IFERROR(INDEX('Расчет Кплотн'!$C:$C,MATCH(E306,'Расчет Кплотн'!$A:$A,0)),"код не найден")</f>
        <v>Тараз</v>
      </c>
      <c r="G306" s="12" t="s">
        <v>503</v>
      </c>
      <c r="H306" s="12" t="s">
        <v>1227</v>
      </c>
      <c r="I306" s="12" t="s">
        <v>1223</v>
      </c>
    </row>
    <row r="307" customFormat="false" ht="15" hidden="false" customHeight="false" outlineLevel="0" collapsed="false">
      <c r="A307" s="12" t="n">
        <v>304</v>
      </c>
      <c r="B307" s="12" t="s">
        <v>1217</v>
      </c>
      <c r="C307" s="12" t="s">
        <v>1228</v>
      </c>
      <c r="D307" s="40" t="n">
        <v>33698</v>
      </c>
      <c r="E307" s="31" t="s">
        <v>127</v>
      </c>
      <c r="F307" s="12" t="str">
        <f aca="false">IFERROR(INDEX('Расчет Кплотн'!$C:$C,MATCH(E307,'Расчет Кплотн'!$A:$A,0)),"код не найден")</f>
        <v>Тараз</v>
      </c>
      <c r="G307" s="12" t="s">
        <v>503</v>
      </c>
      <c r="H307" s="12" t="s">
        <v>1229</v>
      </c>
      <c r="I307" s="12" t="s">
        <v>1223</v>
      </c>
    </row>
    <row r="308" customFormat="false" ht="15" hidden="false" customHeight="false" outlineLevel="0" collapsed="false">
      <c r="A308" s="12" t="n">
        <v>305</v>
      </c>
      <c r="B308" s="12" t="s">
        <v>1217</v>
      </c>
      <c r="C308" s="12" t="s">
        <v>1230</v>
      </c>
      <c r="D308" s="40" t="n">
        <v>4536</v>
      </c>
      <c r="E308" s="31" t="s">
        <v>127</v>
      </c>
      <c r="F308" s="12" t="str">
        <f aca="false">IFERROR(INDEX('Расчет Кплотн'!$C:$C,MATCH(E308,'Расчет Кплотн'!$A:$A,0)),"код не найден")</f>
        <v>Тараз</v>
      </c>
      <c r="G308" s="12" t="s">
        <v>503</v>
      </c>
      <c r="H308" s="12" t="s">
        <v>1231</v>
      </c>
      <c r="I308" s="12" t="s">
        <v>1223</v>
      </c>
    </row>
    <row r="309" customFormat="false" ht="15" hidden="false" customHeight="false" outlineLevel="0" collapsed="false">
      <c r="A309" s="12" t="n">
        <v>306</v>
      </c>
      <c r="B309" s="12" t="s">
        <v>1217</v>
      </c>
      <c r="C309" s="12" t="s">
        <v>1232</v>
      </c>
      <c r="D309" s="40" t="n">
        <v>6771</v>
      </c>
      <c r="E309" s="47" t="s">
        <v>129</v>
      </c>
      <c r="F309" s="12" t="str">
        <f aca="false">IFERROR(INDEX('Расчет Кплотн'!$C:$C,MATCH(E309,'Расчет Кплотн'!$A:$A,0)),"код не найден")</f>
        <v>Жамбылский район</v>
      </c>
      <c r="G309" s="12" t="s">
        <v>1235</v>
      </c>
      <c r="H309" s="12" t="s">
        <v>1233</v>
      </c>
      <c r="I309" s="12" t="s">
        <v>1234</v>
      </c>
    </row>
    <row r="310" customFormat="false" ht="15" hidden="false" customHeight="false" outlineLevel="0" collapsed="false">
      <c r="A310" s="12" t="n">
        <v>307</v>
      </c>
      <c r="B310" s="12" t="s">
        <v>1217</v>
      </c>
      <c r="C310" s="12" t="s">
        <v>1236</v>
      </c>
      <c r="D310" s="40" t="n">
        <v>12865</v>
      </c>
      <c r="E310" s="31" t="s">
        <v>127</v>
      </c>
      <c r="F310" s="12" t="str">
        <f aca="false">IFERROR(INDEX('Расчет Кплотн'!$C:$C,MATCH(E310,'Расчет Кплотн'!$A:$A,0)),"код не найден")</f>
        <v>Тараз</v>
      </c>
      <c r="G310" s="12" t="s">
        <v>503</v>
      </c>
      <c r="H310" s="12" t="s">
        <v>1237</v>
      </c>
      <c r="I310" s="12" t="s">
        <v>1223</v>
      </c>
    </row>
    <row r="311" customFormat="false" ht="15" hidden="false" customHeight="false" outlineLevel="0" collapsed="false">
      <c r="A311" s="12" t="n">
        <v>308</v>
      </c>
      <c r="B311" s="12" t="s">
        <v>1217</v>
      </c>
      <c r="C311" s="12" t="s">
        <v>1238</v>
      </c>
      <c r="D311" s="40" t="n">
        <v>6488</v>
      </c>
      <c r="E311" s="31" t="s">
        <v>127</v>
      </c>
      <c r="F311" s="12" t="str">
        <f aca="false">IFERROR(INDEX('Расчет Кплотн'!$C:$C,MATCH(E311,'Расчет Кплотн'!$A:$A,0)),"код не найден")</f>
        <v>Тараз</v>
      </c>
      <c r="G311" s="12" t="s">
        <v>503</v>
      </c>
      <c r="H311" s="12" t="s">
        <v>1239</v>
      </c>
      <c r="I311" s="12" t="s">
        <v>1223</v>
      </c>
    </row>
    <row r="312" customFormat="false" ht="15" hidden="false" customHeight="false" outlineLevel="0" collapsed="false">
      <c r="A312" s="12" t="n">
        <v>309</v>
      </c>
      <c r="B312" s="12" t="s">
        <v>1217</v>
      </c>
      <c r="C312" s="12" t="s">
        <v>1240</v>
      </c>
      <c r="D312" s="40" t="n">
        <v>9736</v>
      </c>
      <c r="E312" s="31" t="s">
        <v>133</v>
      </c>
      <c r="F312" s="12" t="str">
        <f aca="false">IFERROR(INDEX('Расчет Кплотн'!$C:$C,MATCH(E312,'Расчет Кплотн'!$A:$A,0)),"код не найден")</f>
        <v>Меркенский район</v>
      </c>
      <c r="G312" s="12" t="s">
        <v>503</v>
      </c>
      <c r="H312" s="12" t="s">
        <v>1241</v>
      </c>
      <c r="I312" s="12" t="s">
        <v>1242</v>
      </c>
    </row>
    <row r="313" customFormat="false" ht="15" hidden="false" customHeight="false" outlineLevel="0" collapsed="false">
      <c r="A313" s="12" t="n">
        <v>310</v>
      </c>
      <c r="B313" s="12" t="s">
        <v>1217</v>
      </c>
      <c r="C313" s="12" t="s">
        <v>1243</v>
      </c>
      <c r="D313" s="40" t="n">
        <v>12803</v>
      </c>
      <c r="E313" s="31" t="s">
        <v>127</v>
      </c>
      <c r="F313" s="12" t="str">
        <f aca="false">IFERROR(INDEX('Расчет Кплотн'!$C:$C,MATCH(E313,'Расчет Кплотн'!$A:$A,0)),"код не найден")</f>
        <v>Тараз</v>
      </c>
      <c r="G313" s="12" t="s">
        <v>503</v>
      </c>
      <c r="H313" s="12" t="s">
        <v>1244</v>
      </c>
      <c r="I313" s="12" t="s">
        <v>1223</v>
      </c>
    </row>
    <row r="314" customFormat="false" ht="15" hidden="false" customHeight="false" outlineLevel="0" collapsed="false">
      <c r="A314" s="12" t="n">
        <v>311</v>
      </c>
      <c r="B314" s="12" t="s">
        <v>1217</v>
      </c>
      <c r="C314" s="12" t="s">
        <v>1245</v>
      </c>
      <c r="D314" s="40" t="n">
        <v>43549</v>
      </c>
      <c r="E314" s="31" t="s">
        <v>127</v>
      </c>
      <c r="F314" s="12" t="str">
        <f aca="false">IFERROR(INDEX('Расчет Кплотн'!$C:$C,MATCH(E314,'Расчет Кплотн'!$A:$A,0)),"код не найден")</f>
        <v>Тараз</v>
      </c>
      <c r="G314" s="12" t="s">
        <v>503</v>
      </c>
      <c r="H314" s="12" t="s">
        <v>1246</v>
      </c>
      <c r="I314" s="12" t="s">
        <v>1223</v>
      </c>
    </row>
    <row r="315" customFormat="false" ht="15" hidden="false" customHeight="false" outlineLevel="0" collapsed="false">
      <c r="A315" s="12" t="n">
        <v>312</v>
      </c>
      <c r="B315" s="12" t="s">
        <v>1217</v>
      </c>
      <c r="C315" s="12" t="s">
        <v>1247</v>
      </c>
      <c r="D315" s="40" t="n">
        <v>8376</v>
      </c>
      <c r="E315" s="31" t="s">
        <v>127</v>
      </c>
      <c r="F315" s="12" t="str">
        <f aca="false">IFERROR(INDEX('Расчет Кплотн'!$C:$C,MATCH(E315,'Расчет Кплотн'!$A:$A,0)),"код не найден")</f>
        <v>Тараз</v>
      </c>
      <c r="G315" s="12" t="s">
        <v>503</v>
      </c>
      <c r="H315" s="12" t="s">
        <v>1248</v>
      </c>
      <c r="I315" s="12" t="s">
        <v>1223</v>
      </c>
    </row>
    <row r="316" customFormat="false" ht="15" hidden="false" customHeight="false" outlineLevel="0" collapsed="false">
      <c r="A316" s="12" t="n">
        <v>313</v>
      </c>
      <c r="B316" s="12" t="s">
        <v>1217</v>
      </c>
      <c r="C316" s="12" t="s">
        <v>1249</v>
      </c>
      <c r="D316" s="40" t="n">
        <v>51887</v>
      </c>
      <c r="E316" s="31" t="s">
        <v>127</v>
      </c>
      <c r="F316" s="12" t="str">
        <f aca="false">IFERROR(INDEX('Расчет Кплотн'!$C:$C,MATCH(E316,'Расчет Кплотн'!$A:$A,0)),"код не найден")</f>
        <v>Тараз</v>
      </c>
      <c r="G316" s="12" t="s">
        <v>503</v>
      </c>
      <c r="H316" s="12" t="s">
        <v>1250</v>
      </c>
      <c r="I316" s="12" t="s">
        <v>1223</v>
      </c>
    </row>
    <row r="317" customFormat="false" ht="15" hidden="false" customHeight="false" outlineLevel="0" collapsed="false">
      <c r="A317" s="12" t="n">
        <v>314</v>
      </c>
      <c r="B317" s="12" t="s">
        <v>1217</v>
      </c>
      <c r="C317" s="12" t="s">
        <v>1251</v>
      </c>
      <c r="D317" s="40" t="n">
        <v>57720</v>
      </c>
      <c r="E317" s="31" t="s">
        <v>132</v>
      </c>
      <c r="F317" s="12" t="str">
        <f aca="false">IFERROR(INDEX('Расчет Кплотн'!$C:$C,MATCH(E317,'Расчет Кплотн'!$A:$A,0)),"код не найден")</f>
        <v>район Турара Рыскулова</v>
      </c>
      <c r="G317" s="12" t="s">
        <v>503</v>
      </c>
      <c r="H317" s="12" t="s">
        <v>1252</v>
      </c>
      <c r="I317" s="12" t="s">
        <v>1253</v>
      </c>
    </row>
    <row r="318" customFormat="false" ht="15" hidden="false" customHeight="false" outlineLevel="0" collapsed="false">
      <c r="A318" s="12" t="n">
        <v>315</v>
      </c>
      <c r="B318" s="12" t="s">
        <v>1217</v>
      </c>
      <c r="C318" s="12" t="s">
        <v>1254</v>
      </c>
      <c r="D318" s="40" t="n">
        <v>41490</v>
      </c>
      <c r="E318" s="31" t="s">
        <v>129</v>
      </c>
      <c r="F318" s="12" t="str">
        <f aca="false">IFERROR(INDEX('Расчет Кплотн'!$C:$C,MATCH(E318,'Расчет Кплотн'!$A:$A,0)),"код не найден")</f>
        <v>Жамбылский район</v>
      </c>
      <c r="G318" s="12" t="s">
        <v>503</v>
      </c>
      <c r="H318" s="12" t="s">
        <v>1255</v>
      </c>
      <c r="I318" s="12" t="s">
        <v>1256</v>
      </c>
    </row>
    <row r="319" customFormat="false" ht="15" hidden="false" customHeight="false" outlineLevel="0" collapsed="false">
      <c r="A319" s="12" t="n">
        <v>316</v>
      </c>
      <c r="B319" s="12" t="s">
        <v>1217</v>
      </c>
      <c r="C319" s="12" t="s">
        <v>1257</v>
      </c>
      <c r="D319" s="40" t="n">
        <v>38468</v>
      </c>
      <c r="E319" s="31" t="s">
        <v>136</v>
      </c>
      <c r="F319" s="12" t="str">
        <f aca="false">IFERROR(INDEX('Расчет Кплотн'!$C:$C,MATCH(E319,'Расчет Кплотн'!$A:$A,0)),"код не найден")</f>
        <v>Таласский район</v>
      </c>
      <c r="G319" s="12" t="s">
        <v>503</v>
      </c>
      <c r="H319" s="12" t="s">
        <v>1258</v>
      </c>
      <c r="I319" s="12" t="s">
        <v>1259</v>
      </c>
    </row>
    <row r="320" customFormat="false" ht="15" hidden="false" customHeight="false" outlineLevel="0" collapsed="false">
      <c r="A320" s="12" t="n">
        <v>317</v>
      </c>
      <c r="B320" s="12" t="s">
        <v>1217</v>
      </c>
      <c r="C320" s="12" t="s">
        <v>1260</v>
      </c>
      <c r="D320" s="40" t="n">
        <v>67681</v>
      </c>
      <c r="E320" s="31" t="s">
        <v>133</v>
      </c>
      <c r="F320" s="12" t="str">
        <f aca="false">IFERROR(INDEX('Расчет Кплотн'!$C:$C,MATCH(E320,'Расчет Кплотн'!$A:$A,0)),"код не найден")</f>
        <v>Меркенский район</v>
      </c>
      <c r="G320" s="12" t="s">
        <v>503</v>
      </c>
      <c r="H320" s="12" t="s">
        <v>1261</v>
      </c>
      <c r="I320" s="12" t="s">
        <v>1220</v>
      </c>
    </row>
    <row r="321" customFormat="false" ht="15" hidden="false" customHeight="false" outlineLevel="0" collapsed="false">
      <c r="A321" s="12" t="n">
        <v>318</v>
      </c>
      <c r="B321" s="12" t="s">
        <v>1217</v>
      </c>
      <c r="C321" s="12" t="s">
        <v>1262</v>
      </c>
      <c r="D321" s="40" t="n">
        <v>143306</v>
      </c>
      <c r="E321" s="31" t="s">
        <v>131</v>
      </c>
      <c r="F321" s="12" t="str">
        <f aca="false">IFERROR(INDEX('Расчет Кплотн'!$C:$C,MATCH(E321,'Расчет Кплотн'!$A:$A,0)),"код не найден")</f>
        <v>Кордайский район</v>
      </c>
      <c r="G321" s="12" t="s">
        <v>503</v>
      </c>
      <c r="H321" s="12" t="s">
        <v>1263</v>
      </c>
      <c r="I321" s="12" t="s">
        <v>1264</v>
      </c>
    </row>
    <row r="322" customFormat="false" ht="15" hidden="false" customHeight="false" outlineLevel="0" collapsed="false">
      <c r="A322" s="12" t="n">
        <v>319</v>
      </c>
      <c r="B322" s="12" t="s">
        <v>1217</v>
      </c>
      <c r="C322" s="12" t="s">
        <v>1265</v>
      </c>
      <c r="D322" s="40" t="n">
        <v>65248</v>
      </c>
      <c r="E322" s="31" t="s">
        <v>127</v>
      </c>
      <c r="F322" s="12" t="str">
        <f aca="false">IFERROR(INDEX('Расчет Кплотн'!$C:$C,MATCH(E322,'Расчет Кплотн'!$A:$A,0)),"код не найден")</f>
        <v>Тараз</v>
      </c>
      <c r="G322" s="12" t="s">
        <v>503</v>
      </c>
      <c r="H322" s="12" t="s">
        <v>1266</v>
      </c>
      <c r="I322" s="12" t="s">
        <v>1223</v>
      </c>
    </row>
    <row r="323" customFormat="false" ht="15" hidden="false" customHeight="false" outlineLevel="0" collapsed="false">
      <c r="A323" s="12" t="n">
        <v>320</v>
      </c>
      <c r="B323" s="12" t="s">
        <v>1217</v>
      </c>
      <c r="C323" s="12" t="s">
        <v>1267</v>
      </c>
      <c r="D323" s="40" t="n">
        <v>35400</v>
      </c>
      <c r="E323" s="31" t="s">
        <v>127</v>
      </c>
      <c r="F323" s="12" t="str">
        <f aca="false">IFERROR(INDEX('Расчет Кплотн'!$C:$C,MATCH(E323,'Расчет Кплотн'!$A:$A,0)),"код не найден")</f>
        <v>Тараз</v>
      </c>
      <c r="G323" s="12" t="s">
        <v>503</v>
      </c>
      <c r="H323" s="12" t="s">
        <v>1268</v>
      </c>
      <c r="I323" s="12" t="s">
        <v>1223</v>
      </c>
    </row>
    <row r="324" customFormat="false" ht="15" hidden="false" customHeight="false" outlineLevel="0" collapsed="false">
      <c r="A324" s="12" t="n">
        <v>321</v>
      </c>
      <c r="B324" s="12" t="s">
        <v>1217</v>
      </c>
      <c r="C324" s="12" t="s">
        <v>1269</v>
      </c>
      <c r="D324" s="40" t="n">
        <v>66654</v>
      </c>
      <c r="E324" s="31" t="s">
        <v>127</v>
      </c>
      <c r="F324" s="12" t="str">
        <f aca="false">IFERROR(INDEX('Расчет Кплотн'!$C:$C,MATCH(E324,'Расчет Кплотн'!$A:$A,0)),"код не найден")</f>
        <v>Тараз</v>
      </c>
      <c r="G324" s="12" t="s">
        <v>503</v>
      </c>
      <c r="H324" s="12" t="s">
        <v>1270</v>
      </c>
      <c r="I324" s="12" t="s">
        <v>1223</v>
      </c>
    </row>
    <row r="325" customFormat="false" ht="15" hidden="false" customHeight="false" outlineLevel="0" collapsed="false">
      <c r="A325" s="12" t="n">
        <v>322</v>
      </c>
      <c r="B325" s="12" t="s">
        <v>1217</v>
      </c>
      <c r="C325" s="12" t="s">
        <v>1271</v>
      </c>
      <c r="D325" s="40" t="n">
        <v>42669</v>
      </c>
      <c r="E325" s="31" t="s">
        <v>130</v>
      </c>
      <c r="F325" s="12" t="str">
        <f aca="false">IFERROR(INDEX('Расчет Кплотн'!$C:$C,MATCH(E325,'Расчет Кплотн'!$A:$A,0)),"код не найден")</f>
        <v>Жуалынский район</v>
      </c>
      <c r="G325" s="12" t="s">
        <v>503</v>
      </c>
      <c r="H325" s="12" t="s">
        <v>1272</v>
      </c>
      <c r="I325" s="12" t="s">
        <v>1273</v>
      </c>
    </row>
    <row r="326" customFormat="false" ht="15" hidden="false" customHeight="false" outlineLevel="0" collapsed="false">
      <c r="A326" s="12" t="n">
        <v>323</v>
      </c>
      <c r="B326" s="12" t="s">
        <v>1217</v>
      </c>
      <c r="C326" s="12" t="s">
        <v>1274</v>
      </c>
      <c r="D326" s="40" t="n">
        <v>37151</v>
      </c>
      <c r="E326" s="31" t="s">
        <v>135</v>
      </c>
      <c r="F326" s="12" t="str">
        <f aca="false">IFERROR(INDEX('Расчет Кплотн'!$C:$C,MATCH(E326,'Расчет Кплотн'!$A:$A,0)),"код не найден")</f>
        <v>Сарысуский район</v>
      </c>
      <c r="G326" s="12" t="s">
        <v>503</v>
      </c>
      <c r="H326" s="12" t="s">
        <v>1275</v>
      </c>
      <c r="I326" s="12" t="s">
        <v>1276</v>
      </c>
    </row>
    <row r="327" customFormat="false" ht="15" hidden="false" customHeight="false" outlineLevel="0" collapsed="false">
      <c r="A327" s="12" t="n">
        <v>324</v>
      </c>
      <c r="B327" s="12" t="s">
        <v>1217</v>
      </c>
      <c r="C327" s="12" t="s">
        <v>1277</v>
      </c>
      <c r="D327" s="40" t="n">
        <v>68348</v>
      </c>
      <c r="E327" s="31" t="s">
        <v>127</v>
      </c>
      <c r="F327" s="12" t="str">
        <f aca="false">IFERROR(INDEX('Расчет Кплотн'!$C:$C,MATCH(E327,'Расчет Кплотн'!$A:$A,0)),"код не найден")</f>
        <v>Тараз</v>
      </c>
      <c r="G327" s="12" t="s">
        <v>503</v>
      </c>
      <c r="H327" s="12" t="s">
        <v>1278</v>
      </c>
      <c r="I327" s="12" t="s">
        <v>1223</v>
      </c>
    </row>
    <row r="328" customFormat="false" ht="15" hidden="false" customHeight="false" outlineLevel="0" collapsed="false">
      <c r="A328" s="12" t="n">
        <v>325</v>
      </c>
      <c r="B328" s="12" t="s">
        <v>1217</v>
      </c>
      <c r="C328" s="12" t="s">
        <v>1279</v>
      </c>
      <c r="D328" s="40" t="n">
        <v>23776</v>
      </c>
      <c r="E328" s="31" t="s">
        <v>134</v>
      </c>
      <c r="F328" s="12" t="str">
        <f aca="false">IFERROR(INDEX('Расчет Кплотн'!$C:$C,MATCH(E328,'Расчет Кплотн'!$A:$A,0)),"код не найден")</f>
        <v>Мойынкумский район</v>
      </c>
      <c r="G328" s="12" t="s">
        <v>503</v>
      </c>
      <c r="H328" s="12" t="s">
        <v>1280</v>
      </c>
      <c r="I328" s="12" t="s">
        <v>1281</v>
      </c>
    </row>
    <row r="329" customFormat="false" ht="15" hidden="false" customHeight="false" outlineLevel="0" collapsed="false">
      <c r="A329" s="12" t="n">
        <v>326</v>
      </c>
      <c r="B329" s="12" t="s">
        <v>1217</v>
      </c>
      <c r="C329" s="12" t="s">
        <v>1282</v>
      </c>
      <c r="D329" s="40" t="n">
        <v>54853</v>
      </c>
      <c r="E329" s="31" t="s">
        <v>137</v>
      </c>
      <c r="F329" s="12" t="str">
        <f aca="false">IFERROR(INDEX('Расчет Кплотн'!$C:$C,MATCH(E329,'Расчет Кплотн'!$A:$A,0)),"код не найден")</f>
        <v>Шуский район</v>
      </c>
      <c r="G329" s="12" t="s">
        <v>503</v>
      </c>
      <c r="H329" s="12" t="s">
        <v>1283</v>
      </c>
      <c r="I329" s="12" t="s">
        <v>1284</v>
      </c>
    </row>
    <row r="330" customFormat="false" ht="15" hidden="false" customHeight="false" outlineLevel="0" collapsed="false">
      <c r="A330" s="12" t="n">
        <v>327</v>
      </c>
      <c r="B330" s="12" t="s">
        <v>1217</v>
      </c>
      <c r="C330" s="12" t="s">
        <v>1285</v>
      </c>
      <c r="D330" s="40" t="n">
        <v>40339</v>
      </c>
      <c r="E330" s="31" t="s">
        <v>137</v>
      </c>
      <c r="F330" s="12" t="str">
        <f aca="false">IFERROR(INDEX('Расчет Кплотн'!$C:$C,MATCH(E330,'Расчет Кплотн'!$A:$A,0)),"код не найден")</f>
        <v>Шуский район</v>
      </c>
      <c r="G330" s="12" t="s">
        <v>503</v>
      </c>
      <c r="H330" s="12" t="s">
        <v>1286</v>
      </c>
      <c r="I330" s="12" t="s">
        <v>1287</v>
      </c>
    </row>
    <row r="331" customFormat="false" ht="15" hidden="false" customHeight="false" outlineLevel="0" collapsed="false">
      <c r="A331" s="12" t="n">
        <v>328</v>
      </c>
      <c r="B331" s="12" t="s">
        <v>1217</v>
      </c>
      <c r="C331" s="12" t="s">
        <v>1288</v>
      </c>
      <c r="D331" s="40" t="n">
        <v>83832</v>
      </c>
      <c r="E331" s="31" t="s">
        <v>128</v>
      </c>
      <c r="F331" s="12" t="str">
        <f aca="false">IFERROR(INDEX('Расчет Кплотн'!$C:$C,MATCH(E331,'Расчет Кплотн'!$A:$A,0)),"код не найден")</f>
        <v>Байзакский район</v>
      </c>
      <c r="G331" s="12" t="s">
        <v>503</v>
      </c>
      <c r="H331" s="12" t="s">
        <v>1289</v>
      </c>
      <c r="I331" s="12" t="s">
        <v>1290</v>
      </c>
    </row>
    <row r="332" customFormat="false" ht="15" hidden="false" customHeight="false" outlineLevel="0" collapsed="false">
      <c r="A332" s="12" t="n">
        <v>329</v>
      </c>
      <c r="B332" s="12" t="s">
        <v>1291</v>
      </c>
      <c r="C332" s="12" t="s">
        <v>1292</v>
      </c>
      <c r="D332" s="40" t="n">
        <v>27167</v>
      </c>
      <c r="E332" s="31" t="s">
        <v>139</v>
      </c>
      <c r="F332" s="12" t="str">
        <f aca="false">IFERROR(INDEX('Расчет Кплотн'!$C:$C,MATCH(E332,'Расчет Кплотн'!$A:$A,0)),"код не найден")</f>
        <v>Текели</v>
      </c>
      <c r="G332" s="12" t="s">
        <v>503</v>
      </c>
      <c r="H332" s="12" t="s">
        <v>1293</v>
      </c>
      <c r="I332" s="12" t="s">
        <v>1294</v>
      </c>
    </row>
    <row r="333" customFormat="false" ht="15" hidden="false" customHeight="false" outlineLevel="0" collapsed="false">
      <c r="A333" s="12" t="n">
        <v>330</v>
      </c>
      <c r="B333" s="12" t="s">
        <v>1291</v>
      </c>
      <c r="C333" s="12" t="s">
        <v>907</v>
      </c>
      <c r="D333" s="40" t="n">
        <v>17598</v>
      </c>
      <c r="E333" s="31" t="s">
        <v>138</v>
      </c>
      <c r="F333" s="12" t="str">
        <f aca="false">IFERROR(INDEX('Расчет Кплотн'!$C:$C,MATCH(E333,'Расчет Кплотн'!$A:$A,0)),"код не найден")</f>
        <v>Талдыкорган</v>
      </c>
      <c r="G333" s="12" t="s">
        <v>503</v>
      </c>
      <c r="H333" s="12"/>
      <c r="I333" s="12" t="s">
        <v>1295</v>
      </c>
    </row>
    <row r="334" customFormat="false" ht="15" hidden="false" customHeight="false" outlineLevel="0" collapsed="false">
      <c r="A334" s="12" t="n">
        <v>331</v>
      </c>
      <c r="B334" s="12" t="s">
        <v>1291</v>
      </c>
      <c r="C334" s="12" t="s">
        <v>1296</v>
      </c>
      <c r="D334" s="40" t="n">
        <v>8539</v>
      </c>
      <c r="E334" s="31" t="s">
        <v>138</v>
      </c>
      <c r="F334" s="12" t="str">
        <f aca="false">IFERROR(INDEX('Расчет Кплотн'!$C:$C,MATCH(E334,'Расчет Кплотн'!$A:$A,0)),"код не найден")</f>
        <v>Талдыкорган</v>
      </c>
      <c r="G334" s="12" t="s">
        <v>503</v>
      </c>
      <c r="H334" s="12" t="s">
        <v>1297</v>
      </c>
      <c r="I334" s="12" t="s">
        <v>1295</v>
      </c>
    </row>
    <row r="335" customFormat="false" ht="15" hidden="false" customHeight="false" outlineLevel="0" collapsed="false">
      <c r="A335" s="12" t="n">
        <v>332</v>
      </c>
      <c r="B335" s="12" t="s">
        <v>1291</v>
      </c>
      <c r="C335" s="12" t="s">
        <v>1298</v>
      </c>
      <c r="D335" s="40" t="n">
        <v>128421</v>
      </c>
      <c r="E335" s="31" t="s">
        <v>146</v>
      </c>
      <c r="F335" s="12" t="str">
        <f aca="false">IFERROR(INDEX('Расчет Кплотн'!$C:$C,MATCH(E335,'Расчет Кплотн'!$A:$A,0)),"код не найден")</f>
        <v>Панфиловский район</v>
      </c>
      <c r="G335" s="12" t="s">
        <v>503</v>
      </c>
      <c r="H335" s="12" t="s">
        <v>1299</v>
      </c>
      <c r="I335" s="12" t="s">
        <v>1300</v>
      </c>
    </row>
    <row r="336" customFormat="false" ht="15" hidden="false" customHeight="false" outlineLevel="0" collapsed="false">
      <c r="A336" s="12" t="n">
        <v>333</v>
      </c>
      <c r="B336" s="12" t="s">
        <v>1291</v>
      </c>
      <c r="C336" s="12" t="s">
        <v>1301</v>
      </c>
      <c r="D336" s="40" t="n">
        <v>34857</v>
      </c>
      <c r="E336" s="31" t="s">
        <v>147</v>
      </c>
      <c r="F336" s="12" t="str">
        <f aca="false">IFERROR(INDEX('Расчет Кплотн'!$C:$C,MATCH(E336,'Расчет Кплотн'!$A:$A,0)),"код не найден")</f>
        <v>Сарканский район</v>
      </c>
      <c r="G336" s="12" t="s">
        <v>503</v>
      </c>
      <c r="H336" s="12" t="s">
        <v>1302</v>
      </c>
      <c r="I336" s="12" t="s">
        <v>1303</v>
      </c>
    </row>
    <row r="337" customFormat="false" ht="15" hidden="false" customHeight="false" outlineLevel="0" collapsed="false">
      <c r="A337" s="12" t="n">
        <v>334</v>
      </c>
      <c r="B337" s="12" t="s">
        <v>1291</v>
      </c>
      <c r="C337" s="12" t="s">
        <v>1304</v>
      </c>
      <c r="D337" s="40" t="n">
        <v>39681</v>
      </c>
      <c r="E337" s="31" t="s">
        <v>145</v>
      </c>
      <c r="F337" s="12" t="str">
        <f aca="false">IFERROR(INDEX('Расчет Кплотн'!$C:$C,MATCH(E337,'Расчет Кплотн'!$A:$A,0)),"код не найден")</f>
        <v>Каратальский район</v>
      </c>
      <c r="G337" s="12" t="s">
        <v>503</v>
      </c>
      <c r="H337" s="12" t="s">
        <v>1305</v>
      </c>
      <c r="I337" s="12" t="s">
        <v>1306</v>
      </c>
    </row>
    <row r="338" customFormat="false" ht="15" hidden="false" customHeight="false" outlineLevel="0" collapsed="false">
      <c r="A338" s="12" t="n">
        <v>335</v>
      </c>
      <c r="B338" s="12" t="s">
        <v>1291</v>
      </c>
      <c r="C338" s="12" t="s">
        <v>1307</v>
      </c>
      <c r="D338" s="40" t="n">
        <v>62774</v>
      </c>
      <c r="E338" s="31" t="s">
        <v>141</v>
      </c>
      <c r="F338" s="12" t="str">
        <f aca="false">IFERROR(INDEX('Расчет Кплотн'!$C:$C,MATCH(E338,'Расчет Кплотн'!$A:$A,0)),"код не найден")</f>
        <v>Алакольский район</v>
      </c>
      <c r="G338" s="12" t="s">
        <v>503</v>
      </c>
      <c r="H338" s="12" t="s">
        <v>1308</v>
      </c>
      <c r="I338" s="12" t="s">
        <v>1309</v>
      </c>
    </row>
    <row r="339" customFormat="false" ht="15" hidden="false" customHeight="false" outlineLevel="0" collapsed="false">
      <c r="A339" s="12" t="n">
        <v>336</v>
      </c>
      <c r="B339" s="12" t="s">
        <v>1291</v>
      </c>
      <c r="C339" s="12" t="s">
        <v>1310</v>
      </c>
      <c r="D339" s="40" t="n">
        <v>118225</v>
      </c>
      <c r="E339" s="31" t="s">
        <v>138</v>
      </c>
      <c r="F339" s="12" t="str">
        <f aca="false">IFERROR(INDEX('Расчет Кплотн'!$C:$C,MATCH(E339,'Расчет Кплотн'!$A:$A,0)),"код не найден")</f>
        <v>Талдыкорган</v>
      </c>
      <c r="G339" s="12" t="s">
        <v>503</v>
      </c>
      <c r="H339" s="12" t="s">
        <v>1311</v>
      </c>
      <c r="I339" s="12" t="s">
        <v>1295</v>
      </c>
    </row>
    <row r="340" customFormat="false" ht="15" hidden="false" customHeight="false" outlineLevel="0" collapsed="false">
      <c r="A340" s="12" t="n">
        <v>337</v>
      </c>
      <c r="B340" s="12" t="s">
        <v>1291</v>
      </c>
      <c r="C340" s="12" t="s">
        <v>1312</v>
      </c>
      <c r="D340" s="40" t="n">
        <v>60602</v>
      </c>
      <c r="E340" s="31" t="s">
        <v>138</v>
      </c>
      <c r="F340" s="12" t="str">
        <f aca="false">IFERROR(INDEX('Расчет Кплотн'!$C:$C,MATCH(E340,'Расчет Кплотн'!$A:$A,0)),"код не найден")</f>
        <v>Талдыкорган</v>
      </c>
      <c r="G340" s="12" t="s">
        <v>503</v>
      </c>
      <c r="H340" s="12" t="s">
        <v>1313</v>
      </c>
      <c r="I340" s="12" t="s">
        <v>1295</v>
      </c>
    </row>
    <row r="341" customFormat="false" ht="15" hidden="false" customHeight="false" outlineLevel="0" collapsed="false">
      <c r="A341" s="12" t="n">
        <v>338</v>
      </c>
      <c r="B341" s="12" t="s">
        <v>1291</v>
      </c>
      <c r="C341" s="12" t="s">
        <v>1314</v>
      </c>
      <c r="D341" s="40" t="n">
        <v>38910</v>
      </c>
      <c r="E341" s="31" t="s">
        <v>144</v>
      </c>
      <c r="F341" s="12" t="str">
        <f aca="false">IFERROR(INDEX('Расчет Кплотн'!$C:$C,MATCH(E341,'Расчет Кплотн'!$A:$A,0)),"код не найден")</f>
        <v>Коксуский район</v>
      </c>
      <c r="G341" s="12" t="s">
        <v>503</v>
      </c>
      <c r="H341" s="12" t="s">
        <v>1315</v>
      </c>
      <c r="I341" s="12" t="s">
        <v>1316</v>
      </c>
    </row>
    <row r="342" customFormat="false" ht="15" hidden="false" customHeight="false" outlineLevel="0" collapsed="false">
      <c r="A342" s="12" t="n">
        <v>339</v>
      </c>
      <c r="B342" s="12" t="s">
        <v>1291</v>
      </c>
      <c r="C342" s="12" t="s">
        <v>1317</v>
      </c>
      <c r="D342" s="40" t="n">
        <v>37265</v>
      </c>
      <c r="E342" s="31" t="s">
        <v>143</v>
      </c>
      <c r="F342" s="12" t="str">
        <f aca="false">IFERROR(INDEX('Расчет Кплотн'!$C:$C,MATCH(E342,'Расчет Кплотн'!$A:$A,0)),"код не найден")</f>
        <v>Кербулакский район</v>
      </c>
      <c r="G342" s="12" t="s">
        <v>503</v>
      </c>
      <c r="H342" s="12" t="s">
        <v>1318</v>
      </c>
      <c r="I342" s="12" t="s">
        <v>1319</v>
      </c>
    </row>
    <row r="343" customFormat="false" ht="15" hidden="false" customHeight="false" outlineLevel="0" collapsed="false">
      <c r="A343" s="12" t="n">
        <v>340</v>
      </c>
      <c r="B343" s="12" t="s">
        <v>1291</v>
      </c>
      <c r="C343" s="12" t="s">
        <v>1320</v>
      </c>
      <c r="D343" s="40" t="n">
        <v>31467</v>
      </c>
      <c r="E343" s="31" t="s">
        <v>140</v>
      </c>
      <c r="F343" s="12" t="str">
        <f aca="false">IFERROR(INDEX('Расчет Кплотн'!$C:$C,MATCH(E343,'Расчет Кплотн'!$A:$A,0)),"код не найден")</f>
        <v>Аксуский район</v>
      </c>
      <c r="G343" s="12" t="s">
        <v>503</v>
      </c>
      <c r="H343" s="12" t="s">
        <v>1321</v>
      </c>
      <c r="I343" s="12" t="s">
        <v>1322</v>
      </c>
    </row>
    <row r="344" customFormat="false" ht="15" hidden="false" customHeight="false" outlineLevel="0" collapsed="false">
      <c r="A344" s="12" t="n">
        <v>341</v>
      </c>
      <c r="B344" s="12" t="s">
        <v>1291</v>
      </c>
      <c r="C344" s="12" t="s">
        <v>1323</v>
      </c>
      <c r="D344" s="40" t="n">
        <v>48305</v>
      </c>
      <c r="E344" s="31" t="s">
        <v>142</v>
      </c>
      <c r="F344" s="12" t="str">
        <f aca="false">IFERROR(INDEX('Расчет Кплотн'!$C:$C,MATCH(E344,'Расчет Кплотн'!$A:$A,0)),"код не найден")</f>
        <v>Ескельдинский район</v>
      </c>
      <c r="G344" s="12" t="s">
        <v>503</v>
      </c>
      <c r="H344" s="12" t="s">
        <v>1324</v>
      </c>
      <c r="I344" s="12" t="s">
        <v>1325</v>
      </c>
    </row>
    <row r="345" customFormat="false" ht="15" hidden="false" customHeight="false" outlineLevel="0" collapsed="false">
      <c r="A345" s="12" t="n">
        <v>342</v>
      </c>
      <c r="B345" s="12" t="s">
        <v>1326</v>
      </c>
      <c r="C345" s="12" t="s">
        <v>1327</v>
      </c>
      <c r="D345" s="40" t="n">
        <v>11146</v>
      </c>
      <c r="E345" s="31" t="s">
        <v>126</v>
      </c>
      <c r="F345" s="12" t="str">
        <f aca="false">IFERROR(INDEX('Расчет Кплотн'!$C:$C,MATCH(E345,'Расчет Кплотн'!$A:$A,0)),"код не найден")</f>
        <v>Чингирлауский район</v>
      </c>
      <c r="G345" s="12" t="s">
        <v>503</v>
      </c>
      <c r="H345" s="12" t="s">
        <v>1328</v>
      </c>
      <c r="I345" s="12" t="s">
        <v>1329</v>
      </c>
    </row>
    <row r="346" customFormat="false" ht="15" hidden="false" customHeight="false" outlineLevel="0" collapsed="false">
      <c r="A346" s="12" t="n">
        <v>343</v>
      </c>
      <c r="B346" s="12" t="s">
        <v>1326</v>
      </c>
      <c r="C346" s="12" t="s">
        <v>1330</v>
      </c>
      <c r="D346" s="40" t="n">
        <v>19058</v>
      </c>
      <c r="E346" s="31" t="s">
        <v>117</v>
      </c>
      <c r="F346" s="12" t="str">
        <f aca="false">IFERROR(INDEX('Расчет Кплотн'!$C:$C,MATCH(E346,'Расчет Кплотн'!$A:$A,0)),"код не найден")</f>
        <v>Жангалинский район</v>
      </c>
      <c r="G346" s="12" t="s">
        <v>503</v>
      </c>
      <c r="H346" s="12" t="s">
        <v>1331</v>
      </c>
      <c r="I346" s="12" t="s">
        <v>1332</v>
      </c>
    </row>
    <row r="347" customFormat="false" ht="15" hidden="false" customHeight="false" outlineLevel="0" collapsed="false">
      <c r="A347" s="12" t="n">
        <v>344</v>
      </c>
      <c r="B347" s="12" t="s">
        <v>1326</v>
      </c>
      <c r="C347" s="12" t="s">
        <v>1333</v>
      </c>
      <c r="D347" s="40" t="n">
        <v>11391</v>
      </c>
      <c r="E347" s="31" t="s">
        <v>120</v>
      </c>
      <c r="F347" s="12" t="str">
        <f aca="false">IFERROR(INDEX('Расчет Кплотн'!$C:$C,MATCH(E347,'Расчет Кплотн'!$A:$A,0)),"код не найден")</f>
        <v>Казталовский район</v>
      </c>
      <c r="G347" s="12" t="s">
        <v>503</v>
      </c>
      <c r="H347" s="12" t="s">
        <v>1334</v>
      </c>
      <c r="I347" s="12" t="s">
        <v>1335</v>
      </c>
    </row>
    <row r="348" customFormat="false" ht="15" hidden="false" customHeight="false" outlineLevel="0" collapsed="false">
      <c r="A348" s="12" t="n">
        <v>345</v>
      </c>
      <c r="B348" s="12" t="s">
        <v>1326</v>
      </c>
      <c r="C348" s="12" t="s">
        <v>1336</v>
      </c>
      <c r="D348" s="40" t="n">
        <v>12338</v>
      </c>
      <c r="E348" s="31" t="s">
        <v>120</v>
      </c>
      <c r="F348" s="12" t="str">
        <f aca="false">IFERROR(INDEX('Расчет Кплотн'!$C:$C,MATCH(E348,'Расчет Кплотн'!$A:$A,0)),"код не найден")</f>
        <v>Казталовский район</v>
      </c>
      <c r="G348" s="12" t="s">
        <v>503</v>
      </c>
      <c r="H348" s="12" t="s">
        <v>1337</v>
      </c>
      <c r="I348" s="12" t="s">
        <v>1338</v>
      </c>
    </row>
    <row r="349" customFormat="false" ht="15" hidden="false" customHeight="false" outlineLevel="0" collapsed="false">
      <c r="A349" s="12" t="n">
        <v>346</v>
      </c>
      <c r="B349" s="12" t="s">
        <v>1326</v>
      </c>
      <c r="C349" s="12" t="s">
        <v>1339</v>
      </c>
      <c r="D349" s="40" t="n">
        <v>29916</v>
      </c>
      <c r="E349" s="31" t="s">
        <v>115</v>
      </c>
      <c r="F349" s="12" t="str">
        <f aca="false">IFERROR(INDEX('Расчет Кплотн'!$C:$C,MATCH(E349,'Расчет Кплотн'!$A:$A,0)),"код не найден")</f>
        <v>Акжаикский район</v>
      </c>
      <c r="G349" s="12" t="s">
        <v>503</v>
      </c>
      <c r="H349" s="12" t="s">
        <v>1340</v>
      </c>
      <c r="I349" s="12" t="s">
        <v>1341</v>
      </c>
    </row>
    <row r="350" customFormat="false" ht="15" hidden="false" customHeight="false" outlineLevel="0" collapsed="false">
      <c r="A350" s="12" t="n">
        <v>347</v>
      </c>
      <c r="B350" s="12" t="s">
        <v>1326</v>
      </c>
      <c r="C350" s="12" t="s">
        <v>1342</v>
      </c>
      <c r="D350" s="40" t="n">
        <v>10262</v>
      </c>
      <c r="E350" s="31" t="s">
        <v>114</v>
      </c>
      <c r="F350" s="12" t="str">
        <f aca="false">IFERROR(INDEX('Расчет Кплотн'!$C:$C,MATCH(E350,'Расчет Кплотн'!$A:$A,0)),"код не найден")</f>
        <v>Уральск</v>
      </c>
      <c r="G350" s="12" t="s">
        <v>503</v>
      </c>
      <c r="H350" s="12" t="s">
        <v>1343</v>
      </c>
      <c r="I350" s="12" t="s">
        <v>1344</v>
      </c>
    </row>
    <row r="351" customFormat="false" ht="15" hidden="false" customHeight="false" outlineLevel="0" collapsed="false">
      <c r="A351" s="12" t="n">
        <v>348</v>
      </c>
      <c r="B351" s="12" t="s">
        <v>1326</v>
      </c>
      <c r="C351" s="12" t="s">
        <v>1345</v>
      </c>
      <c r="D351" s="40" t="n">
        <v>13952</v>
      </c>
      <c r="E351" s="31" t="s">
        <v>114</v>
      </c>
      <c r="F351" s="12" t="str">
        <f aca="false">IFERROR(INDEX('Расчет Кплотн'!$C:$C,MATCH(E351,'Расчет Кплотн'!$A:$A,0)),"код не найден")</f>
        <v>Уральск</v>
      </c>
      <c r="G351" s="12" t="s">
        <v>503</v>
      </c>
      <c r="H351" s="12" t="s">
        <v>1346</v>
      </c>
      <c r="I351" s="12" t="s">
        <v>1344</v>
      </c>
    </row>
    <row r="352" customFormat="false" ht="15" hidden="false" customHeight="false" outlineLevel="0" collapsed="false">
      <c r="A352" s="12" t="n">
        <v>349</v>
      </c>
      <c r="B352" s="12" t="s">
        <v>1326</v>
      </c>
      <c r="C352" s="12" t="s">
        <v>1347</v>
      </c>
      <c r="D352" s="40" t="n">
        <v>3951</v>
      </c>
      <c r="E352" s="31" t="s">
        <v>114</v>
      </c>
      <c r="F352" s="12" t="str">
        <f aca="false">IFERROR(INDEX('Расчет Кплотн'!$C:$C,MATCH(E352,'Расчет Кплотн'!$A:$A,0)),"код не найден")</f>
        <v>Уральск</v>
      </c>
      <c r="G352" s="12" t="s">
        <v>503</v>
      </c>
      <c r="H352" s="12" t="s">
        <v>1348</v>
      </c>
      <c r="I352" s="12" t="s">
        <v>1344</v>
      </c>
    </row>
    <row r="353" customFormat="false" ht="15" hidden="false" customHeight="false" outlineLevel="0" collapsed="false">
      <c r="A353" s="12" t="n">
        <v>350</v>
      </c>
      <c r="B353" s="12" t="s">
        <v>1326</v>
      </c>
      <c r="C353" s="12" t="s">
        <v>1349</v>
      </c>
      <c r="D353" s="40" t="n">
        <v>20323</v>
      </c>
      <c r="E353" s="31" t="s">
        <v>114</v>
      </c>
      <c r="F353" s="12" t="str">
        <f aca="false">IFERROR(INDEX('Расчет Кплотн'!$C:$C,MATCH(E353,'Расчет Кплотн'!$A:$A,0)),"код не найден")</f>
        <v>Уральск</v>
      </c>
      <c r="G353" s="12" t="s">
        <v>503</v>
      </c>
      <c r="H353" s="12" t="s">
        <v>1350</v>
      </c>
      <c r="I353" s="12" t="s">
        <v>1344</v>
      </c>
    </row>
    <row r="354" customFormat="false" ht="15" hidden="false" customHeight="false" outlineLevel="0" collapsed="false">
      <c r="A354" s="12" t="n">
        <v>351</v>
      </c>
      <c r="B354" s="12" t="s">
        <v>1326</v>
      </c>
      <c r="C354" s="12" t="s">
        <v>1351</v>
      </c>
      <c r="D354" s="40" t="n">
        <v>3393</v>
      </c>
      <c r="E354" s="31" t="s">
        <v>116</v>
      </c>
      <c r="F354" s="12" t="str">
        <f aca="false">IFERROR(INDEX('Расчет Кплотн'!$C:$C,MATCH(E354,'Расчет Кплотн'!$A:$A,0)),"код не найден")</f>
        <v>Бурлинский район</v>
      </c>
      <c r="G354" s="12" t="s">
        <v>503</v>
      </c>
      <c r="H354" s="12" t="s">
        <v>1352</v>
      </c>
      <c r="I354" s="12" t="s">
        <v>1353</v>
      </c>
    </row>
    <row r="355" customFormat="false" ht="15" hidden="false" customHeight="false" outlineLevel="0" collapsed="false">
      <c r="A355" s="12" t="n">
        <v>352</v>
      </c>
      <c r="B355" s="12" t="s">
        <v>1326</v>
      </c>
      <c r="C355" s="12" t="s">
        <v>1354</v>
      </c>
      <c r="D355" s="40" t="n">
        <v>33641</v>
      </c>
      <c r="E355" s="31" t="s">
        <v>125</v>
      </c>
      <c r="F355" s="12" t="str">
        <f aca="false">IFERROR(INDEX('Расчет Кплотн'!$C:$C,MATCH(E355,'Расчет Кплотн'!$A:$A,0)),"код не найден")</f>
        <v>Теректинский район</v>
      </c>
      <c r="G355" s="12" t="s">
        <v>503</v>
      </c>
      <c r="H355" s="12" t="s">
        <v>1355</v>
      </c>
      <c r="I355" s="12" t="s">
        <v>1356</v>
      </c>
    </row>
    <row r="356" customFormat="false" ht="15" hidden="false" customHeight="false" outlineLevel="0" collapsed="false">
      <c r="A356" s="12" t="n">
        <v>353</v>
      </c>
      <c r="B356" s="12" t="s">
        <v>1326</v>
      </c>
      <c r="C356" s="12" t="s">
        <v>1357</v>
      </c>
      <c r="D356" s="40" t="n">
        <v>19803</v>
      </c>
      <c r="E356" s="31" t="s">
        <v>114</v>
      </c>
      <c r="F356" s="12" t="str">
        <f aca="false">IFERROR(INDEX('Расчет Кплотн'!$C:$C,MATCH(E356,'Расчет Кплотн'!$A:$A,0)),"код не найден")</f>
        <v>Уральск</v>
      </c>
      <c r="G356" s="12" t="s">
        <v>503</v>
      </c>
      <c r="H356" s="12" t="s">
        <v>1358</v>
      </c>
      <c r="I356" s="12" t="s">
        <v>1344</v>
      </c>
    </row>
    <row r="357" customFormat="false" ht="15" hidden="false" customHeight="false" outlineLevel="0" collapsed="false">
      <c r="A357" s="12" t="n">
        <v>354</v>
      </c>
      <c r="B357" s="12" t="s">
        <v>1326</v>
      </c>
      <c r="C357" s="12" t="s">
        <v>1359</v>
      </c>
      <c r="D357" s="40" t="n">
        <v>77603</v>
      </c>
      <c r="E357" s="31" t="s">
        <v>114</v>
      </c>
      <c r="F357" s="12" t="str">
        <f aca="false">IFERROR(INDEX('Расчет Кплотн'!$C:$C,MATCH(E357,'Расчет Кплотн'!$A:$A,0)),"код не найден")</f>
        <v>Уральск</v>
      </c>
      <c r="G357" s="12" t="s">
        <v>503</v>
      </c>
      <c r="H357" s="12" t="s">
        <v>1360</v>
      </c>
      <c r="I357" s="12" t="s">
        <v>1361</v>
      </c>
    </row>
    <row r="358" customFormat="false" ht="15" hidden="false" customHeight="false" outlineLevel="0" collapsed="false">
      <c r="A358" s="12" t="n">
        <v>355</v>
      </c>
      <c r="B358" s="12" t="s">
        <v>1326</v>
      </c>
      <c r="C358" s="12" t="s">
        <v>1378</v>
      </c>
      <c r="D358" s="40" t="n">
        <v>12075</v>
      </c>
      <c r="E358" s="31" t="s">
        <v>122</v>
      </c>
      <c r="F358" s="12" t="str">
        <f aca="false">IFERROR(INDEX('Расчет Кплотн'!$C:$C,MATCH(E358,'Расчет Кплотн'!$A:$A,0)),"код не найден")</f>
        <v>Бокейординский район</v>
      </c>
      <c r="G358" s="12" t="s">
        <v>503</v>
      </c>
      <c r="H358" s="12" t="s">
        <v>1379</v>
      </c>
      <c r="I358" s="12" t="s">
        <v>1380</v>
      </c>
    </row>
    <row r="359" customFormat="false" ht="15" hidden="false" customHeight="false" outlineLevel="0" collapsed="false">
      <c r="A359" s="12" t="n">
        <v>356</v>
      </c>
      <c r="B359" s="12" t="s">
        <v>1326</v>
      </c>
      <c r="C359" s="12" t="s">
        <v>1364</v>
      </c>
      <c r="D359" s="40" t="n">
        <v>65131</v>
      </c>
      <c r="E359" s="31" t="s">
        <v>114</v>
      </c>
      <c r="F359" s="12" t="str">
        <f aca="false">IFERROR(INDEX('Расчет Кплотн'!$C:$C,MATCH(E359,'Расчет Кплотн'!$A:$A,0)),"код не найден")</f>
        <v>Уральск</v>
      </c>
      <c r="G359" s="12" t="s">
        <v>503</v>
      </c>
      <c r="H359" s="12" t="s">
        <v>1365</v>
      </c>
      <c r="I359" s="12" t="s">
        <v>1344</v>
      </c>
    </row>
    <row r="360" customFormat="false" ht="15" hidden="false" customHeight="false" outlineLevel="0" collapsed="false">
      <c r="A360" s="12" t="n">
        <v>357</v>
      </c>
      <c r="B360" s="12" t="s">
        <v>1326</v>
      </c>
      <c r="C360" s="12" t="s">
        <v>1366</v>
      </c>
      <c r="D360" s="40" t="n">
        <v>47218</v>
      </c>
      <c r="E360" s="31" t="s">
        <v>114</v>
      </c>
      <c r="F360" s="12" t="str">
        <f aca="false">IFERROR(INDEX('Расчет Кплотн'!$C:$C,MATCH(E360,'Расчет Кплотн'!$A:$A,0)),"код не найден")</f>
        <v>Уральск</v>
      </c>
      <c r="G360" s="12" t="s">
        <v>503</v>
      </c>
      <c r="H360" s="12" t="s">
        <v>1367</v>
      </c>
      <c r="I360" s="12" t="s">
        <v>1344</v>
      </c>
    </row>
    <row r="361" customFormat="false" ht="15" hidden="false" customHeight="false" outlineLevel="0" collapsed="false">
      <c r="A361" s="12" t="n">
        <v>358</v>
      </c>
      <c r="B361" s="12" t="s">
        <v>1326</v>
      </c>
      <c r="C361" s="12" t="s">
        <v>1362</v>
      </c>
      <c r="D361" s="40" t="n">
        <v>47912</v>
      </c>
      <c r="E361" s="31" t="s">
        <v>114</v>
      </c>
      <c r="F361" s="12" t="str">
        <f aca="false">IFERROR(INDEX('Расчет Кплотн'!$C:$C,MATCH(E361,'Расчет Кплотн'!$A:$A,0)),"код не найден")</f>
        <v>Уральск</v>
      </c>
      <c r="G361" s="12" t="s">
        <v>503</v>
      </c>
      <c r="H361" s="12" t="s">
        <v>1363</v>
      </c>
      <c r="I361" s="12" t="s">
        <v>1344</v>
      </c>
    </row>
    <row r="362" customFormat="false" ht="15" hidden="false" customHeight="false" outlineLevel="0" collapsed="false">
      <c r="A362" s="12" t="n">
        <v>359</v>
      </c>
      <c r="B362" s="12" t="s">
        <v>1326</v>
      </c>
      <c r="C362" s="12" t="s">
        <v>1370</v>
      </c>
      <c r="D362" s="40" t="n">
        <v>62417</v>
      </c>
      <c r="E362" s="31" t="s">
        <v>114</v>
      </c>
      <c r="F362" s="12" t="str">
        <f aca="false">IFERROR(INDEX('Расчет Кплотн'!$C:$C,MATCH(E362,'Расчет Кплотн'!$A:$A,0)),"код не найден")</f>
        <v>Уральск</v>
      </c>
      <c r="G362" s="12" t="s">
        <v>503</v>
      </c>
      <c r="H362" s="12" t="s">
        <v>1371</v>
      </c>
      <c r="I362" s="12" t="s">
        <v>1344</v>
      </c>
    </row>
    <row r="363" customFormat="false" ht="15" hidden="false" customHeight="false" outlineLevel="0" collapsed="false">
      <c r="A363" s="12" t="n">
        <v>360</v>
      </c>
      <c r="B363" s="12" t="s">
        <v>1326</v>
      </c>
      <c r="C363" s="12" t="s">
        <v>1372</v>
      </c>
      <c r="D363" s="40" t="n">
        <v>12094</v>
      </c>
      <c r="E363" s="31" t="s">
        <v>118</v>
      </c>
      <c r="F363" s="12" t="str">
        <f aca="false">IFERROR(INDEX('Расчет Кплотн'!$C:$C,MATCH(E363,'Расчет Кплотн'!$A:$A,0)),"код не найден")</f>
        <v>Жанибекский район</v>
      </c>
      <c r="G363" s="12" t="s">
        <v>503</v>
      </c>
      <c r="H363" s="12" t="s">
        <v>1373</v>
      </c>
      <c r="I363" s="12" t="s">
        <v>1374</v>
      </c>
    </row>
    <row r="364" customFormat="false" ht="15" hidden="false" customHeight="false" outlineLevel="0" collapsed="false">
      <c r="A364" s="12" t="n">
        <v>361</v>
      </c>
      <c r="B364" s="12" t="s">
        <v>1326</v>
      </c>
      <c r="C364" s="12" t="s">
        <v>1375</v>
      </c>
      <c r="D364" s="40" t="n">
        <v>14936</v>
      </c>
      <c r="E364" s="31" t="s">
        <v>123</v>
      </c>
      <c r="F364" s="12" t="str">
        <f aca="false">IFERROR(INDEX('Расчет Кплотн'!$C:$C,MATCH(E364,'Расчет Кплотн'!$A:$A,0)),"код не найден")</f>
        <v>Сырымский район</v>
      </c>
      <c r="G364" s="12" t="s">
        <v>503</v>
      </c>
      <c r="H364" s="12" t="s">
        <v>1376</v>
      </c>
      <c r="I364" s="12" t="s">
        <v>1377</v>
      </c>
    </row>
    <row r="365" customFormat="false" ht="15" hidden="false" customHeight="false" outlineLevel="0" collapsed="false">
      <c r="A365" s="12" t="n">
        <v>362</v>
      </c>
      <c r="B365" s="12" t="s">
        <v>1326</v>
      </c>
      <c r="C365" s="12" t="s">
        <v>1368</v>
      </c>
      <c r="D365" s="40" t="n">
        <v>37945</v>
      </c>
      <c r="E365" s="31" t="s">
        <v>114</v>
      </c>
      <c r="F365" s="12" t="str">
        <f aca="false">IFERROR(INDEX('Расчет Кплотн'!$C:$C,MATCH(E365,'Расчет Кплотн'!$A:$A,0)),"код не найден")</f>
        <v>Уральск</v>
      </c>
      <c r="G365" s="12" t="s">
        <v>503</v>
      </c>
      <c r="H365" s="12" t="s">
        <v>1369</v>
      </c>
      <c r="I365" s="12" t="s">
        <v>1344</v>
      </c>
    </row>
    <row r="366" customFormat="false" ht="15" hidden="false" customHeight="false" outlineLevel="0" collapsed="false">
      <c r="A366" s="12" t="n">
        <v>363</v>
      </c>
      <c r="B366" s="12" t="s">
        <v>1326</v>
      </c>
      <c r="C366" s="12" t="s">
        <v>1381</v>
      </c>
      <c r="D366" s="40" t="n">
        <v>11367</v>
      </c>
      <c r="E366" s="31" t="s">
        <v>121</v>
      </c>
      <c r="F366" s="12" t="str">
        <f aca="false">IFERROR(INDEX('Расчет Кплотн'!$C:$C,MATCH(E366,'Расчет Кплотн'!$A:$A,0)),"код не найден")</f>
        <v>Каратобинский район</v>
      </c>
      <c r="G366" s="12" t="s">
        <v>503</v>
      </c>
      <c r="H366" s="12" t="s">
        <v>1382</v>
      </c>
      <c r="I366" s="12" t="s">
        <v>1383</v>
      </c>
    </row>
    <row r="367" customFormat="false" ht="15" hidden="false" customHeight="false" outlineLevel="0" collapsed="false">
      <c r="A367" s="12" t="n">
        <v>364</v>
      </c>
      <c r="B367" s="12" t="s">
        <v>1326</v>
      </c>
      <c r="C367" s="12" t="s">
        <v>1384</v>
      </c>
      <c r="D367" s="40" t="n">
        <v>28423</v>
      </c>
      <c r="E367" s="31" t="s">
        <v>119</v>
      </c>
      <c r="F367" s="12" t="str">
        <f aca="false">IFERROR(INDEX('Расчет Кплотн'!$C:$C,MATCH(E367,'Расчет Кплотн'!$A:$A,0)),"код не найден")</f>
        <v>район Бәйтерек</v>
      </c>
      <c r="G367" s="12" t="s">
        <v>503</v>
      </c>
      <c r="H367" s="12" t="s">
        <v>1385</v>
      </c>
      <c r="I367" s="12" t="s">
        <v>1386</v>
      </c>
    </row>
    <row r="368" customFormat="false" ht="15" hidden="false" customHeight="false" outlineLevel="0" collapsed="false">
      <c r="A368" s="12" t="n">
        <v>365</v>
      </c>
      <c r="B368" s="12" t="s">
        <v>1326</v>
      </c>
      <c r="C368" s="12" t="s">
        <v>1387</v>
      </c>
      <c r="D368" s="40" t="n">
        <v>18242</v>
      </c>
      <c r="E368" s="31" t="s">
        <v>119</v>
      </c>
      <c r="F368" s="12" t="str">
        <f aca="false">IFERROR(INDEX('Расчет Кплотн'!$C:$C,MATCH(E368,'Расчет Кплотн'!$A:$A,0)),"код не найден")</f>
        <v>район Бәйтерек</v>
      </c>
      <c r="G368" s="12" t="s">
        <v>503</v>
      </c>
      <c r="H368" s="12" t="s">
        <v>1388</v>
      </c>
      <c r="I368" s="12" t="s">
        <v>1389</v>
      </c>
    </row>
    <row r="369" customFormat="false" ht="15" hidden="false" customHeight="false" outlineLevel="0" collapsed="false">
      <c r="A369" s="12" t="n">
        <v>366</v>
      </c>
      <c r="B369" s="12" t="s">
        <v>1326</v>
      </c>
      <c r="C369" s="12" t="s">
        <v>1390</v>
      </c>
      <c r="D369" s="40" t="n">
        <v>48987</v>
      </c>
      <c r="E369" s="31" t="s">
        <v>116</v>
      </c>
      <c r="F369" s="12" t="str">
        <f aca="false">IFERROR(INDEX('Расчет Кплотн'!$C:$C,MATCH(E369,'Расчет Кплотн'!$A:$A,0)),"код не найден")</f>
        <v>Бурлинский район</v>
      </c>
      <c r="G369" s="12" t="s">
        <v>503</v>
      </c>
      <c r="H369" s="12" t="s">
        <v>1391</v>
      </c>
      <c r="I369" s="12" t="s">
        <v>1353</v>
      </c>
    </row>
    <row r="370" customFormat="false" ht="15" hidden="false" customHeight="false" outlineLevel="0" collapsed="false">
      <c r="A370" s="12" t="n">
        <v>367</v>
      </c>
      <c r="B370" s="12" t="s">
        <v>1326</v>
      </c>
      <c r="C370" s="12" t="s">
        <v>1392</v>
      </c>
      <c r="D370" s="40" t="n">
        <v>14032</v>
      </c>
      <c r="E370" s="31" t="s">
        <v>124</v>
      </c>
      <c r="F370" s="12" t="str">
        <f aca="false">IFERROR(INDEX('Расчет Кплотн'!$C:$C,MATCH(E370,'Расчет Кплотн'!$A:$A,0)),"код не найден")</f>
        <v>Таскалинский район</v>
      </c>
      <c r="G370" s="12" t="s">
        <v>503</v>
      </c>
      <c r="H370" s="12" t="s">
        <v>1393</v>
      </c>
      <c r="I370" s="12" t="s">
        <v>1394</v>
      </c>
    </row>
    <row r="371" customFormat="false" ht="15" hidden="false" customHeight="false" outlineLevel="0" collapsed="false">
      <c r="A371" s="12" t="n">
        <v>368</v>
      </c>
      <c r="B371" s="12" t="s">
        <v>1395</v>
      </c>
      <c r="C371" s="12" t="s">
        <v>1396</v>
      </c>
      <c r="D371" s="40" t="n">
        <v>24323</v>
      </c>
      <c r="E371" s="31" t="s">
        <v>148</v>
      </c>
      <c r="F371" s="12" t="str">
        <f aca="false">IFERROR(INDEX('Расчет Кплотн'!$C:$C,MATCH(E371,'Расчет Кплотн'!$A:$A,0)),"код не найден")</f>
        <v>Караганда</v>
      </c>
      <c r="G371" s="12" t="s">
        <v>503</v>
      </c>
      <c r="H371" s="12" t="s">
        <v>1397</v>
      </c>
      <c r="I371" s="12" t="s">
        <v>1398</v>
      </c>
    </row>
    <row r="372" customFormat="false" ht="15" hidden="false" customHeight="false" outlineLevel="0" collapsed="false">
      <c r="A372" s="12" t="n">
        <v>369</v>
      </c>
      <c r="B372" s="12" t="s">
        <v>1395</v>
      </c>
      <c r="C372" s="12" t="s">
        <v>1399</v>
      </c>
      <c r="D372" s="40" t="n">
        <v>32291</v>
      </c>
      <c r="E372" s="31" t="s">
        <v>148</v>
      </c>
      <c r="F372" s="12" t="str">
        <f aca="false">IFERROR(INDEX('Расчет Кплотн'!$C:$C,MATCH(E372,'Расчет Кплотн'!$A:$A,0)),"код не найден")</f>
        <v>Караганда</v>
      </c>
      <c r="G372" s="12" t="s">
        <v>503</v>
      </c>
      <c r="H372" s="12" t="s">
        <v>1400</v>
      </c>
      <c r="I372" s="12" t="s">
        <v>1401</v>
      </c>
    </row>
    <row r="373" customFormat="false" ht="15" hidden="false" customHeight="false" outlineLevel="0" collapsed="false">
      <c r="A373" s="12" t="n">
        <v>370</v>
      </c>
      <c r="B373" s="12" t="s">
        <v>1395</v>
      </c>
      <c r="C373" s="12" t="s">
        <v>1402</v>
      </c>
      <c r="D373" s="40" t="n">
        <v>25928</v>
      </c>
      <c r="E373" s="31" t="s">
        <v>148</v>
      </c>
      <c r="F373" s="12" t="str">
        <f aca="false">IFERROR(INDEX('Расчет Кплотн'!$C:$C,MATCH(E373,'Расчет Кплотн'!$A:$A,0)),"код не найден")</f>
        <v>Караганда</v>
      </c>
      <c r="G373" s="12" t="s">
        <v>503</v>
      </c>
      <c r="H373" s="12" t="s">
        <v>1403</v>
      </c>
      <c r="I373" s="12" t="s">
        <v>1398</v>
      </c>
    </row>
    <row r="374" customFormat="false" ht="15" hidden="false" customHeight="false" outlineLevel="0" collapsed="false">
      <c r="A374" s="12" t="n">
        <v>371</v>
      </c>
      <c r="B374" s="12" t="s">
        <v>1395</v>
      </c>
      <c r="C374" s="12" t="s">
        <v>1404</v>
      </c>
      <c r="D374" s="40" t="n">
        <v>24445</v>
      </c>
      <c r="E374" s="31" t="s">
        <v>148</v>
      </c>
      <c r="F374" s="12" t="str">
        <f aca="false">IFERROR(INDEX('Расчет Кплотн'!$C:$C,MATCH(E374,'Расчет Кплотн'!$A:$A,0)),"код не найден")</f>
        <v>Караганда</v>
      </c>
      <c r="G374" s="12" t="s">
        <v>503</v>
      </c>
      <c r="H374" s="12" t="s">
        <v>1405</v>
      </c>
      <c r="I374" s="12" t="s">
        <v>1401</v>
      </c>
    </row>
    <row r="375" customFormat="false" ht="15" hidden="false" customHeight="false" outlineLevel="0" collapsed="false">
      <c r="A375" s="12" t="n">
        <v>372</v>
      </c>
      <c r="B375" s="12" t="s">
        <v>1395</v>
      </c>
      <c r="C375" s="12" t="s">
        <v>1406</v>
      </c>
      <c r="D375" s="40" t="n">
        <v>19685</v>
      </c>
      <c r="E375" s="31" t="s">
        <v>149</v>
      </c>
      <c r="F375" s="12" t="str">
        <f aca="false">IFERROR(INDEX('Расчет Кплотн'!$C:$C,MATCH(E375,'Расчет Кплотн'!$A:$A,0)),"код не найден")</f>
        <v>Балхаш</v>
      </c>
      <c r="G375" s="12" t="s">
        <v>503</v>
      </c>
      <c r="H375" s="12" t="s">
        <v>1407</v>
      </c>
      <c r="I375" s="12" t="s">
        <v>1408</v>
      </c>
    </row>
    <row r="376" customFormat="false" ht="15" hidden="false" customHeight="false" outlineLevel="0" collapsed="false">
      <c r="A376" s="12" t="n">
        <v>373</v>
      </c>
      <c r="B376" s="12" t="s">
        <v>1395</v>
      </c>
      <c r="C376" s="12" t="s">
        <v>1409</v>
      </c>
      <c r="D376" s="40" t="n">
        <v>69053</v>
      </c>
      <c r="E376" s="31" t="s">
        <v>148</v>
      </c>
      <c r="F376" s="12" t="str">
        <f aca="false">IFERROR(INDEX('Расчет Кплотн'!$C:$C,MATCH(E376,'Расчет Кплотн'!$A:$A,0)),"код не найден")</f>
        <v>Караганда</v>
      </c>
      <c r="G376" s="12" t="s">
        <v>503</v>
      </c>
      <c r="H376" s="12" t="s">
        <v>1410</v>
      </c>
      <c r="I376" s="12" t="s">
        <v>1401</v>
      </c>
    </row>
    <row r="377" customFormat="false" ht="15" hidden="false" customHeight="false" outlineLevel="0" collapsed="false">
      <c r="A377" s="12" t="n">
        <v>374</v>
      </c>
      <c r="B377" s="12" t="s">
        <v>1395</v>
      </c>
      <c r="C377" s="12" t="s">
        <v>1411</v>
      </c>
      <c r="D377" s="40" t="n">
        <v>20061</v>
      </c>
      <c r="E377" s="31" t="s">
        <v>148</v>
      </c>
      <c r="F377" s="12" t="str">
        <f aca="false">IFERROR(INDEX('Расчет Кплотн'!$C:$C,MATCH(E377,'Расчет Кплотн'!$A:$A,0)),"код не найден")</f>
        <v>Караганда</v>
      </c>
      <c r="G377" s="12" t="s">
        <v>503</v>
      </c>
      <c r="H377" s="12" t="s">
        <v>1412</v>
      </c>
      <c r="I377" s="12" t="s">
        <v>1398</v>
      </c>
    </row>
    <row r="378" customFormat="false" ht="15" hidden="false" customHeight="false" outlineLevel="0" collapsed="false">
      <c r="A378" s="12" t="n">
        <v>375</v>
      </c>
      <c r="B378" s="12" t="s">
        <v>1395</v>
      </c>
      <c r="C378" s="12" t="s">
        <v>1413</v>
      </c>
      <c r="D378" s="40" t="n">
        <v>27106</v>
      </c>
      <c r="E378" s="31" t="s">
        <v>153</v>
      </c>
      <c r="F378" s="12" t="str">
        <f aca="false">IFERROR(INDEX('Расчет Кплотн'!$C:$C,MATCH(E378,'Расчет Кплотн'!$A:$A,0)),"код не найден")</f>
        <v>Шахтинск</v>
      </c>
      <c r="G378" s="12" t="s">
        <v>503</v>
      </c>
      <c r="H378" s="12" t="s">
        <v>1414</v>
      </c>
      <c r="I378" s="12" t="s">
        <v>1415</v>
      </c>
    </row>
    <row r="379" customFormat="false" ht="15" hidden="false" customHeight="false" outlineLevel="0" collapsed="false">
      <c r="A379" s="12" t="n">
        <v>376</v>
      </c>
      <c r="B379" s="12" t="s">
        <v>1395</v>
      </c>
      <c r="C379" s="12" t="s">
        <v>1416</v>
      </c>
      <c r="D379" s="40" t="n">
        <v>21010</v>
      </c>
      <c r="E379" s="31" t="s">
        <v>148</v>
      </c>
      <c r="F379" s="12" t="str">
        <f aca="false">IFERROR(INDEX('Расчет Кплотн'!$C:$C,MATCH(E379,'Расчет Кплотн'!$A:$A,0)),"код не найден")</f>
        <v>Караганда</v>
      </c>
      <c r="G379" s="12" t="s">
        <v>503</v>
      </c>
      <c r="H379" s="12" t="s">
        <v>1417</v>
      </c>
      <c r="I379" s="12" t="s">
        <v>1401</v>
      </c>
    </row>
    <row r="380" customFormat="false" ht="15" hidden="false" customHeight="false" outlineLevel="0" collapsed="false">
      <c r="A380" s="12" t="n">
        <v>377</v>
      </c>
      <c r="B380" s="12" t="s">
        <v>1395</v>
      </c>
      <c r="C380" s="12" t="s">
        <v>1418</v>
      </c>
      <c r="D380" s="40" t="n">
        <v>10525</v>
      </c>
      <c r="E380" s="31" t="s">
        <v>152</v>
      </c>
      <c r="F380" s="12" t="str">
        <f aca="false">IFERROR(INDEX('Расчет Кплотн'!$C:$C,MATCH(E380,'Расчет Кплотн'!$A:$A,0)),"код не найден")</f>
        <v>Темиртау</v>
      </c>
      <c r="G380" s="12" t="s">
        <v>503</v>
      </c>
      <c r="H380" s="12" t="s">
        <v>1419</v>
      </c>
      <c r="I380" s="12" t="s">
        <v>1420</v>
      </c>
    </row>
    <row r="381" customFormat="false" ht="15" hidden="false" customHeight="false" outlineLevel="0" collapsed="false">
      <c r="A381" s="12" t="n">
        <v>378</v>
      </c>
      <c r="B381" s="12" t="s">
        <v>1395</v>
      </c>
      <c r="C381" s="12" t="s">
        <v>1421</v>
      </c>
      <c r="D381" s="40" t="n">
        <v>8164</v>
      </c>
      <c r="E381" s="31" t="s">
        <v>149</v>
      </c>
      <c r="F381" s="12" t="str">
        <f aca="false">IFERROR(INDEX('Расчет Кплотн'!$C:$C,MATCH(E381,'Расчет Кплотн'!$A:$A,0)),"код не найден")</f>
        <v>Балхаш</v>
      </c>
      <c r="G381" s="12" t="s">
        <v>503</v>
      </c>
      <c r="H381" s="12"/>
      <c r="I381" s="12" t="s">
        <v>1422</v>
      </c>
    </row>
    <row r="382" customFormat="false" ht="15" hidden="false" customHeight="false" outlineLevel="0" collapsed="false">
      <c r="A382" s="12" t="n">
        <v>379</v>
      </c>
      <c r="B382" s="12" t="s">
        <v>1395</v>
      </c>
      <c r="C382" s="12" t="s">
        <v>1423</v>
      </c>
      <c r="D382" s="40" t="n">
        <v>58450</v>
      </c>
      <c r="E382" s="31" t="s">
        <v>148</v>
      </c>
      <c r="F382" s="12" t="str">
        <f aca="false">IFERROR(INDEX('Расчет Кплотн'!$C:$C,MATCH(E382,'Расчет Кплотн'!$A:$A,0)),"код не найден")</f>
        <v>Караганда</v>
      </c>
      <c r="G382" s="12" t="s">
        <v>503</v>
      </c>
      <c r="H382" s="12" t="s">
        <v>1424</v>
      </c>
      <c r="I382" s="12" t="s">
        <v>1398</v>
      </c>
    </row>
    <row r="383" customFormat="false" ht="15" hidden="false" customHeight="false" outlineLevel="0" collapsed="false">
      <c r="A383" s="12" t="n">
        <v>380</v>
      </c>
      <c r="B383" s="12" t="s">
        <v>1395</v>
      </c>
      <c r="C383" s="12" t="s">
        <v>1425</v>
      </c>
      <c r="D383" s="40" t="n">
        <v>49123</v>
      </c>
      <c r="E383" s="31" t="s">
        <v>148</v>
      </c>
      <c r="F383" s="12" t="str">
        <f aca="false">IFERROR(INDEX('Расчет Кплотн'!$C:$C,MATCH(E383,'Расчет Кплотн'!$A:$A,0)),"код не найден")</f>
        <v>Караганда</v>
      </c>
      <c r="G383" s="12" t="s">
        <v>503</v>
      </c>
      <c r="H383" s="12" t="s">
        <v>1426</v>
      </c>
      <c r="I383" s="12" t="s">
        <v>1401</v>
      </c>
    </row>
    <row r="384" customFormat="false" ht="15" hidden="false" customHeight="false" outlineLevel="0" collapsed="false">
      <c r="A384" s="12" t="n">
        <v>381</v>
      </c>
      <c r="B384" s="12" t="s">
        <v>1395</v>
      </c>
      <c r="C384" s="12" t="s">
        <v>1427</v>
      </c>
      <c r="D384" s="40" t="n">
        <v>6153</v>
      </c>
      <c r="E384" s="31" t="s">
        <v>148</v>
      </c>
      <c r="F384" s="12" t="str">
        <f aca="false">IFERROR(INDEX('Расчет Кплотн'!$C:$C,MATCH(E384,'Расчет Кплотн'!$A:$A,0)),"код не найден")</f>
        <v>Караганда</v>
      </c>
      <c r="G384" s="12" t="s">
        <v>503</v>
      </c>
      <c r="H384" s="12" t="s">
        <v>1428</v>
      </c>
      <c r="I384" s="12" t="s">
        <v>1401</v>
      </c>
    </row>
    <row r="385" customFormat="false" ht="15" hidden="false" customHeight="false" outlineLevel="0" collapsed="false">
      <c r="A385" s="12" t="n">
        <v>382</v>
      </c>
      <c r="B385" s="12" t="s">
        <v>1395</v>
      </c>
      <c r="C385" s="12" t="s">
        <v>1429</v>
      </c>
      <c r="D385" s="40" t="n">
        <v>12741</v>
      </c>
      <c r="E385" s="31" t="s">
        <v>148</v>
      </c>
      <c r="F385" s="12" t="str">
        <f aca="false">IFERROR(INDEX('Расчет Кплотн'!$C:$C,MATCH(E385,'Расчет Кплотн'!$A:$A,0)),"код не найден")</f>
        <v>Караганда</v>
      </c>
      <c r="G385" s="12" t="s">
        <v>503</v>
      </c>
      <c r="H385" s="12" t="s">
        <v>1430</v>
      </c>
      <c r="I385" s="12" t="s">
        <v>1401</v>
      </c>
    </row>
    <row r="386" customFormat="false" ht="15" hidden="false" customHeight="false" outlineLevel="0" collapsed="false">
      <c r="A386" s="12" t="n">
        <v>383</v>
      </c>
      <c r="B386" s="12" t="s">
        <v>1395</v>
      </c>
      <c r="C386" s="12" t="s">
        <v>1431</v>
      </c>
      <c r="D386" s="40" t="n">
        <v>19491</v>
      </c>
      <c r="E386" s="31" t="s">
        <v>152</v>
      </c>
      <c r="F386" s="12" t="str">
        <f aca="false">IFERROR(INDEX('Расчет Кплотн'!$C:$C,MATCH(E386,'Расчет Кплотн'!$A:$A,0)),"код не найден")</f>
        <v>Темиртау</v>
      </c>
      <c r="G386" s="12" t="s">
        <v>503</v>
      </c>
      <c r="H386" s="12" t="s">
        <v>1432</v>
      </c>
      <c r="I386" s="12" t="s">
        <v>1420</v>
      </c>
    </row>
    <row r="387" customFormat="false" ht="15" hidden="false" customHeight="false" outlineLevel="0" collapsed="false">
      <c r="A387" s="12" t="n">
        <v>384</v>
      </c>
      <c r="B387" s="12" t="s">
        <v>1395</v>
      </c>
      <c r="C387" s="12" t="s">
        <v>1433</v>
      </c>
      <c r="D387" s="40" t="n">
        <v>14521</v>
      </c>
      <c r="E387" s="31" t="s">
        <v>148</v>
      </c>
      <c r="F387" s="12" t="str">
        <f aca="false">IFERROR(INDEX('Расчет Кплотн'!$C:$C,MATCH(E387,'Расчет Кплотн'!$A:$A,0)),"код не найден")</f>
        <v>Караганда</v>
      </c>
      <c r="G387" s="12" t="s">
        <v>503</v>
      </c>
      <c r="H387" s="12" t="s">
        <v>1434</v>
      </c>
      <c r="I387" s="12" t="s">
        <v>1401</v>
      </c>
    </row>
    <row r="388" customFormat="false" ht="15" hidden="false" customHeight="false" outlineLevel="0" collapsed="false">
      <c r="A388" s="12" t="n">
        <v>385</v>
      </c>
      <c r="B388" s="12" t="s">
        <v>1395</v>
      </c>
      <c r="C388" s="12" t="s">
        <v>1435</v>
      </c>
      <c r="D388" s="40" t="n">
        <v>9284</v>
      </c>
      <c r="E388" s="31" t="s">
        <v>155</v>
      </c>
      <c r="F388" s="12" t="str">
        <f aca="false">IFERROR(INDEX('Расчет Кплотн'!$C:$C,MATCH(E388,'Расчет Кплотн'!$A:$A,0)),"код не найден")</f>
        <v>Актогайский район</v>
      </c>
      <c r="G388" s="12" t="s">
        <v>503</v>
      </c>
      <c r="H388" s="12" t="s">
        <v>1436</v>
      </c>
      <c r="I388" s="12" t="s">
        <v>1437</v>
      </c>
    </row>
    <row r="389" customFormat="false" ht="15" hidden="false" customHeight="false" outlineLevel="0" collapsed="false">
      <c r="A389" s="12" t="n">
        <v>386</v>
      </c>
      <c r="B389" s="12" t="s">
        <v>1395</v>
      </c>
      <c r="C389" s="12" t="s">
        <v>1438</v>
      </c>
      <c r="D389" s="40" t="n">
        <v>28037</v>
      </c>
      <c r="E389" s="31" t="s">
        <v>159</v>
      </c>
      <c r="F389" s="12" t="str">
        <f aca="false">IFERROR(INDEX('Расчет Кплотн'!$C:$C,MATCH(E389,'Расчет Кплотн'!$A:$A,0)),"код не найден")</f>
        <v>Осакаровский район</v>
      </c>
      <c r="G389" s="12" t="s">
        <v>503</v>
      </c>
      <c r="H389" s="12" t="s">
        <v>1439</v>
      </c>
      <c r="I389" s="12" t="s">
        <v>1440</v>
      </c>
    </row>
    <row r="390" customFormat="false" ht="15" hidden="false" customHeight="false" outlineLevel="0" collapsed="false">
      <c r="A390" s="12" t="n">
        <v>387</v>
      </c>
      <c r="B390" s="12" t="s">
        <v>1395</v>
      </c>
      <c r="C390" s="12" t="s">
        <v>1441</v>
      </c>
      <c r="D390" s="40" t="n">
        <v>46150</v>
      </c>
      <c r="E390" s="31" t="s">
        <v>151</v>
      </c>
      <c r="F390" s="12" t="str">
        <f aca="false">IFERROR(INDEX('Расчет Кплотн'!$C:$C,MATCH(E390,'Расчет Кплотн'!$A:$A,0)),"код не найден")</f>
        <v>Сарань</v>
      </c>
      <c r="G390" s="12" t="s">
        <v>503</v>
      </c>
      <c r="H390" s="12" t="s">
        <v>1442</v>
      </c>
      <c r="I390" s="12" t="s">
        <v>1443</v>
      </c>
    </row>
    <row r="391" customFormat="false" ht="15" hidden="false" customHeight="false" outlineLevel="0" collapsed="false">
      <c r="A391" s="12" t="n">
        <v>388</v>
      </c>
      <c r="B391" s="12" t="s">
        <v>1395</v>
      </c>
      <c r="C391" s="12" t="s">
        <v>1444</v>
      </c>
      <c r="D391" s="40" t="n">
        <v>31125</v>
      </c>
      <c r="E391" s="31" t="s">
        <v>160</v>
      </c>
      <c r="F391" s="12" t="str">
        <f aca="false">IFERROR(INDEX('Расчет Кплотн'!$C:$C,MATCH(E391,'Расчет Кплотн'!$A:$A,0)),"код не найден")</f>
        <v>Шетский район</v>
      </c>
      <c r="G391" s="12" t="s">
        <v>503</v>
      </c>
      <c r="H391" s="12" t="s">
        <v>1445</v>
      </c>
      <c r="I391" s="12" t="s">
        <v>1446</v>
      </c>
    </row>
    <row r="392" customFormat="false" ht="15" hidden="false" customHeight="false" outlineLevel="0" collapsed="false">
      <c r="A392" s="12" t="n">
        <v>389</v>
      </c>
      <c r="B392" s="12" t="s">
        <v>1395</v>
      </c>
      <c r="C392" s="12" t="s">
        <v>1447</v>
      </c>
      <c r="D392" s="40" t="n">
        <v>49774</v>
      </c>
      <c r="E392" s="31" t="s">
        <v>148</v>
      </c>
      <c r="F392" s="12" t="str">
        <f aca="false">IFERROR(INDEX('Расчет Кплотн'!$C:$C,MATCH(E392,'Расчет Кплотн'!$A:$A,0)),"код не найден")</f>
        <v>Караганда</v>
      </c>
      <c r="G392" s="12" t="s">
        <v>503</v>
      </c>
      <c r="H392" s="12" t="s">
        <v>1448</v>
      </c>
      <c r="I392" s="12" t="s">
        <v>1398</v>
      </c>
    </row>
    <row r="393" customFormat="false" ht="15" hidden="false" customHeight="false" outlineLevel="0" collapsed="false">
      <c r="A393" s="12" t="n">
        <v>390</v>
      </c>
      <c r="B393" s="12" t="s">
        <v>1395</v>
      </c>
      <c r="C393" s="12" t="s">
        <v>1449</v>
      </c>
      <c r="D393" s="40" t="n">
        <v>36201</v>
      </c>
      <c r="E393" s="31" t="s">
        <v>152</v>
      </c>
      <c r="F393" s="12" t="str">
        <f aca="false">IFERROR(INDEX('Расчет Кплотн'!$C:$C,MATCH(E393,'Расчет Кплотн'!$A:$A,0)),"код не найден")</f>
        <v>Темиртау</v>
      </c>
      <c r="G393" s="12" t="s">
        <v>503</v>
      </c>
      <c r="H393" s="12" t="s">
        <v>1450</v>
      </c>
      <c r="I393" s="12" t="s">
        <v>1420</v>
      </c>
    </row>
    <row r="394" customFormat="false" ht="15" hidden="false" customHeight="false" outlineLevel="0" collapsed="false">
      <c r="A394" s="12" t="n">
        <v>391</v>
      </c>
      <c r="B394" s="12" t="s">
        <v>1395</v>
      </c>
      <c r="C394" s="12" t="s">
        <v>1451</v>
      </c>
      <c r="D394" s="40" t="n">
        <v>34403</v>
      </c>
      <c r="E394" s="31" t="s">
        <v>148</v>
      </c>
      <c r="F394" s="12" t="str">
        <f aca="false">IFERROR(INDEX('Расчет Кплотн'!$C:$C,MATCH(E394,'Расчет Кплотн'!$A:$A,0)),"код не найден")</f>
        <v>Караганда</v>
      </c>
      <c r="G394" s="12" t="s">
        <v>503</v>
      </c>
      <c r="H394" s="12" t="s">
        <v>1452</v>
      </c>
      <c r="I394" s="12" t="s">
        <v>1401</v>
      </c>
    </row>
    <row r="395" customFormat="false" ht="15" hidden="false" customHeight="false" outlineLevel="0" collapsed="false">
      <c r="A395" s="12" t="n">
        <v>392</v>
      </c>
      <c r="B395" s="12" t="s">
        <v>1395</v>
      </c>
      <c r="C395" s="12" t="s">
        <v>1453</v>
      </c>
      <c r="D395" s="40" t="n">
        <v>30706</v>
      </c>
      <c r="E395" s="31" t="s">
        <v>148</v>
      </c>
      <c r="F395" s="12" t="str">
        <f aca="false">IFERROR(INDEX('Расчет Кплотн'!$C:$C,MATCH(E395,'Расчет Кплотн'!$A:$A,0)),"код не найден")</f>
        <v>Караганда</v>
      </c>
      <c r="G395" s="12" t="s">
        <v>503</v>
      </c>
      <c r="H395" s="12" t="s">
        <v>1454</v>
      </c>
      <c r="I395" s="12" t="s">
        <v>1398</v>
      </c>
    </row>
    <row r="396" customFormat="false" ht="15" hidden="false" customHeight="false" outlineLevel="0" collapsed="false">
      <c r="A396" s="12" t="n">
        <v>393</v>
      </c>
      <c r="B396" s="12" t="s">
        <v>1395</v>
      </c>
      <c r="C396" s="12" t="s">
        <v>1455</v>
      </c>
      <c r="D396" s="40" t="n">
        <v>63786</v>
      </c>
      <c r="E396" s="31" t="s">
        <v>148</v>
      </c>
      <c r="F396" s="12" t="str">
        <f aca="false">IFERROR(INDEX('Расчет Кплотн'!$C:$C,MATCH(E396,'Расчет Кплотн'!$A:$A,0)),"код не найден")</f>
        <v>Караганда</v>
      </c>
      <c r="G396" s="12" t="s">
        <v>503</v>
      </c>
      <c r="H396" s="12" t="s">
        <v>1456</v>
      </c>
      <c r="I396" s="12" t="s">
        <v>1401</v>
      </c>
    </row>
    <row r="397" customFormat="false" ht="15" hidden="false" customHeight="false" outlineLevel="0" collapsed="false">
      <c r="A397" s="12" t="n">
        <v>394</v>
      </c>
      <c r="B397" s="12" t="s">
        <v>1395</v>
      </c>
      <c r="C397" s="12" t="s">
        <v>1457</v>
      </c>
      <c r="D397" s="40" t="n">
        <v>33749</v>
      </c>
      <c r="E397" s="31" t="s">
        <v>148</v>
      </c>
      <c r="F397" s="12" t="str">
        <f aca="false">IFERROR(INDEX('Расчет Кплотн'!$C:$C,MATCH(E397,'Расчет Кплотн'!$A:$A,0)),"код не найден")</f>
        <v>Караганда</v>
      </c>
      <c r="G397" s="12" t="s">
        <v>503</v>
      </c>
      <c r="H397" s="12" t="s">
        <v>1458</v>
      </c>
      <c r="I397" s="12" t="s">
        <v>1401</v>
      </c>
    </row>
    <row r="398" customFormat="false" ht="15" hidden="false" customHeight="false" outlineLevel="0" collapsed="false">
      <c r="A398" s="12" t="n">
        <v>395</v>
      </c>
      <c r="B398" s="12" t="s">
        <v>1395</v>
      </c>
      <c r="C398" s="12" t="s">
        <v>1459</v>
      </c>
      <c r="D398" s="40" t="n">
        <v>44627</v>
      </c>
      <c r="E398" s="31" t="s">
        <v>152</v>
      </c>
      <c r="F398" s="12" t="str">
        <f aca="false">IFERROR(INDEX('Расчет Кплотн'!$C:$C,MATCH(E398,'Расчет Кплотн'!$A:$A,0)),"код не найден")</f>
        <v>Темиртау</v>
      </c>
      <c r="G398" s="12" t="s">
        <v>503</v>
      </c>
      <c r="H398" s="12" t="s">
        <v>1460</v>
      </c>
      <c r="I398" s="12" t="s">
        <v>1420</v>
      </c>
    </row>
    <row r="399" customFormat="false" ht="15" hidden="false" customHeight="false" outlineLevel="0" collapsed="false">
      <c r="A399" s="12" t="n">
        <v>396</v>
      </c>
      <c r="B399" s="12" t="s">
        <v>1395</v>
      </c>
      <c r="C399" s="12" t="s">
        <v>1461</v>
      </c>
      <c r="D399" s="40" t="n">
        <v>28969</v>
      </c>
      <c r="E399" s="31" t="s">
        <v>152</v>
      </c>
      <c r="F399" s="12" t="str">
        <f aca="false">IFERROR(INDEX('Расчет Кплотн'!$C:$C,MATCH(E399,'Расчет Кплотн'!$A:$A,0)),"код не найден")</f>
        <v>Темиртау</v>
      </c>
      <c r="G399" s="12" t="s">
        <v>503</v>
      </c>
      <c r="H399" s="12" t="s">
        <v>1462</v>
      </c>
      <c r="I399" s="12" t="s">
        <v>1420</v>
      </c>
    </row>
    <row r="400" customFormat="false" ht="15" hidden="false" customHeight="false" outlineLevel="0" collapsed="false">
      <c r="A400" s="12" t="n">
        <v>397</v>
      </c>
      <c r="B400" s="12" t="s">
        <v>1395</v>
      </c>
      <c r="C400" s="12" t="s">
        <v>1463</v>
      </c>
      <c r="D400" s="40" t="n">
        <v>45093</v>
      </c>
      <c r="E400" s="31" t="s">
        <v>148</v>
      </c>
      <c r="F400" s="12" t="str">
        <f aca="false">IFERROR(INDEX('Расчет Кплотн'!$C:$C,MATCH(E400,'Расчет Кплотн'!$A:$A,0)),"код не найден")</f>
        <v>Караганда</v>
      </c>
      <c r="G400" s="12" t="s">
        <v>503</v>
      </c>
      <c r="H400" s="12" t="s">
        <v>1464</v>
      </c>
      <c r="I400" s="12" t="s">
        <v>1398</v>
      </c>
    </row>
    <row r="401" customFormat="false" ht="15" hidden="false" customHeight="false" outlineLevel="0" collapsed="false">
      <c r="A401" s="12" t="n">
        <v>398</v>
      </c>
      <c r="B401" s="12" t="s">
        <v>1395</v>
      </c>
      <c r="C401" s="12" t="s">
        <v>1465</v>
      </c>
      <c r="D401" s="40" t="n">
        <v>51654</v>
      </c>
      <c r="E401" s="31" t="s">
        <v>153</v>
      </c>
      <c r="F401" s="12" t="str">
        <f aca="false">IFERROR(INDEX('Расчет Кплотн'!$C:$C,MATCH(E401,'Расчет Кплотн'!$A:$A,0)),"код не найден")</f>
        <v>Шахтинск</v>
      </c>
      <c r="G401" s="12" t="s">
        <v>503</v>
      </c>
      <c r="H401" s="12" t="s">
        <v>1466</v>
      </c>
      <c r="I401" s="12" t="s">
        <v>1415</v>
      </c>
    </row>
    <row r="402" customFormat="false" ht="15" hidden="false" customHeight="false" outlineLevel="0" collapsed="false">
      <c r="A402" s="12" t="n">
        <v>399</v>
      </c>
      <c r="B402" s="12" t="s">
        <v>1395</v>
      </c>
      <c r="C402" s="12" t="s">
        <v>1467</v>
      </c>
      <c r="D402" s="40" t="n">
        <v>48200</v>
      </c>
      <c r="E402" s="31" t="s">
        <v>149</v>
      </c>
      <c r="F402" s="12" t="str">
        <f aca="false">IFERROR(INDEX('Расчет Кплотн'!$C:$C,MATCH(E402,'Расчет Кплотн'!$A:$A,0)),"код не найден")</f>
        <v>Балхаш</v>
      </c>
      <c r="G402" s="12" t="s">
        <v>503</v>
      </c>
      <c r="H402" s="12" t="s">
        <v>1468</v>
      </c>
      <c r="I402" s="12" t="s">
        <v>1408</v>
      </c>
    </row>
    <row r="403" customFormat="false" ht="15" hidden="false" customHeight="false" outlineLevel="0" collapsed="false">
      <c r="A403" s="12" t="n">
        <v>400</v>
      </c>
      <c r="B403" s="12" t="s">
        <v>1395</v>
      </c>
      <c r="C403" s="12" t="s">
        <v>1469</v>
      </c>
      <c r="D403" s="40" t="n">
        <v>21089</v>
      </c>
      <c r="E403" s="31" t="s">
        <v>154</v>
      </c>
      <c r="F403" s="12" t="str">
        <f aca="false">IFERROR(INDEX('Расчет Кплотн'!$C:$C,MATCH(E403,'Расчет Кплотн'!$A:$A,0)),"код не найден")</f>
        <v>Абайский район</v>
      </c>
      <c r="G403" s="12" t="s">
        <v>503</v>
      </c>
      <c r="H403" s="12" t="s">
        <v>1470</v>
      </c>
      <c r="I403" s="12" t="s">
        <v>1471</v>
      </c>
    </row>
    <row r="404" customFormat="false" ht="15" hidden="false" customHeight="false" outlineLevel="0" collapsed="false">
      <c r="A404" s="12" t="n">
        <v>401</v>
      </c>
      <c r="B404" s="12" t="s">
        <v>1395</v>
      </c>
      <c r="C404" s="12" t="s">
        <v>1472</v>
      </c>
      <c r="D404" s="40" t="n">
        <v>24370</v>
      </c>
      <c r="E404" s="31" t="s">
        <v>157</v>
      </c>
      <c r="F404" s="12" t="str">
        <f aca="false">IFERROR(INDEX('Расчет Кплотн'!$C:$C,MATCH(E404,'Расчет Кплотн'!$A:$A,0)),"код не найден")</f>
        <v>Каркаралинский район</v>
      </c>
      <c r="G404" s="12" t="s">
        <v>503</v>
      </c>
      <c r="H404" s="12" t="s">
        <v>1473</v>
      </c>
      <c r="I404" s="12" t="s">
        <v>1474</v>
      </c>
    </row>
    <row r="405" customFormat="false" ht="15" hidden="false" customHeight="false" outlineLevel="0" collapsed="false">
      <c r="A405" s="12" t="n">
        <v>402</v>
      </c>
      <c r="B405" s="12" t="s">
        <v>1395</v>
      </c>
      <c r="C405" s="12" t="s">
        <v>1475</v>
      </c>
      <c r="D405" s="40" t="n">
        <v>17762</v>
      </c>
      <c r="E405" s="31" t="s">
        <v>158</v>
      </c>
      <c r="F405" s="12" t="str">
        <f aca="false">IFERROR(INDEX('Расчет Кплотн'!$C:$C,MATCH(E405,'Расчет Кплотн'!$A:$A,0)),"код не найден")</f>
        <v>Нуринский район</v>
      </c>
      <c r="G405" s="12" t="s">
        <v>503</v>
      </c>
      <c r="H405" s="12" t="s">
        <v>1476</v>
      </c>
      <c r="I405" s="12" t="s">
        <v>1477</v>
      </c>
    </row>
    <row r="406" customFormat="false" ht="15" hidden="false" customHeight="false" outlineLevel="0" collapsed="false">
      <c r="A406" s="12" t="n">
        <v>403</v>
      </c>
      <c r="B406" s="12" t="s">
        <v>1395</v>
      </c>
      <c r="C406" s="12" t="s">
        <v>1478</v>
      </c>
      <c r="D406" s="40" t="n">
        <v>14061</v>
      </c>
      <c r="E406" s="31" t="s">
        <v>150</v>
      </c>
      <c r="F406" s="12" t="str">
        <f aca="false">IFERROR(INDEX('Расчет Кплотн'!$C:$C,MATCH(E406,'Расчет Кплотн'!$A:$A,0)),"код не найден")</f>
        <v>Приозерск</v>
      </c>
      <c r="G406" s="12" t="s">
        <v>503</v>
      </c>
      <c r="H406" s="12" t="s">
        <v>1479</v>
      </c>
      <c r="I406" s="12" t="s">
        <v>1480</v>
      </c>
    </row>
    <row r="407" customFormat="false" ht="15" hidden="false" customHeight="false" outlineLevel="0" collapsed="false">
      <c r="A407" s="12" t="n">
        <v>404</v>
      </c>
      <c r="B407" s="12" t="s">
        <v>1395</v>
      </c>
      <c r="C407" s="12" t="s">
        <v>1481</v>
      </c>
      <c r="D407" s="40" t="n">
        <v>36560</v>
      </c>
      <c r="E407" s="31" t="s">
        <v>154</v>
      </c>
      <c r="F407" s="12" t="str">
        <f aca="false">IFERROR(INDEX('Расчет Кплотн'!$C:$C,MATCH(E407,'Расчет Кплотн'!$A:$A,0)),"код не найден")</f>
        <v>Абайский район</v>
      </c>
      <c r="G407" s="12" t="s">
        <v>503</v>
      </c>
      <c r="H407" s="12" t="s">
        <v>1482</v>
      </c>
      <c r="I407" s="12" t="s">
        <v>1483</v>
      </c>
    </row>
    <row r="408" customFormat="false" ht="15" hidden="false" customHeight="false" outlineLevel="0" collapsed="false">
      <c r="A408" s="12" t="n">
        <v>405</v>
      </c>
      <c r="B408" s="12" t="s">
        <v>1395</v>
      </c>
      <c r="C408" s="12" t="s">
        <v>1484</v>
      </c>
      <c r="D408" s="40" t="n">
        <v>42427</v>
      </c>
      <c r="E408" s="31" t="s">
        <v>156</v>
      </c>
      <c r="F408" s="12" t="str">
        <f aca="false">IFERROR(INDEX('Расчет Кплотн'!$C:$C,MATCH(E408,'Расчет Кплотн'!$A:$A,0)),"код не найден")</f>
        <v>Бухар-Жырауский район</v>
      </c>
      <c r="G408" s="12" t="s">
        <v>503</v>
      </c>
      <c r="H408" s="12" t="s">
        <v>1485</v>
      </c>
      <c r="I408" s="12" t="s">
        <v>1486</v>
      </c>
    </row>
    <row r="409" customFormat="false" ht="15" hidden="false" customHeight="false" outlineLevel="0" collapsed="false">
      <c r="A409" s="12" t="n">
        <v>406</v>
      </c>
      <c r="B409" s="12" t="s">
        <v>1487</v>
      </c>
      <c r="C409" s="12" t="s">
        <v>1488</v>
      </c>
      <c r="D409" s="40" t="n">
        <v>12067</v>
      </c>
      <c r="E409" s="31" t="s">
        <v>179</v>
      </c>
      <c r="F409" s="12" t="str">
        <f aca="false">IFERROR(INDEX('Расчет Кплотн'!$C:$C,MATCH(E409,'Расчет Кплотн'!$A:$A,0)),"код не найден")</f>
        <v>Узункольский район</v>
      </c>
      <c r="G409" s="12" t="s">
        <v>503</v>
      </c>
      <c r="H409" s="12" t="s">
        <v>1489</v>
      </c>
      <c r="I409" s="12" t="s">
        <v>1490</v>
      </c>
    </row>
    <row r="410" customFormat="false" ht="15" hidden="false" customHeight="false" outlineLevel="0" collapsed="false">
      <c r="A410" s="12" t="n">
        <v>407</v>
      </c>
      <c r="B410" s="12" t="s">
        <v>1487</v>
      </c>
      <c r="C410" s="12" t="s">
        <v>1491</v>
      </c>
      <c r="D410" s="40" t="n">
        <v>18828</v>
      </c>
      <c r="E410" s="31" t="s">
        <v>180</v>
      </c>
      <c r="F410" s="12" t="str">
        <f aca="false">IFERROR(INDEX('Расчет Кплотн'!$C:$C,MATCH(E410,'Расчет Кплотн'!$A:$A,0)),"код не найден")</f>
        <v>Федоровский район</v>
      </c>
      <c r="G410" s="12" t="s">
        <v>503</v>
      </c>
      <c r="H410" s="12" t="s">
        <v>1492</v>
      </c>
      <c r="I410" s="12" t="s">
        <v>1493</v>
      </c>
    </row>
    <row r="411" customFormat="false" ht="15" hidden="false" customHeight="false" outlineLevel="0" collapsed="false">
      <c r="A411" s="12" t="n">
        <v>408</v>
      </c>
      <c r="B411" s="12" t="s">
        <v>1487</v>
      </c>
      <c r="C411" s="12" t="s">
        <v>1494</v>
      </c>
      <c r="D411" s="40" t="n">
        <v>9480</v>
      </c>
      <c r="E411" s="31" t="s">
        <v>166</v>
      </c>
      <c r="F411" s="12" t="str">
        <f aca="false">IFERROR(INDEX('Расчет Кплотн'!$C:$C,MATCH(E411,'Расчет Кплотн'!$A:$A,0)),"код не найден")</f>
        <v>Амангельдинский район</v>
      </c>
      <c r="G411" s="12" t="s">
        <v>503</v>
      </c>
      <c r="H411" s="12" t="s">
        <v>1495</v>
      </c>
      <c r="I411" s="12" t="s">
        <v>1496</v>
      </c>
    </row>
    <row r="412" customFormat="false" ht="15" hidden="false" customHeight="false" outlineLevel="0" collapsed="false">
      <c r="A412" s="12" t="n">
        <v>409</v>
      </c>
      <c r="B412" s="12" t="s">
        <v>1487</v>
      </c>
      <c r="C412" s="12" t="s">
        <v>1497</v>
      </c>
      <c r="D412" s="40" t="n">
        <v>7671</v>
      </c>
      <c r="E412" s="31" t="s">
        <v>169</v>
      </c>
      <c r="F412" s="12" t="str">
        <f aca="false">IFERROR(INDEX('Расчет Кплотн'!$C:$C,MATCH(E412,'Расчет Кплотн'!$A:$A,0)),"код не найден")</f>
        <v>Жангельдинский район</v>
      </c>
      <c r="G412" s="12" t="s">
        <v>503</v>
      </c>
      <c r="H412" s="12" t="s">
        <v>1498</v>
      </c>
      <c r="I412" s="12" t="s">
        <v>1499</v>
      </c>
    </row>
    <row r="413" customFormat="false" ht="15" hidden="false" customHeight="false" outlineLevel="0" collapsed="false">
      <c r="A413" s="12" t="n">
        <v>410</v>
      </c>
      <c r="B413" s="12" t="s">
        <v>1487</v>
      </c>
      <c r="C413" s="12" t="s">
        <v>1500</v>
      </c>
      <c r="D413" s="40" t="n">
        <v>22770</v>
      </c>
      <c r="E413" s="31" t="s">
        <v>167</v>
      </c>
      <c r="F413" s="12" t="str">
        <f aca="false">IFERROR(INDEX('Расчет Кплотн'!$C:$C,MATCH(E413,'Расчет Кплотн'!$A:$A,0)),"код не найден")</f>
        <v>Аулиекольский район</v>
      </c>
      <c r="G413" s="12" t="s">
        <v>503</v>
      </c>
      <c r="H413" s="12" t="s">
        <v>1501</v>
      </c>
      <c r="I413" s="12" t="s">
        <v>1502</v>
      </c>
    </row>
    <row r="414" customFormat="false" ht="15" hidden="false" customHeight="false" outlineLevel="0" collapsed="false">
      <c r="A414" s="12" t="n">
        <v>411</v>
      </c>
      <c r="B414" s="12" t="s">
        <v>1487</v>
      </c>
      <c r="C414" s="12" t="s">
        <v>1503</v>
      </c>
      <c r="D414" s="40" t="n">
        <v>34723</v>
      </c>
      <c r="E414" s="31" t="s">
        <v>170</v>
      </c>
      <c r="F414" s="12" t="str">
        <f aca="false">IFERROR(INDEX('Расчет Кплотн'!$C:$C,MATCH(E414,'Расчет Кплотн'!$A:$A,0)),"код не найден")</f>
        <v>Житикаринский район</v>
      </c>
      <c r="G414" s="12" t="s">
        <v>503</v>
      </c>
      <c r="H414" s="12" t="s">
        <v>1504</v>
      </c>
      <c r="I414" s="12" t="s">
        <v>1505</v>
      </c>
    </row>
    <row r="415" customFormat="false" ht="15" hidden="false" customHeight="false" outlineLevel="0" collapsed="false">
      <c r="A415" s="12" t="n">
        <v>412</v>
      </c>
      <c r="B415" s="12" t="s">
        <v>1487</v>
      </c>
      <c r="C415" s="12" t="s">
        <v>1506</v>
      </c>
      <c r="D415" s="40" t="n">
        <v>4869</v>
      </c>
      <c r="E415" s="31" t="s">
        <v>162</v>
      </c>
      <c r="F415" s="12" t="str">
        <f aca="false">IFERROR(INDEX('Расчет Кплотн'!$C:$C,MATCH(E415,'Расчет Кплотн'!$A:$A,0)),"код не найден")</f>
        <v>Аркалык</v>
      </c>
      <c r="G415" s="12" t="s">
        <v>503</v>
      </c>
      <c r="H415" s="12" t="s">
        <v>1507</v>
      </c>
      <c r="I415" s="12" t="s">
        <v>1508</v>
      </c>
    </row>
    <row r="416" customFormat="false" ht="15" hidden="false" customHeight="false" outlineLevel="0" collapsed="false">
      <c r="A416" s="12" t="n">
        <v>413</v>
      </c>
      <c r="B416" s="12" t="s">
        <v>1487</v>
      </c>
      <c r="C416" s="12" t="s">
        <v>1531</v>
      </c>
      <c r="D416" s="40" t="n">
        <v>9562</v>
      </c>
      <c r="E416" s="31" t="s">
        <v>165</v>
      </c>
      <c r="F416" s="12" t="str">
        <f aca="false">IFERROR(INDEX('Расчет Кплотн'!$C:$C,MATCH(E416,'Расчет Кплотн'!$A:$A,0)),"код не найден")</f>
        <v>Алтынсаринский район</v>
      </c>
      <c r="G416" s="12" t="s">
        <v>503</v>
      </c>
      <c r="H416" s="12" t="s">
        <v>1532</v>
      </c>
      <c r="I416" s="12" t="s">
        <v>1533</v>
      </c>
    </row>
    <row r="417" customFormat="false" ht="15" hidden="false" customHeight="false" outlineLevel="0" collapsed="false">
      <c r="A417" s="12" t="n">
        <v>414</v>
      </c>
      <c r="B417" s="12" t="s">
        <v>1487</v>
      </c>
      <c r="C417" s="12" t="s">
        <v>1513</v>
      </c>
      <c r="D417" s="40" t="n">
        <v>6110</v>
      </c>
      <c r="E417" s="31" t="s">
        <v>161</v>
      </c>
      <c r="F417" s="12" t="str">
        <f aca="false">IFERROR(INDEX('Расчет Кплотн'!$C:$C,MATCH(E417,'Расчет Кплотн'!$A:$A,0)),"код не найден")</f>
        <v>Костанай</v>
      </c>
      <c r="G417" s="12" t="s">
        <v>503</v>
      </c>
      <c r="H417" s="12" t="s">
        <v>1514</v>
      </c>
      <c r="I417" s="12" t="s">
        <v>1515</v>
      </c>
    </row>
    <row r="418" customFormat="false" ht="15" hidden="false" customHeight="false" outlineLevel="0" collapsed="false">
      <c r="A418" s="12" t="n">
        <v>415</v>
      </c>
      <c r="B418" s="12" t="s">
        <v>1487</v>
      </c>
      <c r="C418" s="12" t="s">
        <v>1516</v>
      </c>
      <c r="D418" s="40" t="n">
        <v>26522</v>
      </c>
      <c r="E418" s="31" t="s">
        <v>164</v>
      </c>
      <c r="F418" s="12" t="str">
        <f aca="false">IFERROR(INDEX('Расчет Кплотн'!$C:$C,MATCH(E418,'Расчет Кплотн'!$A:$A,0)),"код не найден")</f>
        <v>Рудный</v>
      </c>
      <c r="G418" s="12" t="s">
        <v>503</v>
      </c>
      <c r="H418" s="12" t="s">
        <v>1517</v>
      </c>
      <c r="I418" s="12" t="s">
        <v>1518</v>
      </c>
    </row>
    <row r="419" customFormat="false" ht="15" hidden="false" customHeight="false" outlineLevel="0" collapsed="false">
      <c r="A419" s="12" t="n">
        <v>416</v>
      </c>
      <c r="B419" s="12" t="s">
        <v>1487</v>
      </c>
      <c r="C419" s="12" t="s">
        <v>1519</v>
      </c>
      <c r="D419" s="40" t="n">
        <v>51517</v>
      </c>
      <c r="E419" s="31" t="s">
        <v>161</v>
      </c>
      <c r="F419" s="12" t="str">
        <f aca="false">IFERROR(INDEX('Расчет Кплотн'!$C:$C,MATCH(E419,'Расчет Кплотн'!$A:$A,0)),"код не найден")</f>
        <v>Костанай</v>
      </c>
      <c r="G419" s="12" t="s">
        <v>503</v>
      </c>
      <c r="H419" s="12" t="s">
        <v>1520</v>
      </c>
      <c r="I419" s="12" t="s">
        <v>1515</v>
      </c>
    </row>
    <row r="420" customFormat="false" ht="15" hidden="false" customHeight="false" outlineLevel="0" collapsed="false">
      <c r="A420" s="12" t="n">
        <v>417</v>
      </c>
      <c r="B420" s="12" t="s">
        <v>1487</v>
      </c>
      <c r="C420" s="12" t="s">
        <v>1521</v>
      </c>
      <c r="D420" s="40" t="n">
        <v>45373</v>
      </c>
      <c r="E420" s="31" t="s">
        <v>161</v>
      </c>
      <c r="F420" s="12" t="str">
        <f aca="false">IFERROR(INDEX('Расчет Кплотн'!$C:$C,MATCH(E420,'Расчет Кплотн'!$A:$A,0)),"код не найден")</f>
        <v>Костанай</v>
      </c>
      <c r="G420" s="12" t="s">
        <v>503</v>
      </c>
      <c r="H420" s="12" t="s">
        <v>1522</v>
      </c>
      <c r="I420" s="12" t="s">
        <v>1515</v>
      </c>
    </row>
    <row r="421" customFormat="false" ht="15" hidden="false" customHeight="false" outlineLevel="0" collapsed="false">
      <c r="A421" s="12" t="n">
        <v>418</v>
      </c>
      <c r="B421" s="12" t="s">
        <v>1487</v>
      </c>
      <c r="C421" s="12" t="s">
        <v>1523</v>
      </c>
      <c r="D421" s="40" t="n">
        <v>14198</v>
      </c>
      <c r="E421" s="31" t="s">
        <v>177</v>
      </c>
      <c r="F421" s="12" t="str">
        <f aca="false">IFERROR(INDEX('Расчет Кплотн'!$C:$C,MATCH(E421,'Расчет Кплотн'!$A:$A,0)),"код не найден")</f>
        <v>Сарыкольский район</v>
      </c>
      <c r="G421" s="12" t="s">
        <v>503</v>
      </c>
      <c r="H421" s="12" t="s">
        <v>1524</v>
      </c>
      <c r="I421" s="12" t="s">
        <v>1525</v>
      </c>
    </row>
    <row r="422" customFormat="false" ht="15" hidden="false" customHeight="false" outlineLevel="0" collapsed="false">
      <c r="A422" s="12" t="n">
        <v>419</v>
      </c>
      <c r="B422" s="12" t="s">
        <v>1487</v>
      </c>
      <c r="C422" s="12" t="s">
        <v>1526</v>
      </c>
      <c r="D422" s="40" t="n">
        <v>16270</v>
      </c>
      <c r="E422" s="31" t="s">
        <v>175</v>
      </c>
      <c r="F422" s="12" t="str">
        <f aca="false">IFERROR(INDEX('Расчет Кплотн'!$C:$C,MATCH(E422,'Расчет Кплотн'!$A:$A,0)),"код не найден")</f>
        <v>Мендыкаринский район</v>
      </c>
      <c r="G422" s="12" t="s">
        <v>503</v>
      </c>
      <c r="H422" s="12" t="s">
        <v>1527</v>
      </c>
      <c r="I422" s="12" t="s">
        <v>1528</v>
      </c>
    </row>
    <row r="423" customFormat="false" ht="15" hidden="false" customHeight="false" outlineLevel="0" collapsed="false">
      <c r="A423" s="12" t="n">
        <v>420</v>
      </c>
      <c r="B423" s="12" t="s">
        <v>1487</v>
      </c>
      <c r="C423" s="12" t="s">
        <v>1529</v>
      </c>
      <c r="D423" s="40" t="n">
        <v>83520</v>
      </c>
      <c r="E423" s="31" t="s">
        <v>164</v>
      </c>
      <c r="F423" s="12" t="str">
        <f aca="false">IFERROR(INDEX('Расчет Кплотн'!$C:$C,MATCH(E423,'Расчет Кплотн'!$A:$A,0)),"код не найден")</f>
        <v>Рудный</v>
      </c>
      <c r="G423" s="12" t="s">
        <v>503</v>
      </c>
      <c r="H423" s="12" t="s">
        <v>1530</v>
      </c>
      <c r="I423" s="12" t="s">
        <v>1518</v>
      </c>
    </row>
    <row r="424" customFormat="false" ht="15" hidden="false" customHeight="false" outlineLevel="0" collapsed="false">
      <c r="A424" s="12" t="n">
        <v>421</v>
      </c>
      <c r="B424" s="12" t="s">
        <v>1487</v>
      </c>
      <c r="C424" s="12" t="s">
        <v>1509</v>
      </c>
      <c r="D424" s="40" t="n">
        <v>8477</v>
      </c>
      <c r="E424" s="47" t="s">
        <v>174</v>
      </c>
      <c r="F424" s="12" t="str">
        <f aca="false">IFERROR(INDEX('Расчет Кплотн'!$C:$C,MATCH(E424,'Расчет Кплотн'!$A:$A,0)),"код не найден")</f>
        <v>Костанайский район</v>
      </c>
      <c r="G424" s="12" t="s">
        <v>1512</v>
      </c>
      <c r="H424" s="12" t="s">
        <v>1510</v>
      </c>
      <c r="I424" s="12" t="s">
        <v>1511</v>
      </c>
    </row>
    <row r="425" customFormat="false" ht="15" hidden="false" customHeight="false" outlineLevel="0" collapsed="false">
      <c r="A425" s="12" t="n">
        <v>422</v>
      </c>
      <c r="B425" s="12" t="s">
        <v>1487</v>
      </c>
      <c r="C425" s="12" t="s">
        <v>1534</v>
      </c>
      <c r="D425" s="40" t="n">
        <v>58260</v>
      </c>
      <c r="E425" s="31" t="s">
        <v>161</v>
      </c>
      <c r="F425" s="12" t="str">
        <f aca="false">IFERROR(INDEX('Расчет Кплотн'!$C:$C,MATCH(E425,'Расчет Кплотн'!$A:$A,0)),"код не найден")</f>
        <v>Костанай</v>
      </c>
      <c r="G425" s="12" t="s">
        <v>503</v>
      </c>
      <c r="H425" s="12" t="s">
        <v>1535</v>
      </c>
      <c r="I425" s="12" t="s">
        <v>1515</v>
      </c>
    </row>
    <row r="426" customFormat="false" ht="15" hidden="false" customHeight="false" outlineLevel="0" collapsed="false">
      <c r="A426" s="12" t="n">
        <v>423</v>
      </c>
      <c r="B426" s="12" t="s">
        <v>1487</v>
      </c>
      <c r="C426" s="12" t="s">
        <v>1536</v>
      </c>
      <c r="D426" s="40" t="n">
        <v>28807</v>
      </c>
      <c r="E426" s="31" t="s">
        <v>162</v>
      </c>
      <c r="F426" s="12" t="str">
        <f aca="false">IFERROR(INDEX('Расчет Кплотн'!$C:$C,MATCH(E426,'Расчет Кплотн'!$A:$A,0)),"код не найден")</f>
        <v>Аркалык</v>
      </c>
      <c r="G426" s="12" t="s">
        <v>503</v>
      </c>
      <c r="H426" s="12" t="s">
        <v>1537</v>
      </c>
      <c r="I426" s="12" t="s">
        <v>1508</v>
      </c>
    </row>
    <row r="427" customFormat="false" ht="15" hidden="false" customHeight="false" outlineLevel="0" collapsed="false">
      <c r="A427" s="12" t="n">
        <v>424</v>
      </c>
      <c r="B427" s="12" t="s">
        <v>1487</v>
      </c>
      <c r="C427" s="12" t="s">
        <v>1538</v>
      </c>
      <c r="D427" s="40" t="n">
        <v>13529</v>
      </c>
      <c r="E427" s="31" t="s">
        <v>168</v>
      </c>
      <c r="F427" s="12" t="str">
        <f aca="false">IFERROR(INDEX('Расчет Кплотн'!$C:$C,MATCH(E427,'Расчет Кплотн'!$A:$A,0)),"код не найден")</f>
        <v>Денисовский район</v>
      </c>
      <c r="G427" s="12" t="s">
        <v>503</v>
      </c>
      <c r="H427" s="12" t="s">
        <v>1539</v>
      </c>
      <c r="I427" s="12" t="s">
        <v>1540</v>
      </c>
    </row>
    <row r="428" customFormat="false" ht="15" hidden="false" customHeight="false" outlineLevel="0" collapsed="false">
      <c r="A428" s="12" t="n">
        <v>425</v>
      </c>
      <c r="B428" s="12" t="s">
        <v>1487</v>
      </c>
      <c r="C428" s="12" t="s">
        <v>1541</v>
      </c>
      <c r="D428" s="40" t="n">
        <v>20163</v>
      </c>
      <c r="E428" s="31" t="s">
        <v>172</v>
      </c>
      <c r="F428" s="12" t="str">
        <f aca="false">IFERROR(INDEX('Расчет Кплотн'!$C:$C,MATCH(E428,'Расчет Кплотн'!$A:$A,0)),"код не найден")</f>
        <v>Карабалыкский район</v>
      </c>
      <c r="G428" s="12" t="s">
        <v>503</v>
      </c>
      <c r="H428" s="12" t="s">
        <v>1542</v>
      </c>
      <c r="I428" s="12" t="s">
        <v>1543</v>
      </c>
    </row>
    <row r="429" customFormat="false" ht="15" hidden="false" customHeight="false" outlineLevel="0" collapsed="false">
      <c r="A429" s="12" t="n">
        <v>426</v>
      </c>
      <c r="B429" s="12" t="s">
        <v>1487</v>
      </c>
      <c r="C429" s="12" t="s">
        <v>1544</v>
      </c>
      <c r="D429" s="40" t="n">
        <v>9371</v>
      </c>
      <c r="E429" s="31" t="s">
        <v>173</v>
      </c>
      <c r="F429" s="12" t="str">
        <f aca="false">IFERROR(INDEX('Расчет Кплотн'!$C:$C,MATCH(E429,'Расчет Кплотн'!$A:$A,0)),"код не найден")</f>
        <v>Карасуский район</v>
      </c>
      <c r="G429" s="12" t="s">
        <v>503</v>
      </c>
      <c r="H429" s="12" t="s">
        <v>1545</v>
      </c>
      <c r="I429" s="12" t="s">
        <v>1546</v>
      </c>
    </row>
    <row r="430" customFormat="false" ht="15" hidden="false" customHeight="false" outlineLevel="0" collapsed="false">
      <c r="A430" s="12" t="n">
        <v>427</v>
      </c>
      <c r="B430" s="12" t="s">
        <v>1487</v>
      </c>
      <c r="C430" s="12" t="s">
        <v>1550</v>
      </c>
      <c r="D430" s="40" t="n">
        <v>17815</v>
      </c>
      <c r="E430" s="31" t="s">
        <v>178</v>
      </c>
      <c r="F430" s="12" t="str">
        <f aca="false">IFERROR(INDEX('Расчет Кплотн'!$C:$C,MATCH(E430,'Расчет Кплотн'!$A:$A,0)),"код не найден")</f>
        <v>район Беимбета Майлина</v>
      </c>
      <c r="G430" s="12" t="s">
        <v>503</v>
      </c>
      <c r="H430" s="12" t="s">
        <v>1551</v>
      </c>
      <c r="I430" s="12" t="s">
        <v>1552</v>
      </c>
    </row>
    <row r="431" customFormat="false" ht="15" hidden="false" customHeight="false" outlineLevel="0" collapsed="false">
      <c r="A431" s="12" t="n">
        <v>428</v>
      </c>
      <c r="B431" s="12" t="s">
        <v>1487</v>
      </c>
      <c r="C431" s="12" t="s">
        <v>1547</v>
      </c>
      <c r="D431" s="40" t="n">
        <v>7937</v>
      </c>
      <c r="E431" s="31" t="s">
        <v>164</v>
      </c>
      <c r="F431" s="12" t="str">
        <f aca="false">IFERROR(INDEX('Расчет Кплотн'!$C:$C,MATCH(E431,'Расчет Кплотн'!$A:$A,0)),"код не найден")</f>
        <v>Рудный</v>
      </c>
      <c r="G431" s="12" t="s">
        <v>503</v>
      </c>
      <c r="H431" s="12" t="s">
        <v>1548</v>
      </c>
      <c r="I431" s="12" t="s">
        <v>1549</v>
      </c>
    </row>
    <row r="432" customFormat="false" ht="15" hidden="false" customHeight="false" outlineLevel="0" collapsed="false">
      <c r="A432" s="12" t="n">
        <v>429</v>
      </c>
      <c r="B432" s="12" t="s">
        <v>1487</v>
      </c>
      <c r="C432" s="12" t="s">
        <v>1553</v>
      </c>
      <c r="D432" s="40" t="n">
        <v>50028</v>
      </c>
      <c r="E432" s="47" t="s">
        <v>174</v>
      </c>
      <c r="F432" s="12" t="str">
        <f aca="false">IFERROR(INDEX('Расчет Кплотн'!$C:$C,MATCH(E432,'Расчет Кплотн'!$A:$A,0)),"код не найден")</f>
        <v>Костанайский район</v>
      </c>
      <c r="G432" s="12" t="s">
        <v>1512</v>
      </c>
      <c r="H432" s="12" t="s">
        <v>1554</v>
      </c>
      <c r="I432" s="12" t="s">
        <v>1511</v>
      </c>
    </row>
    <row r="433" customFormat="false" ht="15" hidden="false" customHeight="false" outlineLevel="0" collapsed="false">
      <c r="A433" s="12" t="n">
        <v>430</v>
      </c>
      <c r="B433" s="12" t="s">
        <v>1487</v>
      </c>
      <c r="C433" s="12" t="s">
        <v>1555</v>
      </c>
      <c r="D433" s="40" t="n">
        <v>7520</v>
      </c>
      <c r="E433" s="31" t="s">
        <v>171</v>
      </c>
      <c r="F433" s="12" t="str">
        <f aca="false">IFERROR(INDEX('Расчет Кплотн'!$C:$C,MATCH(E433,'Расчет Кплотн'!$A:$A,0)),"код не найден")</f>
        <v>Камыстинский район</v>
      </c>
      <c r="G433" s="12" t="s">
        <v>503</v>
      </c>
      <c r="H433" s="12" t="s">
        <v>1556</v>
      </c>
      <c r="I433" s="12" t="s">
        <v>1557</v>
      </c>
    </row>
    <row r="434" customFormat="false" ht="15" hidden="false" customHeight="false" outlineLevel="0" collapsed="false">
      <c r="A434" s="12" t="n">
        <v>431</v>
      </c>
      <c r="B434" s="12" t="s">
        <v>1487</v>
      </c>
      <c r="C434" s="12" t="s">
        <v>1558</v>
      </c>
      <c r="D434" s="40" t="n">
        <v>31456</v>
      </c>
      <c r="E434" s="31" t="s">
        <v>163</v>
      </c>
      <c r="F434" s="12" t="str">
        <f aca="false">IFERROR(INDEX('Расчет Кплотн'!$C:$C,MATCH(E434,'Расчет Кплотн'!$A:$A,0)),"код не найден")</f>
        <v>Лисаковск</v>
      </c>
      <c r="G434" s="12" t="s">
        <v>503</v>
      </c>
      <c r="H434" s="12" t="s">
        <v>1559</v>
      </c>
      <c r="I434" s="12" t="s">
        <v>1560</v>
      </c>
    </row>
    <row r="435" customFormat="false" ht="15" hidden="false" customHeight="false" outlineLevel="0" collapsed="false">
      <c r="A435" s="12" t="n">
        <v>432</v>
      </c>
      <c r="B435" s="12" t="s">
        <v>1487</v>
      </c>
      <c r="C435" s="12" t="s">
        <v>1561</v>
      </c>
      <c r="D435" s="40" t="n">
        <v>5565</v>
      </c>
      <c r="E435" s="31" t="s">
        <v>176</v>
      </c>
      <c r="F435" s="12" t="str">
        <f aca="false">IFERROR(INDEX('Расчет Кплотн'!$C:$C,MATCH(E435,'Расчет Кплотн'!$A:$A,0)),"код не найден")</f>
        <v>Наурзумский район</v>
      </c>
      <c r="G435" s="12" t="s">
        <v>503</v>
      </c>
      <c r="H435" s="12" t="s">
        <v>1562</v>
      </c>
      <c r="I435" s="12" t="s">
        <v>1563</v>
      </c>
    </row>
    <row r="436" customFormat="false" ht="15" hidden="false" customHeight="false" outlineLevel="0" collapsed="false">
      <c r="A436" s="12" t="n">
        <v>433</v>
      </c>
      <c r="B436" s="12" t="s">
        <v>1487</v>
      </c>
      <c r="C436" s="12" t="s">
        <v>1564</v>
      </c>
      <c r="D436" s="40" t="n">
        <v>6614</v>
      </c>
      <c r="E436" s="31" t="s">
        <v>173</v>
      </c>
      <c r="F436" s="12" t="str">
        <f aca="false">IFERROR(INDEX('Расчет Кплотн'!$C:$C,MATCH(E436,'Расчет Кплотн'!$A:$A,0)),"код не найден")</f>
        <v>Карасуский район</v>
      </c>
      <c r="G436" s="12" t="s">
        <v>503</v>
      </c>
      <c r="H436" s="12" t="s">
        <v>1565</v>
      </c>
      <c r="I436" s="12" t="s">
        <v>1566</v>
      </c>
    </row>
    <row r="437" customFormat="false" ht="15" hidden="false" customHeight="false" outlineLevel="0" collapsed="false">
      <c r="A437" s="12" t="n">
        <v>434</v>
      </c>
      <c r="B437" s="12" t="s">
        <v>1487</v>
      </c>
      <c r="C437" s="12" t="s">
        <v>1567</v>
      </c>
      <c r="D437" s="40" t="n">
        <v>48923</v>
      </c>
      <c r="E437" s="31" t="s">
        <v>161</v>
      </c>
      <c r="F437" s="12" t="str">
        <f aca="false">IFERROR(INDEX('Расчет Кплотн'!$C:$C,MATCH(E437,'Расчет Кплотн'!$A:$A,0)),"код не найден")</f>
        <v>Костанай</v>
      </c>
      <c r="G437" s="12" t="s">
        <v>503</v>
      </c>
      <c r="H437" s="12" t="s">
        <v>1568</v>
      </c>
      <c r="I437" s="12" t="s">
        <v>1515</v>
      </c>
    </row>
    <row r="438" customFormat="false" ht="15" hidden="false" customHeight="false" outlineLevel="0" collapsed="false">
      <c r="A438" s="12" t="n">
        <v>435</v>
      </c>
      <c r="B438" s="12" t="s">
        <v>1487</v>
      </c>
      <c r="C438" s="12" t="s">
        <v>1569</v>
      </c>
      <c r="D438" s="40" t="n">
        <v>43105</v>
      </c>
      <c r="E438" s="31" t="s">
        <v>161</v>
      </c>
      <c r="F438" s="12" t="str">
        <f aca="false">IFERROR(INDEX('Расчет Кплотн'!$C:$C,MATCH(E438,'Расчет Кплотн'!$A:$A,0)),"код не найден")</f>
        <v>Костанай</v>
      </c>
      <c r="G438" s="12" t="s">
        <v>503</v>
      </c>
      <c r="H438" s="12" t="s">
        <v>1570</v>
      </c>
      <c r="I438" s="12" t="s">
        <v>1515</v>
      </c>
    </row>
    <row r="439" customFormat="false" ht="15" hidden="false" customHeight="false" outlineLevel="0" collapsed="false">
      <c r="A439" s="12" t="n">
        <v>436</v>
      </c>
      <c r="B439" s="12" t="s">
        <v>1487</v>
      </c>
      <c r="C439" s="12" t="s">
        <v>1571</v>
      </c>
      <c r="D439" s="40" t="n">
        <v>49894</v>
      </c>
      <c r="E439" s="31" t="s">
        <v>161</v>
      </c>
      <c r="F439" s="12" t="str">
        <f aca="false">IFERROR(INDEX('Расчет Кплотн'!$C:$C,MATCH(E439,'Расчет Кплотн'!$A:$A,0)),"код не найден")</f>
        <v>Костанай</v>
      </c>
      <c r="G439" s="12" t="s">
        <v>503</v>
      </c>
      <c r="H439" s="12" t="s">
        <v>1572</v>
      </c>
      <c r="I439" s="12" t="s">
        <v>1515</v>
      </c>
    </row>
    <row r="440" customFormat="false" ht="15" hidden="false" customHeight="false" outlineLevel="0" collapsed="false">
      <c r="A440" s="12" t="n">
        <v>437</v>
      </c>
      <c r="B440" s="12" t="s">
        <v>1487</v>
      </c>
      <c r="C440" s="12" t="s">
        <v>1573</v>
      </c>
      <c r="D440" s="40" t="n">
        <v>5557</v>
      </c>
      <c r="E440" s="31" t="s">
        <v>167</v>
      </c>
      <c r="F440" s="12" t="str">
        <f aca="false">IFERROR(INDEX('Расчет Кплотн'!$C:$C,MATCH(E440,'Расчет Кплотн'!$A:$A,0)),"код не найден")</f>
        <v>Аулиекольский район</v>
      </c>
      <c r="G440" s="12" t="s">
        <v>503</v>
      </c>
      <c r="H440" s="12" t="s">
        <v>1574</v>
      </c>
      <c r="I440" s="12" t="s">
        <v>1575</v>
      </c>
    </row>
    <row r="441" customFormat="false" ht="15" hidden="false" customHeight="false" outlineLevel="0" collapsed="false">
      <c r="A441" s="12" t="n">
        <v>438</v>
      </c>
      <c r="B441" s="12" t="s">
        <v>1576</v>
      </c>
      <c r="C441" s="12" t="s">
        <v>1580</v>
      </c>
      <c r="D441" s="40" t="n">
        <v>38981</v>
      </c>
      <c r="E441" s="31" t="s">
        <v>181</v>
      </c>
      <c r="F441" s="12" t="str">
        <f aca="false">IFERROR(INDEX('Расчет Кплотн'!$C:$C,MATCH(E441,'Расчет Кплотн'!$A:$A,0)),"код не найден")</f>
        <v>Кызылорда</v>
      </c>
      <c r="G441" s="12" t="s">
        <v>503</v>
      </c>
      <c r="H441" s="12" t="s">
        <v>1581</v>
      </c>
      <c r="I441" s="12" t="s">
        <v>1579</v>
      </c>
    </row>
    <row r="442" customFormat="false" ht="15" hidden="false" customHeight="false" outlineLevel="0" collapsed="false">
      <c r="A442" s="12" t="n">
        <v>439</v>
      </c>
      <c r="B442" s="12" t="s">
        <v>1576</v>
      </c>
      <c r="C442" s="12" t="s">
        <v>1582</v>
      </c>
      <c r="D442" s="40" t="n">
        <v>18755</v>
      </c>
      <c r="E442" s="31" t="s">
        <v>181</v>
      </c>
      <c r="F442" s="12" t="str">
        <f aca="false">IFERROR(INDEX('Расчет Кплотн'!$C:$C,MATCH(E442,'Расчет Кплотн'!$A:$A,0)),"код не найден")</f>
        <v>Кызылорда</v>
      </c>
      <c r="G442" s="12" t="s">
        <v>503</v>
      </c>
      <c r="H442" s="12" t="s">
        <v>1583</v>
      </c>
      <c r="I442" s="12" t="s">
        <v>1579</v>
      </c>
    </row>
    <row r="443" customFormat="false" ht="15" hidden="false" customHeight="false" outlineLevel="0" collapsed="false">
      <c r="A443" s="12" t="n">
        <v>440</v>
      </c>
      <c r="B443" s="12" t="s">
        <v>1576</v>
      </c>
      <c r="C443" s="12" t="s">
        <v>1584</v>
      </c>
      <c r="D443" s="40" t="n">
        <v>23051</v>
      </c>
      <c r="E443" s="31" t="s">
        <v>186</v>
      </c>
      <c r="F443" s="12" t="str">
        <f aca="false">IFERROR(INDEX('Расчет Кплотн'!$C:$C,MATCH(E443,'Расчет Кплотн'!$A:$A,0)),"код не найден")</f>
        <v>Казалинский район</v>
      </c>
      <c r="G443" s="12" t="s">
        <v>503</v>
      </c>
      <c r="H443" s="12" t="s">
        <v>1585</v>
      </c>
      <c r="I443" s="12" t="s">
        <v>1586</v>
      </c>
    </row>
    <row r="444" customFormat="false" ht="15" hidden="false" customHeight="false" outlineLevel="0" collapsed="false">
      <c r="A444" s="12" t="n">
        <v>441</v>
      </c>
      <c r="B444" s="12" t="s">
        <v>1576</v>
      </c>
      <c r="C444" s="12" t="s">
        <v>1587</v>
      </c>
      <c r="D444" s="40" t="n">
        <v>4454</v>
      </c>
      <c r="E444" s="31" t="s">
        <v>181</v>
      </c>
      <c r="F444" s="12" t="str">
        <f aca="false">IFERROR(INDEX('Расчет Кплотн'!$C:$C,MATCH(E444,'Расчет Кплотн'!$A:$A,0)),"код не найден")</f>
        <v>Кызылорда</v>
      </c>
      <c r="G444" s="12" t="s">
        <v>503</v>
      </c>
      <c r="H444" s="12" t="s">
        <v>1588</v>
      </c>
      <c r="I444" s="12" t="s">
        <v>1579</v>
      </c>
    </row>
    <row r="445" customFormat="false" ht="15" hidden="false" customHeight="false" outlineLevel="0" collapsed="false">
      <c r="A445" s="12" t="n">
        <v>442</v>
      </c>
      <c r="B445" s="12" t="s">
        <v>1576</v>
      </c>
      <c r="C445" s="12" t="s">
        <v>1593</v>
      </c>
      <c r="D445" s="40" t="n">
        <v>18574</v>
      </c>
      <c r="E445" s="31" t="s">
        <v>181</v>
      </c>
      <c r="F445" s="12" t="str">
        <f aca="false">IFERROR(INDEX('Расчет Кплотн'!$C:$C,MATCH(E445,'Расчет Кплотн'!$A:$A,0)),"код не найден")</f>
        <v>Кызылорда</v>
      </c>
      <c r="G445" s="12" t="s">
        <v>503</v>
      </c>
      <c r="H445" s="12" t="s">
        <v>1594</v>
      </c>
      <c r="I445" s="12" t="s">
        <v>1579</v>
      </c>
    </row>
    <row r="446" customFormat="false" ht="15" hidden="false" customHeight="false" outlineLevel="0" collapsed="false">
      <c r="A446" s="12" t="n">
        <v>443</v>
      </c>
      <c r="B446" s="12" t="s">
        <v>1576</v>
      </c>
      <c r="C446" s="12" t="s">
        <v>1591</v>
      </c>
      <c r="D446" s="40" t="n">
        <v>16926</v>
      </c>
      <c r="E446" s="31" t="s">
        <v>181</v>
      </c>
      <c r="F446" s="12" t="str">
        <f aca="false">IFERROR(INDEX('Расчет Кплотн'!$C:$C,MATCH(E446,'Расчет Кплотн'!$A:$A,0)),"код не найден")</f>
        <v>Кызылорда</v>
      </c>
      <c r="G446" s="12" t="s">
        <v>503</v>
      </c>
      <c r="H446" s="12" t="s">
        <v>1592</v>
      </c>
      <c r="I446" s="12" t="s">
        <v>1579</v>
      </c>
    </row>
    <row r="447" customFormat="false" ht="15" hidden="false" customHeight="false" outlineLevel="0" collapsed="false">
      <c r="A447" s="12" t="n">
        <v>444</v>
      </c>
      <c r="B447" s="12" t="s">
        <v>1576</v>
      </c>
      <c r="C447" s="12" t="s">
        <v>1589</v>
      </c>
      <c r="D447" s="40" t="n">
        <v>12420</v>
      </c>
      <c r="E447" s="31" t="s">
        <v>181</v>
      </c>
      <c r="F447" s="12" t="str">
        <f aca="false">IFERROR(INDEX('Расчет Кплотн'!$C:$C,MATCH(E447,'Расчет Кплотн'!$A:$A,0)),"код не найден")</f>
        <v>Кызылорда</v>
      </c>
      <c r="G447" s="12" t="s">
        <v>503</v>
      </c>
      <c r="H447" s="12" t="s">
        <v>1590</v>
      </c>
      <c r="I447" s="12" t="s">
        <v>1579</v>
      </c>
    </row>
    <row r="448" customFormat="false" ht="15" hidden="false" customHeight="false" outlineLevel="0" collapsed="false">
      <c r="A448" s="12" t="n">
        <v>445</v>
      </c>
      <c r="B448" s="12" t="s">
        <v>1576</v>
      </c>
      <c r="C448" s="12" t="s">
        <v>1595</v>
      </c>
      <c r="D448" s="40" t="n">
        <v>5433</v>
      </c>
      <c r="E448" s="31" t="s">
        <v>181</v>
      </c>
      <c r="F448" s="12" t="str">
        <f aca="false">IFERROR(INDEX('Расчет Кплотн'!$C:$C,MATCH(E448,'Расчет Кплотн'!$A:$A,0)),"код не найден")</f>
        <v>Кызылорда</v>
      </c>
      <c r="G448" s="12" t="s">
        <v>503</v>
      </c>
      <c r="H448" s="12" t="s">
        <v>1596</v>
      </c>
      <c r="I448" s="12" t="s">
        <v>1579</v>
      </c>
    </row>
    <row r="449" customFormat="false" ht="15" hidden="false" customHeight="false" outlineLevel="0" collapsed="false">
      <c r="A449" s="12" t="n">
        <v>446</v>
      </c>
      <c r="B449" s="12" t="s">
        <v>1576</v>
      </c>
      <c r="C449" s="12" t="s">
        <v>1577</v>
      </c>
      <c r="D449" s="40" t="n">
        <v>3350</v>
      </c>
      <c r="E449" s="31" t="s">
        <v>181</v>
      </c>
      <c r="F449" s="12" t="str">
        <f aca="false">IFERROR(INDEX('Расчет Кплотн'!$C:$C,MATCH(E449,'Расчет Кплотн'!$A:$A,0)),"код не найден")</f>
        <v>Кызылорда</v>
      </c>
      <c r="G449" s="12" t="s">
        <v>503</v>
      </c>
      <c r="H449" s="12" t="s">
        <v>1578</v>
      </c>
      <c r="I449" s="12" t="s">
        <v>1579</v>
      </c>
    </row>
    <row r="450" customFormat="false" ht="15" hidden="false" customHeight="false" outlineLevel="0" collapsed="false">
      <c r="A450" s="12" t="n">
        <v>447</v>
      </c>
      <c r="B450" s="12" t="s">
        <v>1576</v>
      </c>
      <c r="C450" s="12" t="s">
        <v>1599</v>
      </c>
      <c r="D450" s="40" t="n">
        <v>5260</v>
      </c>
      <c r="E450" s="31" t="s">
        <v>181</v>
      </c>
      <c r="F450" s="12" t="str">
        <f aca="false">IFERROR(INDEX('Расчет Кплотн'!$C:$C,MATCH(E450,'Расчет Кплотн'!$A:$A,0)),"код не найден")</f>
        <v>Кызылорда</v>
      </c>
      <c r="G450" s="12" t="s">
        <v>503</v>
      </c>
      <c r="H450" s="12" t="s">
        <v>1600</v>
      </c>
      <c r="I450" s="12" t="s">
        <v>1579</v>
      </c>
    </row>
    <row r="451" customFormat="false" ht="15" hidden="false" customHeight="false" outlineLevel="0" collapsed="false">
      <c r="A451" s="12" t="n">
        <v>448</v>
      </c>
      <c r="B451" s="12" t="s">
        <v>1576</v>
      </c>
      <c r="C451" s="12" t="s">
        <v>1597</v>
      </c>
      <c r="D451" s="40" t="n">
        <v>31026</v>
      </c>
      <c r="E451" s="31" t="s">
        <v>181</v>
      </c>
      <c r="F451" s="12" t="str">
        <f aca="false">IFERROR(INDEX('Расчет Кплотн'!$C:$C,MATCH(E451,'Расчет Кплотн'!$A:$A,0)),"код не найден")</f>
        <v>Кызылорда</v>
      </c>
      <c r="G451" s="12" t="s">
        <v>503</v>
      </c>
      <c r="H451" s="12" t="s">
        <v>1598</v>
      </c>
      <c r="I451" s="12" t="s">
        <v>1579</v>
      </c>
    </row>
    <row r="452" customFormat="false" ht="15" hidden="false" customHeight="false" outlineLevel="0" collapsed="false">
      <c r="A452" s="12" t="n">
        <v>449</v>
      </c>
      <c r="B452" s="12" t="s">
        <v>1576</v>
      </c>
      <c r="C452" s="12" t="s">
        <v>1601</v>
      </c>
      <c r="D452" s="40" t="n">
        <v>34211</v>
      </c>
      <c r="E452" s="31" t="s">
        <v>181</v>
      </c>
      <c r="F452" s="12" t="str">
        <f aca="false">IFERROR(INDEX('Расчет Кплотн'!$C:$C,MATCH(E452,'Расчет Кплотн'!$A:$A,0)),"код не найден")</f>
        <v>Кызылорда</v>
      </c>
      <c r="G452" s="12" t="s">
        <v>503</v>
      </c>
      <c r="H452" s="12" t="s">
        <v>1602</v>
      </c>
      <c r="I452" s="12" t="s">
        <v>1579</v>
      </c>
    </row>
    <row r="453" customFormat="false" ht="15" hidden="false" customHeight="false" outlineLevel="0" collapsed="false">
      <c r="A453" s="12" t="n">
        <v>450</v>
      </c>
      <c r="B453" s="12" t="s">
        <v>1576</v>
      </c>
      <c r="C453" s="12" t="s">
        <v>1619</v>
      </c>
      <c r="D453" s="40" t="n">
        <v>71299</v>
      </c>
      <c r="E453" s="31" t="s">
        <v>183</v>
      </c>
      <c r="F453" s="12" t="str">
        <f aca="false">IFERROR(INDEX('Расчет Кплотн'!$C:$C,MATCH(E453,'Расчет Кплотн'!$A:$A,0)),"код не найден")</f>
        <v>Аральский район</v>
      </c>
      <c r="G453" s="12" t="s">
        <v>503</v>
      </c>
      <c r="H453" s="12" t="s">
        <v>1620</v>
      </c>
      <c r="I453" s="12" t="s">
        <v>1621</v>
      </c>
    </row>
    <row r="454" customFormat="false" ht="15" hidden="false" customHeight="false" outlineLevel="0" collapsed="false">
      <c r="A454" s="12" t="n">
        <v>451</v>
      </c>
      <c r="B454" s="12" t="s">
        <v>1576</v>
      </c>
      <c r="C454" s="12" t="s">
        <v>1606</v>
      </c>
      <c r="D454" s="40" t="n">
        <v>31043</v>
      </c>
      <c r="E454" s="31" t="s">
        <v>184</v>
      </c>
      <c r="F454" s="12" t="str">
        <f aca="false">IFERROR(INDEX('Расчет Кплотн'!$C:$C,MATCH(E454,'Расчет Кплотн'!$A:$A,0)),"код не найден")</f>
        <v>Жалагашский район</v>
      </c>
      <c r="G454" s="12" t="s">
        <v>503</v>
      </c>
      <c r="H454" s="12" t="s">
        <v>1607</v>
      </c>
      <c r="I454" s="12" t="s">
        <v>1608</v>
      </c>
    </row>
    <row r="455" customFormat="false" ht="15" hidden="false" customHeight="false" outlineLevel="0" collapsed="false">
      <c r="A455" s="12" t="n">
        <v>452</v>
      </c>
      <c r="B455" s="12" t="s">
        <v>1576</v>
      </c>
      <c r="C455" s="12" t="s">
        <v>1630</v>
      </c>
      <c r="D455" s="40" t="n">
        <v>73194</v>
      </c>
      <c r="E455" s="31" t="s">
        <v>185</v>
      </c>
      <c r="F455" s="12" t="str">
        <f aca="false">IFERROR(INDEX('Расчет Кплотн'!$C:$C,MATCH(E455,'Расчет Кплотн'!$A:$A,0)),"код не найден")</f>
        <v>Жанакорганский район</v>
      </c>
      <c r="G455" s="12" t="s">
        <v>503</v>
      </c>
      <c r="H455" s="12" t="s">
        <v>1631</v>
      </c>
      <c r="I455" s="12" t="s">
        <v>1632</v>
      </c>
    </row>
    <row r="456" customFormat="false" ht="15" hidden="false" customHeight="false" outlineLevel="0" collapsed="false">
      <c r="A456" s="12" t="n">
        <v>453</v>
      </c>
      <c r="B456" s="12" t="s">
        <v>1576</v>
      </c>
      <c r="C456" s="12" t="s">
        <v>1627</v>
      </c>
      <c r="D456" s="40" t="n">
        <v>38907</v>
      </c>
      <c r="E456" s="31" t="s">
        <v>182</v>
      </c>
      <c r="F456" s="12" t="str">
        <f aca="false">IFERROR(INDEX('Расчет Кплотн'!$C:$C,MATCH(E456,'Расчет Кплотн'!$A:$A,0)),"код не найден")</f>
        <v>Байконыр</v>
      </c>
      <c r="G456" s="12" t="s">
        <v>503</v>
      </c>
      <c r="H456" s="12" t="s">
        <v>1628</v>
      </c>
      <c r="I456" s="12" t="s">
        <v>1629</v>
      </c>
    </row>
    <row r="457" customFormat="false" ht="15" hidden="false" customHeight="false" outlineLevel="0" collapsed="false">
      <c r="A457" s="12" t="n">
        <v>454</v>
      </c>
      <c r="B457" s="12" t="s">
        <v>1576</v>
      </c>
      <c r="C457" s="12" t="s">
        <v>1624</v>
      </c>
      <c r="D457" s="40" t="n">
        <v>30348</v>
      </c>
      <c r="E457" s="31" t="s">
        <v>187</v>
      </c>
      <c r="F457" s="12" t="str">
        <f aca="false">IFERROR(INDEX('Расчет Кплотн'!$C:$C,MATCH(E457,'Расчет Кплотн'!$A:$A,0)),"код не найден")</f>
        <v>Кармакшинский район</v>
      </c>
      <c r="G457" s="12" t="s">
        <v>503</v>
      </c>
      <c r="H457" s="12" t="s">
        <v>1625</v>
      </c>
      <c r="I457" s="12" t="s">
        <v>1626</v>
      </c>
    </row>
    <row r="458" customFormat="false" ht="15" hidden="false" customHeight="false" outlineLevel="0" collapsed="false">
      <c r="A458" s="12" t="n">
        <v>455</v>
      </c>
      <c r="B458" s="12" t="s">
        <v>1576</v>
      </c>
      <c r="C458" s="12" t="s">
        <v>1622</v>
      </c>
      <c r="D458" s="40" t="n">
        <v>53406</v>
      </c>
      <c r="E458" s="31" t="s">
        <v>186</v>
      </c>
      <c r="F458" s="12" t="str">
        <f aca="false">IFERROR(INDEX('Расчет Кплотн'!$C:$C,MATCH(E458,'Расчет Кплотн'!$A:$A,0)),"код не найден")</f>
        <v>Казалинский район</v>
      </c>
      <c r="G458" s="12" t="s">
        <v>503</v>
      </c>
      <c r="H458" s="12" t="s">
        <v>1623</v>
      </c>
      <c r="I458" s="12" t="s">
        <v>1586</v>
      </c>
    </row>
    <row r="459" customFormat="false" ht="15" hidden="false" customHeight="false" outlineLevel="0" collapsed="false">
      <c r="A459" s="12" t="n">
        <v>456</v>
      </c>
      <c r="B459" s="12" t="s">
        <v>1576</v>
      </c>
      <c r="C459" s="12" t="s">
        <v>1633</v>
      </c>
      <c r="D459" s="40" t="n">
        <v>64125</v>
      </c>
      <c r="E459" s="31" t="s">
        <v>181</v>
      </c>
      <c r="F459" s="12" t="str">
        <f aca="false">IFERROR(INDEX('Расчет Кплотн'!$C:$C,MATCH(E459,'Расчет Кплотн'!$A:$A,0)),"код не найден")</f>
        <v>Кызылорда</v>
      </c>
      <c r="G459" s="12" t="s">
        <v>503</v>
      </c>
      <c r="H459" s="12" t="s">
        <v>1634</v>
      </c>
      <c r="I459" s="12" t="s">
        <v>1579</v>
      </c>
    </row>
    <row r="460" customFormat="false" ht="15" hidden="false" customHeight="false" outlineLevel="0" collapsed="false">
      <c r="A460" s="12" t="n">
        <v>457</v>
      </c>
      <c r="B460" s="12" t="s">
        <v>1576</v>
      </c>
      <c r="C460" s="12" t="s">
        <v>1616</v>
      </c>
      <c r="D460" s="40" t="n">
        <v>41154</v>
      </c>
      <c r="E460" s="31" t="s">
        <v>181</v>
      </c>
      <c r="F460" s="12" t="str">
        <f aca="false">IFERROR(INDEX('Расчет Кплотн'!$C:$C,MATCH(E460,'Расчет Кплотн'!$A:$A,0)),"код не найден")</f>
        <v>Кызылорда</v>
      </c>
      <c r="G460" s="12" t="s">
        <v>503</v>
      </c>
      <c r="H460" s="12" t="s">
        <v>1617</v>
      </c>
      <c r="I460" s="12" t="s">
        <v>1618</v>
      </c>
    </row>
    <row r="461" customFormat="false" ht="15" hidden="false" customHeight="false" outlineLevel="0" collapsed="false">
      <c r="A461" s="12" t="n">
        <v>458</v>
      </c>
      <c r="B461" s="12" t="s">
        <v>1576</v>
      </c>
      <c r="C461" s="12" t="s">
        <v>1614</v>
      </c>
      <c r="D461" s="40" t="n">
        <v>58196</v>
      </c>
      <c r="E461" s="31" t="s">
        <v>181</v>
      </c>
      <c r="F461" s="12" t="str">
        <f aca="false">IFERROR(INDEX('Расчет Кплотн'!$C:$C,MATCH(E461,'Расчет Кплотн'!$A:$A,0)),"код не найден")</f>
        <v>Кызылорда</v>
      </c>
      <c r="G461" s="12" t="s">
        <v>503</v>
      </c>
      <c r="H461" s="12" t="s">
        <v>1615</v>
      </c>
      <c r="I461" s="12" t="s">
        <v>1579</v>
      </c>
    </row>
    <row r="462" customFormat="false" ht="15" hidden="false" customHeight="false" outlineLevel="0" collapsed="false">
      <c r="A462" s="12" t="n">
        <v>459</v>
      </c>
      <c r="B462" s="12" t="s">
        <v>1576</v>
      </c>
      <c r="C462" s="12" t="s">
        <v>1611</v>
      </c>
      <c r="D462" s="40" t="n">
        <v>77979</v>
      </c>
      <c r="E462" s="31" t="s">
        <v>189</v>
      </c>
      <c r="F462" s="12" t="str">
        <f aca="false">IFERROR(INDEX('Расчет Кплотн'!$C:$C,MATCH(E462,'Расчет Кплотн'!$A:$A,0)),"код не найден")</f>
        <v>Шиелийский район</v>
      </c>
      <c r="G462" s="12" t="s">
        <v>503</v>
      </c>
      <c r="H462" s="12" t="s">
        <v>1612</v>
      </c>
      <c r="I462" s="12" t="s">
        <v>1613</v>
      </c>
    </row>
    <row r="463" customFormat="false" ht="15" hidden="false" customHeight="false" outlineLevel="0" collapsed="false">
      <c r="A463" s="12" t="n">
        <v>460</v>
      </c>
      <c r="B463" s="12" t="s">
        <v>1576</v>
      </c>
      <c r="C463" s="12" t="s">
        <v>1609</v>
      </c>
      <c r="D463" s="40" t="n">
        <v>35999</v>
      </c>
      <c r="E463" s="31" t="s">
        <v>181</v>
      </c>
      <c r="F463" s="12" t="str">
        <f aca="false">IFERROR(INDEX('Расчет Кплотн'!$C:$C,MATCH(E463,'Расчет Кплотн'!$A:$A,0)),"код не найден")</f>
        <v>Кызылорда</v>
      </c>
      <c r="G463" s="12" t="s">
        <v>503</v>
      </c>
      <c r="H463" s="12" t="s">
        <v>1610</v>
      </c>
      <c r="I463" s="12" t="s">
        <v>1579</v>
      </c>
    </row>
    <row r="464" customFormat="false" ht="15" hidden="false" customHeight="false" outlineLevel="0" collapsed="false">
      <c r="A464" s="12" t="n">
        <v>461</v>
      </c>
      <c r="B464" s="12" t="s">
        <v>1576</v>
      </c>
      <c r="C464" s="12" t="s">
        <v>1603</v>
      </c>
      <c r="D464" s="40" t="n">
        <v>33447</v>
      </c>
      <c r="E464" s="31" t="s">
        <v>188</v>
      </c>
      <c r="F464" s="12" t="str">
        <f aca="false">IFERROR(INDEX('Расчет Кплотн'!$C:$C,MATCH(E464,'Расчет Кплотн'!$A:$A,0)),"код не найден")</f>
        <v>Сырдарьинский район</v>
      </c>
      <c r="G464" s="12" t="s">
        <v>503</v>
      </c>
      <c r="H464" s="12" t="s">
        <v>1604</v>
      </c>
      <c r="I464" s="12" t="s">
        <v>1605</v>
      </c>
    </row>
    <row r="465" customFormat="false" ht="15" hidden="false" customHeight="false" outlineLevel="0" collapsed="false">
      <c r="A465" s="12" t="n">
        <v>462</v>
      </c>
      <c r="B465" s="12" t="s">
        <v>1635</v>
      </c>
      <c r="C465" s="12" t="s">
        <v>1647</v>
      </c>
      <c r="D465" s="40" t="n">
        <v>37131</v>
      </c>
      <c r="E465" s="31" t="s">
        <v>195</v>
      </c>
      <c r="F465" s="12" t="str">
        <f aca="false">IFERROR(INDEX('Расчет Кплотн'!$C:$C,MATCH(E465,'Расчет Кплотн'!$A:$A,0)),"код не найден")</f>
        <v>Мунайлинский район</v>
      </c>
      <c r="G465" s="12" t="s">
        <v>503</v>
      </c>
      <c r="H465" s="12" t="s">
        <v>1648</v>
      </c>
      <c r="I465" s="12" t="s">
        <v>1649</v>
      </c>
    </row>
    <row r="466" customFormat="false" ht="15" hidden="false" customHeight="false" outlineLevel="0" collapsed="false">
      <c r="A466" s="12" t="n">
        <v>463</v>
      </c>
      <c r="B466" s="12" t="s">
        <v>1635</v>
      </c>
      <c r="C466" s="12" t="s">
        <v>1645</v>
      </c>
      <c r="D466" s="40" t="n">
        <v>5233</v>
      </c>
      <c r="E466" s="31" t="s">
        <v>190</v>
      </c>
      <c r="F466" s="12" t="str">
        <f aca="false">IFERROR(INDEX('Расчет Кплотн'!$C:$C,MATCH(E466,'Расчет Кплотн'!$A:$A,0)),"код не найден")</f>
        <v>Актау</v>
      </c>
      <c r="G466" s="12" t="s">
        <v>503</v>
      </c>
      <c r="H466" s="12" t="s">
        <v>1646</v>
      </c>
      <c r="I466" s="12" t="s">
        <v>1644</v>
      </c>
    </row>
    <row r="467" customFormat="false" ht="15" hidden="false" customHeight="false" outlineLevel="0" collapsed="false">
      <c r="A467" s="12" t="n">
        <v>464</v>
      </c>
      <c r="B467" s="12" t="s">
        <v>1635</v>
      </c>
      <c r="C467" s="12" t="s">
        <v>1642</v>
      </c>
      <c r="D467" s="40" t="n">
        <v>27114</v>
      </c>
      <c r="E467" s="31" t="s">
        <v>190</v>
      </c>
      <c r="F467" s="12" t="str">
        <f aca="false">IFERROR(INDEX('Расчет Кплотн'!$C:$C,MATCH(E467,'Расчет Кплотн'!$A:$A,0)),"код не найден")</f>
        <v>Актау</v>
      </c>
      <c r="G467" s="12" t="s">
        <v>503</v>
      </c>
      <c r="H467" s="12" t="s">
        <v>1643</v>
      </c>
      <c r="I467" s="12" t="s">
        <v>1644</v>
      </c>
    </row>
    <row r="468" customFormat="false" ht="15" hidden="false" customHeight="false" outlineLevel="0" collapsed="false">
      <c r="A468" s="12" t="n">
        <v>465</v>
      </c>
      <c r="B468" s="12" t="s">
        <v>1635</v>
      </c>
      <c r="C468" s="12" t="s">
        <v>1674</v>
      </c>
      <c r="D468" s="40" t="n">
        <v>15493</v>
      </c>
      <c r="E468" s="31" t="s">
        <v>191</v>
      </c>
      <c r="F468" s="12" t="str">
        <f aca="false">IFERROR(INDEX('Расчет Кплотн'!$C:$C,MATCH(E468,'Расчет Кплотн'!$A:$A,0)),"код не найден")</f>
        <v>Жанаозен</v>
      </c>
      <c r="G468" s="12" t="s">
        <v>503</v>
      </c>
      <c r="H468" s="12" t="s">
        <v>1675</v>
      </c>
      <c r="I468" s="12" t="s">
        <v>1662</v>
      </c>
    </row>
    <row r="469" customFormat="false" ht="15" hidden="false" customHeight="false" outlineLevel="0" collapsed="false">
      <c r="A469" s="12" t="n">
        <v>466</v>
      </c>
      <c r="B469" s="12" t="s">
        <v>1635</v>
      </c>
      <c r="C469" s="12" t="s">
        <v>1666</v>
      </c>
      <c r="D469" s="40" t="n">
        <v>8974</v>
      </c>
      <c r="E469" s="31" t="s">
        <v>190</v>
      </c>
      <c r="F469" s="12" t="str">
        <f aca="false">IFERROR(INDEX('Расчет Кплотн'!$C:$C,MATCH(E469,'Расчет Кплотн'!$A:$A,0)),"код не найден")</f>
        <v>Актау</v>
      </c>
      <c r="G469" s="12" t="s">
        <v>503</v>
      </c>
      <c r="H469" s="12" t="s">
        <v>1667</v>
      </c>
      <c r="I469" s="12" t="s">
        <v>1644</v>
      </c>
    </row>
    <row r="470" customFormat="false" ht="15" hidden="false" customHeight="false" outlineLevel="0" collapsed="false">
      <c r="A470" s="12" t="n">
        <v>467</v>
      </c>
      <c r="B470" s="12" t="s">
        <v>1635</v>
      </c>
      <c r="C470" s="12" t="s">
        <v>1650</v>
      </c>
      <c r="D470" s="40" t="n">
        <v>10371</v>
      </c>
      <c r="E470" s="31" t="s">
        <v>195</v>
      </c>
      <c r="F470" s="12" t="str">
        <f aca="false">IFERROR(INDEX('Расчет Кплотн'!$C:$C,MATCH(E470,'Расчет Кплотн'!$A:$A,0)),"код не найден")</f>
        <v>Мунайлинский район</v>
      </c>
      <c r="G470" s="12" t="s">
        <v>503</v>
      </c>
      <c r="H470" s="12" t="s">
        <v>1651</v>
      </c>
      <c r="I470" s="12" t="s">
        <v>1652</v>
      </c>
    </row>
    <row r="471" customFormat="false" ht="15" hidden="false" customHeight="false" outlineLevel="0" collapsed="false">
      <c r="A471" s="12" t="n">
        <v>468</v>
      </c>
      <c r="B471" s="12" t="s">
        <v>1635</v>
      </c>
      <c r="C471" s="12" t="s">
        <v>1639</v>
      </c>
      <c r="D471" s="40" t="n">
        <v>10548</v>
      </c>
      <c r="E471" s="31" t="s">
        <v>193</v>
      </c>
      <c r="F471" s="12" t="str">
        <f aca="false">IFERROR(INDEX('Расчет Кплотн'!$C:$C,MATCH(E471,'Расчет Кплотн'!$A:$A,0)),"код не найден")</f>
        <v>Каракиянский район</v>
      </c>
      <c r="G471" s="12" t="s">
        <v>503</v>
      </c>
      <c r="H471" s="12" t="s">
        <v>1640</v>
      </c>
      <c r="I471" s="12" t="s">
        <v>1641</v>
      </c>
    </row>
    <row r="472" customFormat="false" ht="15" hidden="false" customHeight="false" outlineLevel="0" collapsed="false">
      <c r="A472" s="12" t="n">
        <v>469</v>
      </c>
      <c r="B472" s="12" t="s">
        <v>1635</v>
      </c>
      <c r="C472" s="12" t="s">
        <v>1636</v>
      </c>
      <c r="D472" s="40" t="n">
        <v>13237</v>
      </c>
      <c r="E472" s="31" t="s">
        <v>195</v>
      </c>
      <c r="F472" s="12" t="str">
        <f aca="false">IFERROR(INDEX('Расчет Кплотн'!$C:$C,MATCH(E472,'Расчет Кплотн'!$A:$A,0)),"код не найден")</f>
        <v>Мунайлинский район</v>
      </c>
      <c r="G472" s="12" t="s">
        <v>503</v>
      </c>
      <c r="H472" s="12" t="s">
        <v>1637</v>
      </c>
      <c r="I472" s="12" t="s">
        <v>1638</v>
      </c>
    </row>
    <row r="473" customFormat="false" ht="15" hidden="false" customHeight="false" outlineLevel="0" collapsed="false">
      <c r="A473" s="12" t="n">
        <v>470</v>
      </c>
      <c r="B473" s="12" t="s">
        <v>1635</v>
      </c>
      <c r="C473" s="12" t="s">
        <v>1663</v>
      </c>
      <c r="D473" s="40" t="n">
        <v>3482</v>
      </c>
      <c r="E473" s="31" t="s">
        <v>194</v>
      </c>
      <c r="F473" s="12" t="str">
        <f aca="false">IFERROR(INDEX('Расчет Кплотн'!$C:$C,MATCH(E473,'Расчет Кплотн'!$A:$A,0)),"код не найден")</f>
        <v>Мангистауский район</v>
      </c>
      <c r="G473" s="12" t="s">
        <v>503</v>
      </c>
      <c r="H473" s="12" t="s">
        <v>1664</v>
      </c>
      <c r="I473" s="12" t="s">
        <v>1665</v>
      </c>
    </row>
    <row r="474" customFormat="false" ht="15" hidden="false" customHeight="false" outlineLevel="0" collapsed="false">
      <c r="A474" s="12" t="n">
        <v>471</v>
      </c>
      <c r="B474" s="12" t="s">
        <v>1635</v>
      </c>
      <c r="C474" s="12" t="s">
        <v>1672</v>
      </c>
      <c r="D474" s="40" t="n">
        <v>28584</v>
      </c>
      <c r="E474" s="31" t="s">
        <v>190</v>
      </c>
      <c r="F474" s="12" t="str">
        <f aca="false">IFERROR(INDEX('Расчет Кплотн'!$C:$C,MATCH(E474,'Расчет Кплотн'!$A:$A,0)),"код не найден")</f>
        <v>Актау</v>
      </c>
      <c r="G474" s="12" t="s">
        <v>503</v>
      </c>
      <c r="H474" s="12" t="s">
        <v>1673</v>
      </c>
      <c r="I474" s="12" t="s">
        <v>1644</v>
      </c>
    </row>
    <row r="475" customFormat="false" ht="15" hidden="false" customHeight="false" outlineLevel="0" collapsed="false">
      <c r="A475" s="12" t="n">
        <v>472</v>
      </c>
      <c r="B475" s="12" t="s">
        <v>1635</v>
      </c>
      <c r="C475" s="12" t="s">
        <v>1657</v>
      </c>
      <c r="D475" s="40" t="n">
        <v>6911</v>
      </c>
      <c r="E475" s="31" t="s">
        <v>196</v>
      </c>
      <c r="F475" s="12" t="str">
        <f aca="false">IFERROR(INDEX('Расчет Кплотн'!$C:$C,MATCH(E475,'Расчет Кплотн'!$A:$A,0)),"код не найден")</f>
        <v>Тупкараганский район</v>
      </c>
      <c r="G475" s="12" t="s">
        <v>503</v>
      </c>
      <c r="H475" s="12" t="s">
        <v>1658</v>
      </c>
      <c r="I475" s="12" t="s">
        <v>1659</v>
      </c>
    </row>
    <row r="476" customFormat="false" ht="15" hidden="false" customHeight="false" outlineLevel="0" collapsed="false">
      <c r="A476" s="12" t="n">
        <v>473</v>
      </c>
      <c r="B476" s="12" t="s">
        <v>1635</v>
      </c>
      <c r="C476" s="12" t="s">
        <v>1660</v>
      </c>
      <c r="D476" s="40" t="n">
        <v>15598</v>
      </c>
      <c r="E476" s="31" t="s">
        <v>191</v>
      </c>
      <c r="F476" s="12" t="str">
        <f aca="false">IFERROR(INDEX('Расчет Кплотн'!$C:$C,MATCH(E476,'Расчет Кплотн'!$A:$A,0)),"код не найден")</f>
        <v>Жанаозен</v>
      </c>
      <c r="G476" s="12" t="s">
        <v>503</v>
      </c>
      <c r="H476" s="12" t="s">
        <v>1661</v>
      </c>
      <c r="I476" s="12" t="s">
        <v>1662</v>
      </c>
    </row>
    <row r="477" customFormat="false" ht="15" hidden="false" customHeight="false" outlineLevel="0" collapsed="false">
      <c r="A477" s="12" t="n">
        <v>474</v>
      </c>
      <c r="B477" s="12" t="s">
        <v>1635</v>
      </c>
      <c r="C477" s="12" t="s">
        <v>1655</v>
      </c>
      <c r="D477" s="40" t="n">
        <v>8838</v>
      </c>
      <c r="E477" s="31" t="s">
        <v>190</v>
      </c>
      <c r="F477" s="12" t="str">
        <f aca="false">IFERROR(INDEX('Расчет Кплотн'!$C:$C,MATCH(E477,'Расчет Кплотн'!$A:$A,0)),"код не найден")</f>
        <v>Актау</v>
      </c>
      <c r="G477" s="12" t="s">
        <v>503</v>
      </c>
      <c r="H477" s="12" t="s">
        <v>1656</v>
      </c>
      <c r="I477" s="12" t="s">
        <v>1644</v>
      </c>
    </row>
    <row r="478" customFormat="false" ht="15" hidden="false" customHeight="false" outlineLevel="0" collapsed="false">
      <c r="A478" s="12" t="n">
        <v>475</v>
      </c>
      <c r="B478" s="12" t="s">
        <v>1635</v>
      </c>
      <c r="C478" s="12" t="s">
        <v>1668</v>
      </c>
      <c r="D478" s="40" t="n">
        <v>14866</v>
      </c>
      <c r="E478" s="31" t="s">
        <v>190</v>
      </c>
      <c r="F478" s="12" t="str">
        <f aca="false">IFERROR(INDEX('Расчет Кплотн'!$C:$C,MATCH(E478,'Расчет Кплотн'!$A:$A,0)),"код не найден")</f>
        <v>Актау</v>
      </c>
      <c r="G478" s="12" t="s">
        <v>503</v>
      </c>
      <c r="H478" s="12" t="s">
        <v>1669</v>
      </c>
      <c r="I478" s="12" t="s">
        <v>1644</v>
      </c>
    </row>
    <row r="479" customFormat="false" ht="15" hidden="false" customHeight="false" outlineLevel="0" collapsed="false">
      <c r="A479" s="12" t="n">
        <v>476</v>
      </c>
      <c r="B479" s="12" t="s">
        <v>1635</v>
      </c>
      <c r="C479" s="12" t="s">
        <v>1670</v>
      </c>
      <c r="D479" s="40" t="n">
        <v>62332</v>
      </c>
      <c r="E479" s="31" t="s">
        <v>190</v>
      </c>
      <c r="F479" s="12" t="str">
        <f aca="false">IFERROR(INDEX('Расчет Кплотн'!$C:$C,MATCH(E479,'Расчет Кплотн'!$A:$A,0)),"код не найден")</f>
        <v>Актау</v>
      </c>
      <c r="G479" s="12" t="s">
        <v>503</v>
      </c>
      <c r="H479" s="12" t="s">
        <v>1671</v>
      </c>
      <c r="I479" s="12" t="s">
        <v>1644</v>
      </c>
    </row>
    <row r="480" customFormat="false" ht="15" hidden="false" customHeight="false" outlineLevel="0" collapsed="false">
      <c r="A480" s="12" t="n">
        <v>477</v>
      </c>
      <c r="B480" s="12" t="s">
        <v>1635</v>
      </c>
      <c r="C480" s="12" t="s">
        <v>1653</v>
      </c>
      <c r="D480" s="40" t="n">
        <v>23346</v>
      </c>
      <c r="E480" s="31" t="s">
        <v>190</v>
      </c>
      <c r="F480" s="12" t="str">
        <f aca="false">IFERROR(INDEX('Расчет Кплотн'!$C:$C,MATCH(E480,'Расчет Кплотн'!$A:$A,0)),"код не найден")</f>
        <v>Актау</v>
      </c>
      <c r="G480" s="12" t="s">
        <v>503</v>
      </c>
      <c r="H480" s="12" t="s">
        <v>1654</v>
      </c>
      <c r="I480" s="12" t="s">
        <v>1644</v>
      </c>
    </row>
    <row r="481" customFormat="false" ht="15" hidden="false" customHeight="false" outlineLevel="0" collapsed="false">
      <c r="A481" s="12" t="n">
        <v>478</v>
      </c>
      <c r="B481" s="12" t="s">
        <v>1635</v>
      </c>
      <c r="C481" s="12" t="s">
        <v>1680</v>
      </c>
      <c r="D481" s="40" t="n">
        <v>6613</v>
      </c>
      <c r="E481" s="31" t="s">
        <v>195</v>
      </c>
      <c r="F481" s="12" t="str">
        <f aca="false">IFERROR(INDEX('Расчет Кплотн'!$C:$C,MATCH(E481,'Расчет Кплотн'!$A:$A,0)),"код не найден")</f>
        <v>Мунайлинский район</v>
      </c>
      <c r="G481" s="12" t="s">
        <v>503</v>
      </c>
      <c r="H481" s="12" t="s">
        <v>1681</v>
      </c>
      <c r="I481" s="12" t="s">
        <v>1652</v>
      </c>
    </row>
    <row r="482" customFormat="false" ht="15" hidden="false" customHeight="false" outlineLevel="0" collapsed="false">
      <c r="A482" s="12" t="n">
        <v>479</v>
      </c>
      <c r="B482" s="12" t="s">
        <v>1635</v>
      </c>
      <c r="C482" s="12" t="s">
        <v>1685</v>
      </c>
      <c r="D482" s="40" t="n">
        <v>43417</v>
      </c>
      <c r="E482" s="31" t="s">
        <v>191</v>
      </c>
      <c r="F482" s="12" t="str">
        <f aca="false">IFERROR(INDEX('Расчет Кплотн'!$C:$C,MATCH(E482,'Расчет Кплотн'!$A:$A,0)),"код не найден")</f>
        <v>Жанаозен</v>
      </c>
      <c r="G482" s="12" t="s">
        <v>503</v>
      </c>
      <c r="H482" s="12" t="s">
        <v>1686</v>
      </c>
      <c r="I482" s="12" t="s">
        <v>1687</v>
      </c>
    </row>
    <row r="483" customFormat="false" ht="15" hidden="false" customHeight="false" outlineLevel="0" collapsed="false">
      <c r="A483" s="12" t="n">
        <v>480</v>
      </c>
      <c r="B483" s="12" t="s">
        <v>1635</v>
      </c>
      <c r="C483" s="12" t="s">
        <v>1712</v>
      </c>
      <c r="D483" s="40" t="n">
        <v>5225</v>
      </c>
      <c r="E483" s="31" t="s">
        <v>190</v>
      </c>
      <c r="F483" s="12" t="str">
        <f aca="false">IFERROR(INDEX('Расчет Кплотн'!$C:$C,MATCH(E483,'Расчет Кплотн'!$A:$A,0)),"код не найден")</f>
        <v>Актау</v>
      </c>
      <c r="G483" s="12" t="s">
        <v>503</v>
      </c>
      <c r="H483" s="12" t="s">
        <v>1713</v>
      </c>
      <c r="I483" s="12" t="s">
        <v>1644</v>
      </c>
    </row>
    <row r="484" customFormat="false" ht="15" hidden="false" customHeight="false" outlineLevel="0" collapsed="false">
      <c r="A484" s="12" t="n">
        <v>481</v>
      </c>
      <c r="B484" s="12" t="s">
        <v>1635</v>
      </c>
      <c r="C484" s="12" t="s">
        <v>1678</v>
      </c>
      <c r="D484" s="40" t="n">
        <v>12186</v>
      </c>
      <c r="E484" s="31" t="s">
        <v>190</v>
      </c>
      <c r="F484" s="12" t="str">
        <f aca="false">IFERROR(INDEX('Расчет Кплотн'!$C:$C,MATCH(E484,'Расчет Кплотн'!$A:$A,0)),"код не найден")</f>
        <v>Актау</v>
      </c>
      <c r="G484" s="12" t="s">
        <v>503</v>
      </c>
      <c r="H484" s="12" t="s">
        <v>1679</v>
      </c>
      <c r="I484" s="12" t="s">
        <v>1644</v>
      </c>
    </row>
    <row r="485" customFormat="false" ht="15" hidden="false" customHeight="false" outlineLevel="0" collapsed="false">
      <c r="A485" s="12" t="n">
        <v>482</v>
      </c>
      <c r="B485" s="12" t="s">
        <v>1635</v>
      </c>
      <c r="C485" s="12" t="s">
        <v>1682</v>
      </c>
      <c r="D485" s="40" t="n">
        <v>36414</v>
      </c>
      <c r="E485" s="47" t="s">
        <v>191</v>
      </c>
      <c r="F485" s="12" t="str">
        <f aca="false">IFERROR(INDEX('Расчет Кплотн'!$C:$C,MATCH(E485,'Расчет Кплотн'!$A:$A,0)),"код не найден")</f>
        <v>Жанаозен</v>
      </c>
      <c r="G485" s="12" t="s">
        <v>1684</v>
      </c>
      <c r="H485" s="12" t="s">
        <v>1683</v>
      </c>
      <c r="I485" s="12" t="s">
        <v>1644</v>
      </c>
    </row>
    <row r="486" customFormat="false" ht="15" hidden="false" customHeight="false" outlineLevel="0" collapsed="false">
      <c r="A486" s="12" t="n">
        <v>483</v>
      </c>
      <c r="B486" s="12" t="s">
        <v>1635</v>
      </c>
      <c r="C486" s="12" t="s">
        <v>1676</v>
      </c>
      <c r="D486" s="40" t="n">
        <v>37786</v>
      </c>
      <c r="E486" s="31" t="s">
        <v>191</v>
      </c>
      <c r="F486" s="12" t="str">
        <f aca="false">IFERROR(INDEX('Расчет Кплотн'!$C:$C,MATCH(E486,'Расчет Кплотн'!$A:$A,0)),"код не найден")</f>
        <v>Жанаозен</v>
      </c>
      <c r="G486" s="12" t="s">
        <v>503</v>
      </c>
      <c r="H486" s="12" t="s">
        <v>1677</v>
      </c>
      <c r="I486" s="12" t="s">
        <v>1662</v>
      </c>
    </row>
    <row r="487" customFormat="false" ht="15" hidden="false" customHeight="false" outlineLevel="0" collapsed="false">
      <c r="A487" s="12" t="n">
        <v>484</v>
      </c>
      <c r="B487" s="12" t="s">
        <v>1635</v>
      </c>
      <c r="C487" s="12" t="s">
        <v>1688</v>
      </c>
      <c r="D487" s="40" t="n">
        <v>12383</v>
      </c>
      <c r="E487" s="31" t="s">
        <v>193</v>
      </c>
      <c r="F487" s="12" t="str">
        <f aca="false">IFERROR(INDEX('Расчет Кплотн'!$C:$C,MATCH(E487,'Расчет Кплотн'!$A:$A,0)),"код не найден")</f>
        <v>Каракиянский район</v>
      </c>
      <c r="G487" s="12" t="s">
        <v>503</v>
      </c>
      <c r="H487" s="12" t="s">
        <v>1689</v>
      </c>
      <c r="I487" s="12" t="s">
        <v>1641</v>
      </c>
    </row>
    <row r="488" customFormat="false" ht="15" hidden="false" customHeight="false" outlineLevel="0" collapsed="false">
      <c r="A488" s="12" t="n">
        <v>485</v>
      </c>
      <c r="B488" s="12" t="s">
        <v>1635</v>
      </c>
      <c r="C488" s="12" t="s">
        <v>1690</v>
      </c>
      <c r="D488" s="40" t="n">
        <v>15193</v>
      </c>
      <c r="E488" s="31" t="s">
        <v>193</v>
      </c>
      <c r="F488" s="12" t="str">
        <f aca="false">IFERROR(INDEX('Расчет Кплотн'!$C:$C,MATCH(E488,'Расчет Кплотн'!$A:$A,0)),"код не найден")</f>
        <v>Каракиянский район</v>
      </c>
      <c r="G488" s="12" t="s">
        <v>503</v>
      </c>
      <c r="H488" s="12" t="s">
        <v>1691</v>
      </c>
      <c r="I488" s="12" t="s">
        <v>1692</v>
      </c>
    </row>
    <row r="489" customFormat="false" ht="15" hidden="false" customHeight="false" outlineLevel="0" collapsed="false">
      <c r="A489" s="12" t="n">
        <v>486</v>
      </c>
      <c r="B489" s="12" t="s">
        <v>1635</v>
      </c>
      <c r="C489" s="12" t="s">
        <v>1693</v>
      </c>
      <c r="D489" s="40" t="n">
        <v>27342</v>
      </c>
      <c r="E489" s="31" t="s">
        <v>194</v>
      </c>
      <c r="F489" s="12" t="str">
        <f aca="false">IFERROR(INDEX('Расчет Кплотн'!$C:$C,MATCH(E489,'Расчет Кплотн'!$A:$A,0)),"код не найден")</f>
        <v>Мангистауский район</v>
      </c>
      <c r="G489" s="12" t="s">
        <v>503</v>
      </c>
      <c r="H489" s="12" t="s">
        <v>1694</v>
      </c>
      <c r="I489" s="12" t="s">
        <v>1665</v>
      </c>
    </row>
    <row r="490" customFormat="false" ht="15" hidden="false" customHeight="false" outlineLevel="0" collapsed="false">
      <c r="A490" s="12" t="n">
        <v>487</v>
      </c>
      <c r="B490" s="12" t="s">
        <v>1635</v>
      </c>
      <c r="C490" s="12" t="s">
        <v>1695</v>
      </c>
      <c r="D490" s="40" t="n">
        <v>54624</v>
      </c>
      <c r="E490" s="31" t="s">
        <v>192</v>
      </c>
      <c r="F490" s="12" t="str">
        <f aca="false">IFERROR(INDEX('Расчет Кплотн'!$C:$C,MATCH(E490,'Расчет Кплотн'!$A:$A,0)),"код не найден")</f>
        <v>Бейнеуский район</v>
      </c>
      <c r="G490" s="12" t="s">
        <v>503</v>
      </c>
      <c r="H490" s="12" t="s">
        <v>1696</v>
      </c>
      <c r="I490" s="12" t="s">
        <v>1697</v>
      </c>
    </row>
    <row r="491" customFormat="false" ht="15" hidden="false" customHeight="false" outlineLevel="0" collapsed="false">
      <c r="A491" s="12" t="n">
        <v>488</v>
      </c>
      <c r="B491" s="12" t="s">
        <v>1635</v>
      </c>
      <c r="C491" s="12" t="s">
        <v>1698</v>
      </c>
      <c r="D491" s="40" t="n">
        <v>53278</v>
      </c>
      <c r="E491" s="31" t="s">
        <v>190</v>
      </c>
      <c r="F491" s="12" t="str">
        <f aca="false">IFERROR(INDEX('Расчет Кплотн'!$C:$C,MATCH(E491,'Расчет Кплотн'!$A:$A,0)),"код не найден")</f>
        <v>Актау</v>
      </c>
      <c r="G491" s="12" t="s">
        <v>503</v>
      </c>
      <c r="H491" s="12" t="s">
        <v>1699</v>
      </c>
      <c r="I491" s="12" t="s">
        <v>1644</v>
      </c>
    </row>
    <row r="492" customFormat="false" ht="15" hidden="false" customHeight="false" outlineLevel="0" collapsed="false">
      <c r="A492" s="12" t="n">
        <v>489</v>
      </c>
      <c r="B492" s="12" t="s">
        <v>1635</v>
      </c>
      <c r="C492" s="12" t="s">
        <v>1700</v>
      </c>
      <c r="D492" s="40" t="n">
        <v>26144</v>
      </c>
      <c r="E492" s="31" t="s">
        <v>196</v>
      </c>
      <c r="F492" s="12" t="str">
        <f aca="false">IFERROR(INDEX('Расчет Кплотн'!$C:$C,MATCH(E492,'Расчет Кплотн'!$A:$A,0)),"код не найден")</f>
        <v>Тупкараганский район</v>
      </c>
      <c r="G492" s="12" t="s">
        <v>503</v>
      </c>
      <c r="H492" s="12" t="s">
        <v>1701</v>
      </c>
      <c r="I492" s="12" t="s">
        <v>1702</v>
      </c>
    </row>
    <row r="493" customFormat="false" ht="15" hidden="false" customHeight="false" outlineLevel="0" collapsed="false">
      <c r="A493" s="12" t="n">
        <v>490</v>
      </c>
      <c r="B493" s="12" t="s">
        <v>1635</v>
      </c>
      <c r="C493" s="12" t="s">
        <v>1703</v>
      </c>
      <c r="D493" s="40" t="n">
        <v>105737</v>
      </c>
      <c r="E493" s="31" t="s">
        <v>195</v>
      </c>
      <c r="F493" s="12" t="str">
        <f aca="false">IFERROR(INDEX('Расчет Кплотн'!$C:$C,MATCH(E493,'Расчет Кплотн'!$A:$A,0)),"код не найден")</f>
        <v>Мунайлинский район</v>
      </c>
      <c r="G493" s="12" t="s">
        <v>503</v>
      </c>
      <c r="H493" s="12" t="s">
        <v>1704</v>
      </c>
      <c r="I493" s="12" t="s">
        <v>1705</v>
      </c>
    </row>
    <row r="494" customFormat="false" ht="15" hidden="false" customHeight="false" outlineLevel="0" collapsed="false">
      <c r="A494" s="12" t="n">
        <v>491</v>
      </c>
      <c r="B494" s="12" t="s">
        <v>1635</v>
      </c>
      <c r="C494" s="12" t="s">
        <v>1706</v>
      </c>
      <c r="D494" s="40" t="n">
        <v>25587</v>
      </c>
      <c r="E494" s="31" t="s">
        <v>190</v>
      </c>
      <c r="F494" s="12" t="str">
        <f aca="false">IFERROR(INDEX('Расчет Кплотн'!$C:$C,MATCH(E494,'Расчет Кплотн'!$A:$A,0)),"код не найден")</f>
        <v>Актау</v>
      </c>
      <c r="G494" s="12" t="s">
        <v>503</v>
      </c>
      <c r="H494" s="12" t="s">
        <v>1707</v>
      </c>
      <c r="I494" s="12" t="s">
        <v>1644</v>
      </c>
    </row>
    <row r="495" customFormat="false" ht="15" hidden="false" customHeight="false" outlineLevel="0" collapsed="false">
      <c r="A495" s="12" t="n">
        <v>492</v>
      </c>
      <c r="B495" s="12" t="s">
        <v>1635</v>
      </c>
      <c r="C495" s="12" t="s">
        <v>1708</v>
      </c>
      <c r="D495" s="40" t="n">
        <v>10574</v>
      </c>
      <c r="E495" s="31" t="s">
        <v>190</v>
      </c>
      <c r="F495" s="12" t="str">
        <f aca="false">IFERROR(INDEX('Расчет Кплотн'!$C:$C,MATCH(E495,'Расчет Кплотн'!$A:$A,0)),"код не найден")</f>
        <v>Актау</v>
      </c>
      <c r="G495" s="12" t="s">
        <v>503</v>
      </c>
      <c r="H495" s="12" t="s">
        <v>1709</v>
      </c>
      <c r="I495" s="12" t="s">
        <v>1644</v>
      </c>
    </row>
    <row r="496" customFormat="false" ht="15" hidden="false" customHeight="false" outlineLevel="0" collapsed="false">
      <c r="A496" s="12" t="n">
        <v>493</v>
      </c>
      <c r="B496" s="12" t="s">
        <v>1635</v>
      </c>
      <c r="C496" s="12" t="s">
        <v>2420</v>
      </c>
      <c r="D496" s="40" t="n">
        <v>2637</v>
      </c>
      <c r="E496" s="31" t="s">
        <v>192</v>
      </c>
      <c r="F496" s="12" t="str">
        <f aca="false">IFERROR(INDEX('Расчет Кплотн'!$C:$C,MATCH(E496,'Расчет Кплотн'!$A:$A,0)),"код не найден")</f>
        <v>Бейнеуский район</v>
      </c>
      <c r="G496" s="12" t="s">
        <v>503</v>
      </c>
      <c r="H496" s="12" t="s">
        <v>2421</v>
      </c>
      <c r="I496" s="12" t="s">
        <v>2422</v>
      </c>
    </row>
    <row r="497" customFormat="false" ht="15" hidden="false" customHeight="false" outlineLevel="0" collapsed="false">
      <c r="A497" s="12" t="n">
        <v>494</v>
      </c>
      <c r="B497" s="12" t="s">
        <v>1635</v>
      </c>
      <c r="C497" s="12" t="s">
        <v>1710</v>
      </c>
      <c r="D497" s="40" t="n">
        <v>3934</v>
      </c>
      <c r="E497" s="31" t="s">
        <v>190</v>
      </c>
      <c r="F497" s="12" t="str">
        <f aca="false">IFERROR(INDEX('Расчет Кплотн'!$C:$C,MATCH(E497,'Расчет Кплотн'!$A:$A,0)),"код не найден")</f>
        <v>Актау</v>
      </c>
      <c r="G497" s="12" t="s">
        <v>503</v>
      </c>
      <c r="H497" s="12" t="s">
        <v>1711</v>
      </c>
      <c r="I497" s="12" t="s">
        <v>1644</v>
      </c>
    </row>
    <row r="498" customFormat="false" ht="15" hidden="false" customHeight="false" outlineLevel="0" collapsed="false">
      <c r="A498" s="12" t="n">
        <v>495</v>
      </c>
      <c r="B498" s="12" t="s">
        <v>1635</v>
      </c>
      <c r="C498" s="12" t="s">
        <v>1714</v>
      </c>
      <c r="D498" s="40" t="n">
        <v>60642</v>
      </c>
      <c r="E498" s="31" t="s">
        <v>190</v>
      </c>
      <c r="F498" s="12" t="str">
        <f aca="false">IFERROR(INDEX('Расчет Кплотн'!$C:$C,MATCH(E498,'Расчет Кплотн'!$A:$A,0)),"код не найден")</f>
        <v>Актау</v>
      </c>
      <c r="G498" s="12" t="s">
        <v>503</v>
      </c>
      <c r="H498" s="12" t="s">
        <v>1715</v>
      </c>
      <c r="I498" s="12" t="s">
        <v>1644</v>
      </c>
    </row>
    <row r="499" customFormat="false" ht="15" hidden="false" customHeight="false" outlineLevel="0" collapsed="false">
      <c r="A499" s="12" t="n">
        <v>496</v>
      </c>
      <c r="B499" s="12" t="s">
        <v>1716</v>
      </c>
      <c r="C499" s="12" t="s">
        <v>1720</v>
      </c>
      <c r="D499" s="40" t="n">
        <v>6503</v>
      </c>
      <c r="E499" s="31" t="s">
        <v>197</v>
      </c>
      <c r="F499" s="12" t="str">
        <f aca="false">IFERROR(INDEX('Расчет Кплотн'!$C:$C,MATCH(E499,'Расчет Кплотн'!$A:$A,0)),"код не найден")</f>
        <v>Павлодар</v>
      </c>
      <c r="G499" s="12" t="s">
        <v>503</v>
      </c>
      <c r="H499" s="12" t="s">
        <v>1721</v>
      </c>
      <c r="I499" s="12" t="s">
        <v>875</v>
      </c>
    </row>
    <row r="500" customFormat="false" ht="15" hidden="false" customHeight="false" outlineLevel="0" collapsed="false">
      <c r="A500" s="12" t="n">
        <v>497</v>
      </c>
      <c r="B500" s="12" t="s">
        <v>1716</v>
      </c>
      <c r="C500" s="12" t="s">
        <v>1722</v>
      </c>
      <c r="D500" s="40" t="n">
        <v>23225</v>
      </c>
      <c r="E500" s="31" t="s">
        <v>197</v>
      </c>
      <c r="F500" s="12" t="str">
        <f aca="false">IFERROR(INDEX('Расчет Кплотн'!$C:$C,MATCH(E500,'Расчет Кплотн'!$A:$A,0)),"код не найден")</f>
        <v>Павлодар</v>
      </c>
      <c r="G500" s="12" t="s">
        <v>503</v>
      </c>
      <c r="H500" s="12" t="s">
        <v>1723</v>
      </c>
      <c r="I500" s="12" t="s">
        <v>875</v>
      </c>
    </row>
    <row r="501" customFormat="false" ht="15" hidden="false" customHeight="false" outlineLevel="0" collapsed="false">
      <c r="A501" s="12" t="n">
        <v>498</v>
      </c>
      <c r="B501" s="12" t="s">
        <v>1716</v>
      </c>
      <c r="C501" s="12" t="s">
        <v>1724</v>
      </c>
      <c r="D501" s="40" t="n">
        <v>9044</v>
      </c>
      <c r="E501" s="31" t="s">
        <v>197</v>
      </c>
      <c r="F501" s="12" t="str">
        <f aca="false">IFERROR(INDEX('Расчет Кплотн'!$C:$C,MATCH(E501,'Расчет Кплотн'!$A:$A,0)),"код не найден")</f>
        <v>Павлодар</v>
      </c>
      <c r="G501" s="12" t="s">
        <v>503</v>
      </c>
      <c r="H501" s="12" t="s">
        <v>1725</v>
      </c>
      <c r="I501" s="12" t="s">
        <v>875</v>
      </c>
    </row>
    <row r="502" customFormat="false" ht="15" hidden="false" customHeight="false" outlineLevel="0" collapsed="false">
      <c r="A502" s="12" t="n">
        <v>499</v>
      </c>
      <c r="B502" s="12" t="s">
        <v>1716</v>
      </c>
      <c r="C502" s="12" t="s">
        <v>1726</v>
      </c>
      <c r="D502" s="40" t="n">
        <v>10740</v>
      </c>
      <c r="E502" s="31" t="s">
        <v>197</v>
      </c>
      <c r="F502" s="12" t="str">
        <f aca="false">IFERROR(INDEX('Расчет Кплотн'!$C:$C,MATCH(E502,'Расчет Кплотн'!$A:$A,0)),"код не найден")</f>
        <v>Павлодар</v>
      </c>
      <c r="G502" s="12" t="s">
        <v>503</v>
      </c>
      <c r="H502" s="12" t="s">
        <v>1727</v>
      </c>
      <c r="I502" s="12" t="s">
        <v>875</v>
      </c>
    </row>
    <row r="503" customFormat="false" ht="15" hidden="false" customHeight="false" outlineLevel="0" collapsed="false">
      <c r="A503" s="12" t="n">
        <v>500</v>
      </c>
      <c r="B503" s="12" t="s">
        <v>1716</v>
      </c>
      <c r="C503" s="12" t="s">
        <v>1742</v>
      </c>
      <c r="D503" s="40" t="n">
        <v>62407</v>
      </c>
      <c r="E503" s="31" t="s">
        <v>197</v>
      </c>
      <c r="F503" s="12" t="str">
        <f aca="false">IFERROR(INDEX('Расчет Кплотн'!$C:$C,MATCH(E503,'Расчет Кплотн'!$A:$A,0)),"код не найден")</f>
        <v>Павлодар</v>
      </c>
      <c r="G503" s="12" t="s">
        <v>503</v>
      </c>
      <c r="H503" s="12" t="s">
        <v>1743</v>
      </c>
      <c r="I503" s="12" t="s">
        <v>875</v>
      </c>
    </row>
    <row r="504" customFormat="false" ht="15" hidden="false" customHeight="false" outlineLevel="0" collapsed="false">
      <c r="A504" s="12" t="n">
        <v>501</v>
      </c>
      <c r="B504" s="12" t="s">
        <v>1716</v>
      </c>
      <c r="C504" s="12" t="s">
        <v>1735</v>
      </c>
      <c r="D504" s="40" t="n">
        <v>2898</v>
      </c>
      <c r="E504" s="31" t="s">
        <v>197</v>
      </c>
      <c r="F504" s="12" t="str">
        <f aca="false">IFERROR(INDEX('Расчет Кплотн'!$C:$C,MATCH(E504,'Расчет Кплотн'!$A:$A,0)),"код не найден")</f>
        <v>Павлодар</v>
      </c>
      <c r="G504" s="12" t="s">
        <v>503</v>
      </c>
      <c r="H504" s="12" t="s">
        <v>1736</v>
      </c>
      <c r="I504" s="12" t="s">
        <v>875</v>
      </c>
    </row>
    <row r="505" customFormat="false" ht="15" hidden="false" customHeight="false" outlineLevel="0" collapsed="false">
      <c r="A505" s="12" t="n">
        <v>502</v>
      </c>
      <c r="B505" s="12" t="s">
        <v>1716</v>
      </c>
      <c r="C505" s="12" t="s">
        <v>1732</v>
      </c>
      <c r="D505" s="40" t="n">
        <v>6877</v>
      </c>
      <c r="E505" s="31" t="s">
        <v>198</v>
      </c>
      <c r="F505" s="12" t="str">
        <f aca="false">IFERROR(INDEX('Расчет Кплотн'!$C:$C,MATCH(E505,'Расчет Кплотн'!$A:$A,0)),"код не найден")</f>
        <v>Аксу</v>
      </c>
      <c r="G505" s="12" t="s">
        <v>503</v>
      </c>
      <c r="H505" s="12" t="s">
        <v>1733</v>
      </c>
      <c r="I505" s="12" t="s">
        <v>1734</v>
      </c>
    </row>
    <row r="506" customFormat="false" ht="15" hidden="false" customHeight="false" outlineLevel="0" collapsed="false">
      <c r="A506" s="12" t="n">
        <v>503</v>
      </c>
      <c r="B506" s="12" t="s">
        <v>1716</v>
      </c>
      <c r="C506" s="12" t="s">
        <v>1728</v>
      </c>
      <c r="D506" s="40" t="n">
        <v>7060</v>
      </c>
      <c r="E506" s="31" t="s">
        <v>197</v>
      </c>
      <c r="F506" s="12" t="str">
        <f aca="false">IFERROR(INDEX('Расчет Кплотн'!$C:$C,MATCH(E506,'Расчет Кплотн'!$A:$A,0)),"код не найден")</f>
        <v>Павлодар</v>
      </c>
      <c r="G506" s="12" t="s">
        <v>503</v>
      </c>
      <c r="H506" s="12" t="s">
        <v>1729</v>
      </c>
      <c r="I506" s="12" t="s">
        <v>875</v>
      </c>
    </row>
    <row r="507" customFormat="false" ht="15" hidden="false" customHeight="false" outlineLevel="0" collapsed="false">
      <c r="A507" s="12" t="n">
        <v>504</v>
      </c>
      <c r="B507" s="12" t="s">
        <v>1716</v>
      </c>
      <c r="C507" s="12" t="s">
        <v>2423</v>
      </c>
      <c r="D507" s="40" t="n">
        <v>100570</v>
      </c>
      <c r="E507" s="31" t="s">
        <v>199</v>
      </c>
      <c r="F507" s="12" t="str">
        <f aca="false">IFERROR(INDEX('Расчет Кплотн'!$C:$C,MATCH(E507,'Расчет Кплотн'!$A:$A,0)),"код не найден")</f>
        <v>Экибастуз</v>
      </c>
      <c r="G507" s="12" t="s">
        <v>503</v>
      </c>
      <c r="H507" s="12" t="s">
        <v>2424</v>
      </c>
      <c r="I507" s="12" t="s">
        <v>1741</v>
      </c>
    </row>
    <row r="508" customFormat="false" ht="15" hidden="false" customHeight="false" outlineLevel="0" collapsed="false">
      <c r="A508" s="12" t="n">
        <v>505</v>
      </c>
      <c r="B508" s="12" t="s">
        <v>1716</v>
      </c>
      <c r="C508" s="12" t="s">
        <v>1737</v>
      </c>
      <c r="D508" s="40" t="n">
        <v>10164</v>
      </c>
      <c r="E508" s="31" t="s">
        <v>197</v>
      </c>
      <c r="F508" s="12" t="str">
        <f aca="false">IFERROR(INDEX('Расчет Кплотн'!$C:$C,MATCH(E508,'Расчет Кплотн'!$A:$A,0)),"код не найден")</f>
        <v>Павлодар</v>
      </c>
      <c r="G508" s="12" t="s">
        <v>503</v>
      </c>
      <c r="H508" s="12" t="s">
        <v>1738</v>
      </c>
      <c r="I508" s="12" t="s">
        <v>875</v>
      </c>
    </row>
    <row r="509" customFormat="false" ht="15" hidden="false" customHeight="false" outlineLevel="0" collapsed="false">
      <c r="A509" s="12" t="n">
        <v>506</v>
      </c>
      <c r="B509" s="12" t="s">
        <v>1716</v>
      </c>
      <c r="C509" s="12" t="s">
        <v>1717</v>
      </c>
      <c r="D509" s="40" t="n">
        <v>5898</v>
      </c>
      <c r="E509" s="31" t="s">
        <v>197</v>
      </c>
      <c r="F509" s="12" t="str">
        <f aca="false">IFERROR(INDEX('Расчет Кплотн'!$C:$C,MATCH(E509,'Расчет Кплотн'!$A:$A,0)),"код не найден")</f>
        <v>Павлодар</v>
      </c>
      <c r="G509" s="12" t="s">
        <v>503</v>
      </c>
      <c r="H509" s="12" t="s">
        <v>1718</v>
      </c>
      <c r="I509" s="12" t="s">
        <v>1719</v>
      </c>
    </row>
    <row r="510" customFormat="false" ht="15" hidden="false" customHeight="false" outlineLevel="0" collapsed="false">
      <c r="A510" s="12" t="n">
        <v>507</v>
      </c>
      <c r="B510" s="12" t="s">
        <v>1716</v>
      </c>
      <c r="C510" s="12" t="s">
        <v>1730</v>
      </c>
      <c r="D510" s="40" t="n">
        <v>67639</v>
      </c>
      <c r="E510" s="31" t="s">
        <v>197</v>
      </c>
      <c r="F510" s="12" t="str">
        <f aca="false">IFERROR(INDEX('Расчет Кплотн'!$C:$C,MATCH(E510,'Расчет Кплотн'!$A:$A,0)),"код не найден")</f>
        <v>Павлодар</v>
      </c>
      <c r="G510" s="12" t="s">
        <v>503</v>
      </c>
      <c r="H510" s="12" t="s">
        <v>1731</v>
      </c>
      <c r="I510" s="12" t="s">
        <v>875</v>
      </c>
    </row>
    <row r="511" customFormat="false" ht="15" hidden="false" customHeight="false" outlineLevel="0" collapsed="false">
      <c r="A511" s="12" t="n">
        <v>508</v>
      </c>
      <c r="B511" s="12" t="s">
        <v>1716</v>
      </c>
      <c r="C511" s="12" t="s">
        <v>1739</v>
      </c>
      <c r="D511" s="40" t="n">
        <v>43039</v>
      </c>
      <c r="E511" s="31" t="s">
        <v>199</v>
      </c>
      <c r="F511" s="12" t="str">
        <f aca="false">IFERROR(INDEX('Расчет Кплотн'!$C:$C,MATCH(E511,'Расчет Кплотн'!$A:$A,0)),"код не найден")</f>
        <v>Экибастуз</v>
      </c>
      <c r="G511" s="12" t="s">
        <v>503</v>
      </c>
      <c r="H511" s="12" t="s">
        <v>1740</v>
      </c>
      <c r="I511" s="12" t="s">
        <v>1741</v>
      </c>
    </row>
    <row r="512" customFormat="false" ht="15" hidden="false" customHeight="false" outlineLevel="0" collapsed="false">
      <c r="A512" s="12" t="n">
        <v>509</v>
      </c>
      <c r="B512" s="12" t="s">
        <v>1716</v>
      </c>
      <c r="C512" s="12" t="s">
        <v>1746</v>
      </c>
      <c r="D512" s="40" t="n">
        <v>20326</v>
      </c>
      <c r="E512" s="31" t="s">
        <v>197</v>
      </c>
      <c r="F512" s="12" t="str">
        <f aca="false">IFERROR(INDEX('Расчет Кплотн'!$C:$C,MATCH(E512,'Расчет Кплотн'!$A:$A,0)),"код не найден")</f>
        <v>Павлодар</v>
      </c>
      <c r="G512" s="12" t="s">
        <v>503</v>
      </c>
      <c r="H512" s="12" t="s">
        <v>1747</v>
      </c>
      <c r="I512" s="12" t="s">
        <v>875</v>
      </c>
    </row>
    <row r="513" customFormat="false" ht="15" hidden="false" customHeight="false" outlineLevel="0" collapsed="false">
      <c r="A513" s="12" t="n">
        <v>510</v>
      </c>
      <c r="B513" s="12" t="s">
        <v>1716</v>
      </c>
      <c r="C513" s="12" t="s">
        <v>1750</v>
      </c>
      <c r="D513" s="40" t="n">
        <v>12168</v>
      </c>
      <c r="E513" s="31" t="s">
        <v>202</v>
      </c>
      <c r="F513" s="12" t="str">
        <f aca="false">IFERROR(INDEX('Расчет Кплотн'!$C:$C,MATCH(E513,'Расчет Кплотн'!$A:$A,0)),"код не найден")</f>
        <v>Железинский район</v>
      </c>
      <c r="G513" s="12" t="s">
        <v>503</v>
      </c>
      <c r="H513" s="12" t="s">
        <v>1751</v>
      </c>
      <c r="I513" s="12" t="s">
        <v>1752</v>
      </c>
    </row>
    <row r="514" customFormat="false" ht="15" hidden="false" customHeight="false" outlineLevel="0" collapsed="false">
      <c r="A514" s="12" t="n">
        <v>511</v>
      </c>
      <c r="B514" s="12" t="s">
        <v>1716</v>
      </c>
      <c r="C514" s="12" t="s">
        <v>1753</v>
      </c>
      <c r="D514" s="40" t="n">
        <v>51489</v>
      </c>
      <c r="E514" s="31" t="s">
        <v>197</v>
      </c>
      <c r="F514" s="12" t="str">
        <f aca="false">IFERROR(INDEX('Расчет Кплотн'!$C:$C,MATCH(E514,'Расчет Кплотн'!$A:$A,0)),"код не найден")</f>
        <v>Павлодар</v>
      </c>
      <c r="G514" s="12" t="s">
        <v>503</v>
      </c>
      <c r="H514" s="12" t="s">
        <v>1754</v>
      </c>
      <c r="I514" s="12" t="s">
        <v>875</v>
      </c>
    </row>
    <row r="515" customFormat="false" ht="15" hidden="false" customHeight="false" outlineLevel="0" collapsed="false">
      <c r="A515" s="12" t="n">
        <v>512</v>
      </c>
      <c r="B515" s="12" t="s">
        <v>1716</v>
      </c>
      <c r="C515" s="12" t="s">
        <v>1744</v>
      </c>
      <c r="D515" s="40" t="n">
        <v>63926</v>
      </c>
      <c r="E515" s="31" t="s">
        <v>197</v>
      </c>
      <c r="F515" s="12" t="str">
        <f aca="false">IFERROR(INDEX('Расчет Кплотн'!$C:$C,MATCH(E515,'Расчет Кплотн'!$A:$A,0)),"код не найден")</f>
        <v>Павлодар</v>
      </c>
      <c r="G515" s="12" t="s">
        <v>503</v>
      </c>
      <c r="H515" s="12" t="s">
        <v>1745</v>
      </c>
      <c r="I515" s="12" t="s">
        <v>875</v>
      </c>
    </row>
    <row r="516" customFormat="false" ht="15" hidden="false" customHeight="false" outlineLevel="0" collapsed="false">
      <c r="A516" s="12" t="n">
        <v>513</v>
      </c>
      <c r="B516" s="12" t="s">
        <v>1716</v>
      </c>
      <c r="C516" s="12" t="s">
        <v>1755</v>
      </c>
      <c r="D516" s="40" t="n">
        <v>16083</v>
      </c>
      <c r="E516" s="31" t="s">
        <v>209</v>
      </c>
      <c r="F516" s="12" t="str">
        <f aca="false">IFERROR(INDEX('Расчет Кплотн'!$C:$C,MATCH(E516,'Расчет Кплотн'!$A:$A,0)),"код не найден")</f>
        <v>Щербактинский район</v>
      </c>
      <c r="G516" s="12" t="s">
        <v>503</v>
      </c>
      <c r="H516" s="12" t="s">
        <v>1756</v>
      </c>
      <c r="I516" s="12" t="s">
        <v>1757</v>
      </c>
    </row>
    <row r="517" customFormat="false" ht="15" hidden="false" customHeight="false" outlineLevel="0" collapsed="false">
      <c r="A517" s="12" t="n">
        <v>514</v>
      </c>
      <c r="B517" s="12" t="s">
        <v>1716</v>
      </c>
      <c r="C517" s="12" t="s">
        <v>1758</v>
      </c>
      <c r="D517" s="40" t="n">
        <v>9614</v>
      </c>
      <c r="E517" s="31" t="s">
        <v>200</v>
      </c>
      <c r="F517" s="12" t="str">
        <f aca="false">IFERROR(INDEX('Расчет Кплотн'!$C:$C,MATCH(E517,'Расчет Кплотн'!$A:$A,0)),"код не найден")</f>
        <v>Актогайский район</v>
      </c>
      <c r="G517" s="12" t="s">
        <v>503</v>
      </c>
      <c r="H517" s="12" t="s">
        <v>1759</v>
      </c>
      <c r="I517" s="12" t="s">
        <v>1760</v>
      </c>
    </row>
    <row r="518" customFormat="false" ht="15" hidden="false" customHeight="false" outlineLevel="0" collapsed="false">
      <c r="A518" s="12" t="n">
        <v>515</v>
      </c>
      <c r="B518" s="12" t="s">
        <v>1716</v>
      </c>
      <c r="C518" s="12" t="s">
        <v>1761</v>
      </c>
      <c r="D518" s="40" t="n">
        <v>19924</v>
      </c>
      <c r="E518" s="31" t="s">
        <v>201</v>
      </c>
      <c r="F518" s="12" t="str">
        <f aca="false">IFERROR(INDEX('Расчет Кплотн'!$C:$C,MATCH(E518,'Расчет Кплотн'!$A:$A,0)),"код не найден")</f>
        <v>Баянаульский район</v>
      </c>
      <c r="G518" s="12" t="s">
        <v>503</v>
      </c>
      <c r="H518" s="12" t="s">
        <v>1762</v>
      </c>
      <c r="I518" s="12" t="s">
        <v>1763</v>
      </c>
    </row>
    <row r="519" customFormat="false" ht="15" hidden="false" customHeight="false" outlineLevel="0" collapsed="false">
      <c r="A519" s="12" t="n">
        <v>516</v>
      </c>
      <c r="B519" s="12" t="s">
        <v>1716</v>
      </c>
      <c r="C519" s="12" t="s">
        <v>1781</v>
      </c>
      <c r="D519" s="40" t="n">
        <v>9350</v>
      </c>
      <c r="E519" s="31" t="s">
        <v>205</v>
      </c>
      <c r="F519" s="12" t="str">
        <f aca="false">IFERROR(INDEX('Расчет Кплотн'!$C:$C,MATCH(E519,'Расчет Кплотн'!$A:$A,0)),"код не найден")</f>
        <v>район Аққулы</v>
      </c>
      <c r="G519" s="12" t="s">
        <v>503</v>
      </c>
      <c r="H519" s="12" t="s">
        <v>1782</v>
      </c>
      <c r="I519" s="12" t="s">
        <v>1783</v>
      </c>
    </row>
    <row r="520" customFormat="false" ht="15" hidden="false" customHeight="false" outlineLevel="0" collapsed="false">
      <c r="A520" s="12" t="n">
        <v>517</v>
      </c>
      <c r="B520" s="12" t="s">
        <v>1716</v>
      </c>
      <c r="C520" s="12" t="s">
        <v>1764</v>
      </c>
      <c r="D520" s="40" t="n">
        <v>10577</v>
      </c>
      <c r="E520" s="31" t="s">
        <v>208</v>
      </c>
      <c r="F520" s="12" t="str">
        <f aca="false">IFERROR(INDEX('Расчет Кплотн'!$C:$C,MATCH(E520,'Расчет Кплотн'!$A:$A,0)),"код не найден")</f>
        <v>Успенский район</v>
      </c>
      <c r="G520" s="12" t="s">
        <v>503</v>
      </c>
      <c r="H520" s="12" t="s">
        <v>1765</v>
      </c>
      <c r="I520" s="12" t="s">
        <v>1766</v>
      </c>
    </row>
    <row r="521" customFormat="false" ht="15" hidden="false" customHeight="false" outlineLevel="0" collapsed="false">
      <c r="A521" s="12" t="n">
        <v>518</v>
      </c>
      <c r="B521" s="12" t="s">
        <v>1716</v>
      </c>
      <c r="C521" s="12" t="s">
        <v>1770</v>
      </c>
      <c r="D521" s="40" t="n">
        <v>8134</v>
      </c>
      <c r="E521" s="31" t="s">
        <v>206</v>
      </c>
      <c r="F521" s="12" t="str">
        <f aca="false">IFERROR(INDEX('Расчет Кплотн'!$C:$C,MATCH(E521,'Расчет Кплотн'!$A:$A,0)),"код не найден")</f>
        <v>Майский район</v>
      </c>
      <c r="G521" s="12" t="s">
        <v>503</v>
      </c>
      <c r="H521" s="12" t="s">
        <v>1771</v>
      </c>
      <c r="I521" s="12" t="s">
        <v>1772</v>
      </c>
    </row>
    <row r="522" customFormat="false" ht="15" hidden="false" customHeight="false" outlineLevel="0" collapsed="false">
      <c r="A522" s="12" t="n">
        <v>519</v>
      </c>
      <c r="B522" s="12" t="s">
        <v>1716</v>
      </c>
      <c r="C522" s="12" t="s">
        <v>1773</v>
      </c>
      <c r="D522" s="40" t="n">
        <v>50874</v>
      </c>
      <c r="E522" s="31" t="s">
        <v>197</v>
      </c>
      <c r="F522" s="12" t="str">
        <f aca="false">IFERROR(INDEX('Расчет Кплотн'!$C:$C,MATCH(E522,'Расчет Кплотн'!$A:$A,0)),"код не найден")</f>
        <v>Павлодар</v>
      </c>
      <c r="G522" s="12" t="s">
        <v>503</v>
      </c>
      <c r="H522" s="12" t="s">
        <v>1774</v>
      </c>
      <c r="I522" s="12" t="s">
        <v>875</v>
      </c>
    </row>
    <row r="523" customFormat="false" ht="15" hidden="false" customHeight="false" outlineLevel="0" collapsed="false">
      <c r="A523" s="12" t="n">
        <v>520</v>
      </c>
      <c r="B523" s="12" t="s">
        <v>1716</v>
      </c>
      <c r="C523" s="12" t="s">
        <v>1775</v>
      </c>
      <c r="D523" s="40" t="n">
        <v>23097</v>
      </c>
      <c r="E523" s="47" t="s">
        <v>207</v>
      </c>
      <c r="F523" s="12" t="str">
        <f aca="false">IFERROR(INDEX('Расчет Кплотн'!$C:$C,MATCH(E523,'Расчет Кплотн'!$A:$A,0)),"код не найден")</f>
        <v>Павлодарский район</v>
      </c>
      <c r="G523" s="12" t="s">
        <v>1777</v>
      </c>
      <c r="H523" s="12" t="s">
        <v>1776</v>
      </c>
      <c r="I523" s="12" t="s">
        <v>875</v>
      </c>
    </row>
    <row r="524" customFormat="false" ht="15" hidden="false" customHeight="false" outlineLevel="0" collapsed="false">
      <c r="A524" s="12" t="n">
        <v>521</v>
      </c>
      <c r="B524" s="12" t="s">
        <v>1716</v>
      </c>
      <c r="C524" s="12" t="s">
        <v>1778</v>
      </c>
      <c r="D524" s="40" t="n">
        <v>13636</v>
      </c>
      <c r="E524" s="31" t="s">
        <v>203</v>
      </c>
      <c r="F524" s="12" t="str">
        <f aca="false">IFERROR(INDEX('Расчет Кплотн'!$C:$C,MATCH(E524,'Расчет Кплотн'!$A:$A,0)),"код не найден")</f>
        <v>Иртышский район</v>
      </c>
      <c r="G524" s="12" t="s">
        <v>503</v>
      </c>
      <c r="H524" s="12" t="s">
        <v>1779</v>
      </c>
      <c r="I524" s="12" t="s">
        <v>1780</v>
      </c>
    </row>
    <row r="525" customFormat="false" ht="15" hidden="false" customHeight="false" outlineLevel="0" collapsed="false">
      <c r="A525" s="12" t="n">
        <v>522</v>
      </c>
      <c r="B525" s="12" t="s">
        <v>1716</v>
      </c>
      <c r="C525" s="12" t="s">
        <v>1748</v>
      </c>
      <c r="D525" s="40" t="n">
        <v>63882</v>
      </c>
      <c r="E525" s="31" t="s">
        <v>198</v>
      </c>
      <c r="F525" s="12" t="str">
        <f aca="false">IFERROR(INDEX('Расчет Кплотн'!$C:$C,MATCH(E525,'Расчет Кплотн'!$A:$A,0)),"код не найден")</f>
        <v>Аксу</v>
      </c>
      <c r="G525" s="12" t="s">
        <v>503</v>
      </c>
      <c r="H525" s="12" t="s">
        <v>1749</v>
      </c>
      <c r="I525" s="12" t="s">
        <v>1734</v>
      </c>
    </row>
    <row r="526" customFormat="false" ht="15" hidden="false" customHeight="false" outlineLevel="0" collapsed="false">
      <c r="A526" s="12" t="n">
        <v>523</v>
      </c>
      <c r="B526" s="12" t="s">
        <v>1716</v>
      </c>
      <c r="C526" s="12" t="s">
        <v>1767</v>
      </c>
      <c r="D526" s="40" t="n">
        <v>16792</v>
      </c>
      <c r="E526" s="31" t="s">
        <v>204</v>
      </c>
      <c r="F526" s="12" t="str">
        <f aca="false">IFERROR(INDEX('Расчет Кплотн'!$C:$C,MATCH(E526,'Расчет Кплотн'!$A:$A,0)),"код не найден")</f>
        <v>район Тереңкөл</v>
      </c>
      <c r="G526" s="12" t="s">
        <v>503</v>
      </c>
      <c r="H526" s="12" t="s">
        <v>1768</v>
      </c>
      <c r="I526" s="12" t="s">
        <v>1769</v>
      </c>
    </row>
    <row r="527" customFormat="false" ht="15" hidden="false" customHeight="false" outlineLevel="0" collapsed="false">
      <c r="A527" s="12" t="n">
        <v>524</v>
      </c>
      <c r="B527" s="12" t="s">
        <v>1784</v>
      </c>
      <c r="C527" s="12" t="s">
        <v>1788</v>
      </c>
      <c r="D527" s="40" t="n">
        <v>29563</v>
      </c>
      <c r="E527" s="31" t="s">
        <v>210</v>
      </c>
      <c r="F527" s="12" t="str">
        <f aca="false">IFERROR(INDEX('Расчет Кплотн'!$C:$C,MATCH(E527,'Расчет Кплотн'!$A:$A,0)),"код не найден")</f>
        <v>Петропавловск</v>
      </c>
      <c r="G527" s="12" t="s">
        <v>503</v>
      </c>
      <c r="H527" s="12" t="s">
        <v>1789</v>
      </c>
      <c r="I527" s="12" t="s">
        <v>1790</v>
      </c>
    </row>
    <row r="528" customFormat="false" ht="15" hidden="false" customHeight="false" outlineLevel="0" collapsed="false">
      <c r="A528" s="12" t="n">
        <v>525</v>
      </c>
      <c r="B528" s="12" t="s">
        <v>1784</v>
      </c>
      <c r="C528" s="12" t="s">
        <v>1791</v>
      </c>
      <c r="D528" s="40" t="n">
        <v>15489</v>
      </c>
      <c r="E528" s="31" t="s">
        <v>210</v>
      </c>
      <c r="F528" s="12" t="str">
        <f aca="false">IFERROR(INDEX('Расчет Кплотн'!$C:$C,MATCH(E528,'Расчет Кплотн'!$A:$A,0)),"код не найден")</f>
        <v>Петропавловск</v>
      </c>
      <c r="G528" s="12" t="s">
        <v>503</v>
      </c>
      <c r="H528" s="12" t="s">
        <v>1792</v>
      </c>
      <c r="I528" s="12" t="s">
        <v>1790</v>
      </c>
    </row>
    <row r="529" customFormat="false" ht="15" hidden="false" customHeight="false" outlineLevel="0" collapsed="false">
      <c r="A529" s="12" t="n">
        <v>526</v>
      </c>
      <c r="B529" s="12" t="s">
        <v>1784</v>
      </c>
      <c r="C529" s="12" t="s">
        <v>1793</v>
      </c>
      <c r="D529" s="40" t="n">
        <v>17383</v>
      </c>
      <c r="E529" s="31" t="s">
        <v>210</v>
      </c>
      <c r="F529" s="12" t="str">
        <f aca="false">IFERROR(INDEX('Расчет Кплотн'!$C:$C,MATCH(E529,'Расчет Кплотн'!$A:$A,0)),"код не найден")</f>
        <v>Петропавловск</v>
      </c>
      <c r="G529" s="12" t="s">
        <v>503</v>
      </c>
      <c r="H529" s="12" t="s">
        <v>1794</v>
      </c>
      <c r="I529" s="12" t="s">
        <v>1790</v>
      </c>
    </row>
    <row r="530" customFormat="false" ht="15" hidden="false" customHeight="false" outlineLevel="0" collapsed="false">
      <c r="A530" s="12" t="n">
        <v>527</v>
      </c>
      <c r="B530" s="12" t="s">
        <v>1784</v>
      </c>
      <c r="C530" s="12" t="s">
        <v>1795</v>
      </c>
      <c r="D530" s="40" t="n">
        <v>23984</v>
      </c>
      <c r="E530" s="31" t="s">
        <v>213</v>
      </c>
      <c r="F530" s="12" t="str">
        <f aca="false">IFERROR(INDEX('Расчет Кплотн'!$C:$C,MATCH(E530,'Расчет Кплотн'!$A:$A,0)),"код не найден")</f>
        <v>Район Магжана Жумабаева</v>
      </c>
      <c r="G530" s="12" t="s">
        <v>503</v>
      </c>
      <c r="H530" s="12" t="s">
        <v>1796</v>
      </c>
      <c r="I530" s="12" t="s">
        <v>1797</v>
      </c>
    </row>
    <row r="531" customFormat="false" ht="15" hidden="false" customHeight="false" outlineLevel="0" collapsed="false">
      <c r="A531" s="12" t="n">
        <v>528</v>
      </c>
      <c r="B531" s="12" t="s">
        <v>1784</v>
      </c>
      <c r="C531" s="12" t="s">
        <v>1798</v>
      </c>
      <c r="D531" s="40" t="n">
        <v>63135</v>
      </c>
      <c r="E531" s="31" t="s">
        <v>210</v>
      </c>
      <c r="F531" s="12" t="str">
        <f aca="false">IFERROR(INDEX('Расчет Кплотн'!$C:$C,MATCH(E531,'Расчет Кплотн'!$A:$A,0)),"код не найден")</f>
        <v>Петропавловск</v>
      </c>
      <c r="G531" s="12" t="s">
        <v>503</v>
      </c>
      <c r="H531" s="12" t="s">
        <v>1799</v>
      </c>
      <c r="I531" s="12" t="s">
        <v>1790</v>
      </c>
    </row>
    <row r="532" customFormat="false" ht="15" hidden="false" customHeight="false" outlineLevel="0" collapsed="false">
      <c r="A532" s="12" t="n">
        <v>529</v>
      </c>
      <c r="B532" s="12" t="s">
        <v>1784</v>
      </c>
      <c r="C532" s="12" t="s">
        <v>1800</v>
      </c>
      <c r="D532" s="40" t="n">
        <v>19357</v>
      </c>
      <c r="E532" s="31" t="s">
        <v>214</v>
      </c>
      <c r="F532" s="12" t="str">
        <f aca="false">IFERROR(INDEX('Расчет Кплотн'!$C:$C,MATCH(E532,'Расчет Кплотн'!$A:$A,0)),"код не найден")</f>
        <v>Есильский район</v>
      </c>
      <c r="G532" s="12" t="s">
        <v>503</v>
      </c>
      <c r="H532" s="12" t="s">
        <v>1801</v>
      </c>
      <c r="I532" s="12" t="s">
        <v>1802</v>
      </c>
    </row>
    <row r="533" customFormat="false" ht="15" hidden="false" customHeight="false" outlineLevel="0" collapsed="false">
      <c r="A533" s="12" t="n">
        <v>530</v>
      </c>
      <c r="B533" s="12" t="s">
        <v>1784</v>
      </c>
      <c r="C533" s="12" t="s">
        <v>1803</v>
      </c>
      <c r="D533" s="40" t="n">
        <v>16061</v>
      </c>
      <c r="E533" s="31" t="s">
        <v>218</v>
      </c>
      <c r="F533" s="12" t="str">
        <f aca="false">IFERROR(INDEX('Расчет Кплотн'!$C:$C,MATCH(E533,'Расчет Кплотн'!$A:$A,0)),"код не найден")</f>
        <v>Район Шал акына</v>
      </c>
      <c r="G533" s="12" t="s">
        <v>503</v>
      </c>
      <c r="H533" s="12" t="s">
        <v>1804</v>
      </c>
      <c r="I533" s="12" t="s">
        <v>1805</v>
      </c>
    </row>
    <row r="534" customFormat="false" ht="15" hidden="false" customHeight="false" outlineLevel="0" collapsed="false">
      <c r="A534" s="12" t="n">
        <v>531</v>
      </c>
      <c r="B534" s="12" t="s">
        <v>1784</v>
      </c>
      <c r="C534" s="12" t="s">
        <v>1785</v>
      </c>
      <c r="D534" s="40" t="n">
        <v>15862</v>
      </c>
      <c r="E534" s="31" t="s">
        <v>217</v>
      </c>
      <c r="F534" s="12" t="str">
        <f aca="false">IFERROR(INDEX('Расчет Кплотн'!$C:$C,MATCH(E534,'Расчет Кплотн'!$A:$A,0)),"код не найден")</f>
        <v>Мамлютский район</v>
      </c>
      <c r="G534" s="12" t="s">
        <v>503</v>
      </c>
      <c r="H534" s="12" t="s">
        <v>1786</v>
      </c>
      <c r="I534" s="12" t="s">
        <v>1787</v>
      </c>
    </row>
    <row r="535" customFormat="false" ht="15" hidden="false" customHeight="false" outlineLevel="0" collapsed="false">
      <c r="A535" s="12" t="n">
        <v>532</v>
      </c>
      <c r="B535" s="12" t="s">
        <v>1784</v>
      </c>
      <c r="C535" s="12" t="s">
        <v>1806</v>
      </c>
      <c r="D535" s="40" t="n">
        <v>50617</v>
      </c>
      <c r="E535" s="31" t="s">
        <v>210</v>
      </c>
      <c r="F535" s="12" t="str">
        <f aca="false">IFERROR(INDEX('Расчет Кплотн'!$C:$C,MATCH(E535,'Расчет Кплотн'!$A:$A,0)),"код не найден")</f>
        <v>Петропавловск</v>
      </c>
      <c r="G535" s="12" t="s">
        <v>503</v>
      </c>
      <c r="H535" s="12" t="s">
        <v>1807</v>
      </c>
      <c r="I535" s="12" t="s">
        <v>1790</v>
      </c>
    </row>
    <row r="536" customFormat="false" ht="15" hidden="false" customHeight="false" outlineLevel="0" collapsed="false">
      <c r="A536" s="12" t="n">
        <v>533</v>
      </c>
      <c r="B536" s="12" t="s">
        <v>1784</v>
      </c>
      <c r="C536" s="12" t="s">
        <v>1808</v>
      </c>
      <c r="D536" s="40" t="n">
        <v>40172</v>
      </c>
      <c r="E536" s="31" t="s">
        <v>216</v>
      </c>
      <c r="F536" s="12" t="str">
        <f aca="false">IFERROR(INDEX('Расчет Кплотн'!$C:$C,MATCH(E536,'Расчет Кплотн'!$A:$A,0)),"код не найден")</f>
        <v>Кызылжарский район</v>
      </c>
      <c r="G536" s="12" t="s">
        <v>503</v>
      </c>
      <c r="H536" s="12" t="s">
        <v>1809</v>
      </c>
      <c r="I536" s="12" t="s">
        <v>1810</v>
      </c>
    </row>
    <row r="537" customFormat="false" ht="15" hidden="false" customHeight="false" outlineLevel="0" collapsed="false">
      <c r="A537" s="12" t="n">
        <v>534</v>
      </c>
      <c r="B537" s="12" t="s">
        <v>1784</v>
      </c>
      <c r="C537" s="12" t="s">
        <v>1811</v>
      </c>
      <c r="D537" s="40" t="n">
        <v>29469</v>
      </c>
      <c r="E537" s="31" t="s">
        <v>211</v>
      </c>
      <c r="F537" s="12" t="str">
        <f aca="false">IFERROR(INDEX('Расчет Кплотн'!$C:$C,MATCH(E537,'Расчет Кплотн'!$A:$A,0)),"код не найден")</f>
        <v>Айыртауский район</v>
      </c>
      <c r="G537" s="12" t="s">
        <v>503</v>
      </c>
      <c r="H537" s="12" t="s">
        <v>1812</v>
      </c>
      <c r="I537" s="12" t="s">
        <v>1813</v>
      </c>
    </row>
    <row r="538" customFormat="false" ht="15" hidden="false" customHeight="false" outlineLevel="0" collapsed="false">
      <c r="A538" s="12" t="n">
        <v>535</v>
      </c>
      <c r="B538" s="12" t="s">
        <v>1784</v>
      </c>
      <c r="C538" s="12" t="s">
        <v>1814</v>
      </c>
      <c r="D538" s="40" t="n">
        <v>8484</v>
      </c>
      <c r="E538" s="31" t="s">
        <v>221</v>
      </c>
      <c r="F538" s="12" t="str">
        <f aca="false">IFERROR(INDEX('Расчет Кплотн'!$C:$C,MATCH(E538,'Расчет Кплотн'!$A:$A,0)),"код не найден")</f>
        <v>Тимирязевский район</v>
      </c>
      <c r="G538" s="12" t="s">
        <v>503</v>
      </c>
      <c r="H538" s="12" t="s">
        <v>1815</v>
      </c>
      <c r="I538" s="12" t="s">
        <v>1816</v>
      </c>
    </row>
    <row r="539" customFormat="false" ht="15" hidden="false" customHeight="false" outlineLevel="0" collapsed="false">
      <c r="A539" s="12" t="n">
        <v>536</v>
      </c>
      <c r="B539" s="12" t="s">
        <v>1784</v>
      </c>
      <c r="C539" s="12" t="s">
        <v>1817</v>
      </c>
      <c r="D539" s="40" t="n">
        <v>15763</v>
      </c>
      <c r="E539" s="31" t="s">
        <v>215</v>
      </c>
      <c r="F539" s="12" t="str">
        <f aca="false">IFERROR(INDEX('Расчет Кплотн'!$C:$C,MATCH(E539,'Расчет Кплотн'!$A:$A,0)),"код не найден")</f>
        <v>Жамбылский район</v>
      </c>
      <c r="G539" s="12" t="s">
        <v>503</v>
      </c>
      <c r="H539" s="12" t="s">
        <v>1818</v>
      </c>
      <c r="I539" s="12" t="s">
        <v>1819</v>
      </c>
    </row>
    <row r="540" customFormat="false" ht="15" hidden="false" customHeight="false" outlineLevel="0" collapsed="false">
      <c r="A540" s="12" t="n">
        <v>537</v>
      </c>
      <c r="B540" s="12" t="s">
        <v>1784</v>
      </c>
      <c r="C540" s="12" t="s">
        <v>1820</v>
      </c>
      <c r="D540" s="40" t="n">
        <v>16606</v>
      </c>
      <c r="E540" s="31" t="s">
        <v>219</v>
      </c>
      <c r="F540" s="12" t="str">
        <f aca="false">IFERROR(INDEX('Расчет Кплотн'!$C:$C,MATCH(E540,'Расчет Кплотн'!$A:$A,0)),"код не найден")</f>
        <v>Аккайынский район</v>
      </c>
      <c r="G540" s="12" t="s">
        <v>503</v>
      </c>
      <c r="H540" s="12" t="s">
        <v>1821</v>
      </c>
      <c r="I540" s="12" t="s">
        <v>1822</v>
      </c>
    </row>
    <row r="541" customFormat="false" ht="15" hidden="false" customHeight="false" outlineLevel="0" collapsed="false">
      <c r="A541" s="12" t="n">
        <v>538</v>
      </c>
      <c r="B541" s="12" t="s">
        <v>1784</v>
      </c>
      <c r="C541" s="12" t="s">
        <v>1823</v>
      </c>
      <c r="D541" s="40" t="n">
        <v>10813</v>
      </c>
      <c r="E541" s="31" t="s">
        <v>222</v>
      </c>
      <c r="F541" s="12" t="str">
        <f aca="false">IFERROR(INDEX('Расчет Кплотн'!$C:$C,MATCH(E541,'Расчет Кплотн'!$A:$A,0)),"код не найден")</f>
        <v>Уалихановский район</v>
      </c>
      <c r="G541" s="12" t="s">
        <v>503</v>
      </c>
      <c r="H541" s="12" t="s">
        <v>1824</v>
      </c>
      <c r="I541" s="12" t="s">
        <v>1825</v>
      </c>
    </row>
    <row r="542" customFormat="false" ht="15" hidden="false" customHeight="false" outlineLevel="0" collapsed="false">
      <c r="A542" s="12" t="n">
        <v>539</v>
      </c>
      <c r="B542" s="12" t="s">
        <v>1784</v>
      </c>
      <c r="C542" s="12" t="s">
        <v>1826</v>
      </c>
      <c r="D542" s="40" t="n">
        <v>36372</v>
      </c>
      <c r="E542" s="31" t="s">
        <v>220</v>
      </c>
      <c r="F542" s="12" t="str">
        <f aca="false">IFERROR(INDEX('Расчет Кплотн'!$C:$C,MATCH(E542,'Расчет Кплотн'!$A:$A,0)),"код не найден")</f>
        <v>Тайыншинский район</v>
      </c>
      <c r="G542" s="12" t="s">
        <v>503</v>
      </c>
      <c r="H542" s="12" t="s">
        <v>1827</v>
      </c>
      <c r="I542" s="12" t="s">
        <v>1828</v>
      </c>
    </row>
    <row r="543" customFormat="false" ht="15" hidden="false" customHeight="false" outlineLevel="0" collapsed="false">
      <c r="A543" s="12" t="n">
        <v>540</v>
      </c>
      <c r="B543" s="12" t="s">
        <v>1784</v>
      </c>
      <c r="C543" s="12" t="s">
        <v>1829</v>
      </c>
      <c r="D543" s="40" t="n">
        <v>33093</v>
      </c>
      <c r="E543" s="31" t="s">
        <v>223</v>
      </c>
      <c r="F543" s="12" t="str">
        <f aca="false">IFERROR(INDEX('Расчет Кплотн'!$C:$C,MATCH(E543,'Расчет Кплотн'!$A:$A,0)),"код не найден")</f>
        <v>Район им.Габита Мусрепова</v>
      </c>
      <c r="G543" s="12" t="s">
        <v>503</v>
      </c>
      <c r="H543" s="12" t="s">
        <v>1830</v>
      </c>
      <c r="I543" s="12" t="s">
        <v>1831</v>
      </c>
    </row>
    <row r="544" customFormat="false" ht="15" hidden="false" customHeight="false" outlineLevel="0" collapsed="false">
      <c r="A544" s="12" t="n">
        <v>541</v>
      </c>
      <c r="B544" s="12" t="s">
        <v>1784</v>
      </c>
      <c r="C544" s="12" t="s">
        <v>1832</v>
      </c>
      <c r="D544" s="40" t="n">
        <v>11070</v>
      </c>
      <c r="E544" s="31" t="s">
        <v>212</v>
      </c>
      <c r="F544" s="12" t="str">
        <f aca="false">IFERROR(INDEX('Расчет Кплотн'!$C:$C,MATCH(E544,'Расчет Кплотн'!$A:$A,0)),"код не найден")</f>
        <v>Акжарский район</v>
      </c>
      <c r="G544" s="12" t="s">
        <v>503</v>
      </c>
      <c r="H544" s="12" t="s">
        <v>1833</v>
      </c>
      <c r="I544" s="12" t="s">
        <v>1834</v>
      </c>
    </row>
    <row r="545" customFormat="false" ht="15" hidden="false" customHeight="false" outlineLevel="0" collapsed="false">
      <c r="A545" s="12" t="n">
        <v>542</v>
      </c>
      <c r="B545" s="12" t="s">
        <v>1784</v>
      </c>
      <c r="C545" s="12" t="s">
        <v>1835</v>
      </c>
      <c r="D545" s="40" t="n">
        <v>62450</v>
      </c>
      <c r="E545" s="31" t="s">
        <v>210</v>
      </c>
      <c r="F545" s="12" t="str">
        <f aca="false">IFERROR(INDEX('Расчет Кплотн'!$C:$C,MATCH(E545,'Расчет Кплотн'!$A:$A,0)),"код не найден")</f>
        <v>Петропавловск</v>
      </c>
      <c r="G545" s="12" t="s">
        <v>503</v>
      </c>
      <c r="H545" s="12" t="s">
        <v>1836</v>
      </c>
      <c r="I545" s="12" t="s">
        <v>1790</v>
      </c>
    </row>
    <row r="546" customFormat="false" ht="15" hidden="false" customHeight="false" outlineLevel="0" collapsed="false">
      <c r="A546" s="12" t="n">
        <v>543</v>
      </c>
      <c r="B546" s="12" t="s">
        <v>1837</v>
      </c>
      <c r="C546" s="12" t="s">
        <v>1838</v>
      </c>
      <c r="D546" s="40" t="n">
        <v>10184</v>
      </c>
      <c r="E546" s="47" t="s">
        <v>235</v>
      </c>
      <c r="F546" s="12" t="str">
        <f aca="false">IFERROR(INDEX('Расчет Кплотн'!$C:$C,MATCH(E546,'Расчет Кплотн'!$A:$A,0)),"код не найден")</f>
        <v>Сарыагашский район</v>
      </c>
      <c r="G546" s="12" t="s">
        <v>1841</v>
      </c>
      <c r="H546" s="12" t="s">
        <v>1839</v>
      </c>
      <c r="I546" s="12" t="s">
        <v>1840</v>
      </c>
    </row>
    <row r="547" customFormat="false" ht="15" hidden="false" customHeight="false" outlineLevel="0" collapsed="false">
      <c r="A547" s="12" t="n">
        <v>544</v>
      </c>
      <c r="B547" s="12" t="s">
        <v>1837</v>
      </c>
      <c r="C547" s="12" t="s">
        <v>1846</v>
      </c>
      <c r="D547" s="40" t="n">
        <v>4632</v>
      </c>
      <c r="E547" s="31" t="s">
        <v>228</v>
      </c>
      <c r="F547" s="12" t="str">
        <f aca="false">IFERROR(INDEX('Расчет Кплотн'!$C:$C,MATCH(E547,'Расчет Кплотн'!$A:$A,0)),"код не найден")</f>
        <v>Жетысайский район</v>
      </c>
      <c r="G547" s="12" t="s">
        <v>503</v>
      </c>
      <c r="H547" s="12" t="s">
        <v>1847</v>
      </c>
      <c r="I547" s="12" t="s">
        <v>1848</v>
      </c>
    </row>
    <row r="548" customFormat="false" ht="15" hidden="false" customHeight="false" outlineLevel="0" collapsed="false">
      <c r="A548" s="12" t="n">
        <v>545</v>
      </c>
      <c r="B548" s="12" t="s">
        <v>1837</v>
      </c>
      <c r="C548" s="12" t="s">
        <v>1849</v>
      </c>
      <c r="D548" s="40" t="n">
        <v>40228</v>
      </c>
      <c r="E548" s="31" t="s">
        <v>224</v>
      </c>
      <c r="F548" s="12" t="str">
        <f aca="false">IFERROR(INDEX('Расчет Кплотн'!$C:$C,MATCH(E548,'Расчет Кплотн'!$A:$A,0)),"код не найден")</f>
        <v>Туркестан</v>
      </c>
      <c r="G548" s="12" t="s">
        <v>503</v>
      </c>
      <c r="H548" s="12" t="s">
        <v>1850</v>
      </c>
      <c r="I548" s="12" t="s">
        <v>1851</v>
      </c>
    </row>
    <row r="549" customFormat="false" ht="15" hidden="false" customHeight="false" outlineLevel="0" collapsed="false">
      <c r="A549" s="12" t="n">
        <v>546</v>
      </c>
      <c r="B549" s="12" t="s">
        <v>1837</v>
      </c>
      <c r="C549" s="12" t="s">
        <v>1852</v>
      </c>
      <c r="D549" s="40" t="n">
        <v>5034</v>
      </c>
      <c r="E549" s="31" t="s">
        <v>234</v>
      </c>
      <c r="F549" s="12" t="str">
        <f aca="false">IFERROR(INDEX('Расчет Кплотн'!$C:$C,MATCH(E549,'Расчет Кплотн'!$A:$A,0)),"код не найден")</f>
        <v>Сайрамский район</v>
      </c>
      <c r="G549" s="12" t="s">
        <v>503</v>
      </c>
      <c r="H549" s="12" t="s">
        <v>1853</v>
      </c>
      <c r="I549" s="12" t="s">
        <v>1854</v>
      </c>
    </row>
    <row r="550" customFormat="false" ht="15" hidden="false" customHeight="false" outlineLevel="0" collapsed="false">
      <c r="A550" s="12" t="n">
        <v>547</v>
      </c>
      <c r="B550" s="12" t="s">
        <v>1837</v>
      </c>
      <c r="C550" s="12" t="s">
        <v>1855</v>
      </c>
      <c r="D550" s="40" t="n">
        <v>5382</v>
      </c>
      <c r="E550" s="47" t="s">
        <v>234</v>
      </c>
      <c r="F550" s="12" t="str">
        <f aca="false">IFERROR(INDEX('Расчет Кплотн'!$C:$C,MATCH(E550,'Расчет Кплотн'!$A:$A,0)),"код не найден")</f>
        <v>Сайрамский район</v>
      </c>
      <c r="G550" s="12" t="s">
        <v>1858</v>
      </c>
      <c r="H550" s="12" t="s">
        <v>1856</v>
      </c>
      <c r="I550" s="12" t="s">
        <v>1857</v>
      </c>
    </row>
    <row r="551" customFormat="false" ht="15" hidden="false" customHeight="false" outlineLevel="0" collapsed="false">
      <c r="A551" s="12" t="n">
        <v>548</v>
      </c>
      <c r="B551" s="12" t="s">
        <v>1837</v>
      </c>
      <c r="C551" s="12" t="s">
        <v>1859</v>
      </c>
      <c r="D551" s="40" t="n">
        <v>7498</v>
      </c>
      <c r="E551" s="31" t="s">
        <v>224</v>
      </c>
      <c r="F551" s="12" t="str">
        <f aca="false">IFERROR(INDEX('Расчет Кплотн'!$C:$C,MATCH(E551,'Расчет Кплотн'!$A:$A,0)),"код не найден")</f>
        <v>Туркестан</v>
      </c>
      <c r="G551" s="12" t="s">
        <v>503</v>
      </c>
      <c r="H551" s="12" t="s">
        <v>1860</v>
      </c>
      <c r="I551" s="12" t="s">
        <v>1851</v>
      </c>
    </row>
    <row r="552" customFormat="false" ht="15" hidden="false" customHeight="false" outlineLevel="0" collapsed="false">
      <c r="A552" s="12" t="n">
        <v>549</v>
      </c>
      <c r="B552" s="12" t="s">
        <v>1837</v>
      </c>
      <c r="C552" s="12" t="s">
        <v>1879</v>
      </c>
      <c r="D552" s="40" t="n">
        <v>4226</v>
      </c>
      <c r="E552" s="31" t="s">
        <v>228</v>
      </c>
      <c r="F552" s="12" t="str">
        <f aca="false">IFERROR(INDEX('Расчет Кплотн'!$C:$C,MATCH(E552,'Расчет Кплотн'!$A:$A,0)),"код не найден")</f>
        <v>Жетысайский район</v>
      </c>
      <c r="G552" s="12" t="s">
        <v>503</v>
      </c>
      <c r="H552" s="12" t="s">
        <v>1880</v>
      </c>
      <c r="I552" s="12" t="s">
        <v>1881</v>
      </c>
    </row>
    <row r="553" customFormat="false" ht="15" hidden="false" customHeight="false" outlineLevel="0" collapsed="false">
      <c r="A553" s="12" t="n">
        <v>550</v>
      </c>
      <c r="B553" s="12" t="s">
        <v>1837</v>
      </c>
      <c r="C553" s="12" t="s">
        <v>1861</v>
      </c>
      <c r="D553" s="40" t="n">
        <v>11307</v>
      </c>
      <c r="E553" s="31" t="s">
        <v>234</v>
      </c>
      <c r="F553" s="12" t="str">
        <f aca="false">IFERROR(INDEX('Расчет Кплотн'!$C:$C,MATCH(E553,'Расчет Кплотн'!$A:$A,0)),"код не найден")</f>
        <v>Сайрамский район</v>
      </c>
      <c r="G553" s="12" t="s">
        <v>503</v>
      </c>
      <c r="H553" s="12" t="s">
        <v>1862</v>
      </c>
      <c r="I553" s="12" t="s">
        <v>1863</v>
      </c>
    </row>
    <row r="554" customFormat="false" ht="15" hidden="false" customHeight="false" outlineLevel="0" collapsed="false">
      <c r="A554" s="12" t="n">
        <v>551</v>
      </c>
      <c r="B554" s="12" t="s">
        <v>1837</v>
      </c>
      <c r="C554" s="12" t="s">
        <v>1868</v>
      </c>
      <c r="D554" s="40" t="n">
        <v>6024</v>
      </c>
      <c r="E554" s="31" t="s">
        <v>226</v>
      </c>
      <c r="F554" s="12" t="str">
        <f aca="false">IFERROR(INDEX('Расчет Кплотн'!$C:$C,MATCH(E554,'Расчет Кплотн'!$A:$A,0)),"код не найден")</f>
        <v>Кентау</v>
      </c>
      <c r="G554" s="12" t="s">
        <v>503</v>
      </c>
      <c r="H554" s="12" t="s">
        <v>1869</v>
      </c>
      <c r="I554" s="12" t="s">
        <v>1870</v>
      </c>
    </row>
    <row r="555" customFormat="false" ht="15" hidden="false" customHeight="false" outlineLevel="0" collapsed="false">
      <c r="A555" s="12" t="n">
        <v>552</v>
      </c>
      <c r="B555" s="12" t="s">
        <v>1837</v>
      </c>
      <c r="C555" s="12" t="s">
        <v>1871</v>
      </c>
      <c r="D555" s="40" t="n">
        <v>25175</v>
      </c>
      <c r="E555" s="31" t="s">
        <v>224</v>
      </c>
      <c r="F555" s="12" t="str">
        <f aca="false">IFERROR(INDEX('Расчет Кплотн'!$C:$C,MATCH(E555,'Расчет Кплотн'!$A:$A,0)),"код не найден")</f>
        <v>Туркестан</v>
      </c>
      <c r="G555" s="12" t="s">
        <v>503</v>
      </c>
      <c r="H555" s="12" t="s">
        <v>1872</v>
      </c>
      <c r="I555" s="12" t="s">
        <v>1851</v>
      </c>
    </row>
    <row r="556" customFormat="false" ht="15" hidden="false" customHeight="false" outlineLevel="0" collapsed="false">
      <c r="A556" s="12" t="n">
        <v>553</v>
      </c>
      <c r="B556" s="12" t="s">
        <v>1837</v>
      </c>
      <c r="C556" s="12" t="s">
        <v>1873</v>
      </c>
      <c r="D556" s="40" t="n">
        <v>14315</v>
      </c>
      <c r="E556" s="31" t="s">
        <v>224</v>
      </c>
      <c r="F556" s="12" t="str">
        <f aca="false">IFERROR(INDEX('Расчет Кплотн'!$C:$C,MATCH(E556,'Расчет Кплотн'!$A:$A,0)),"код не найден")</f>
        <v>Туркестан</v>
      </c>
      <c r="G556" s="12" t="s">
        <v>503</v>
      </c>
      <c r="H556" s="12" t="s">
        <v>1874</v>
      </c>
      <c r="I556" s="12" t="s">
        <v>1851</v>
      </c>
    </row>
    <row r="557" customFormat="false" ht="15" hidden="false" customHeight="false" outlineLevel="0" collapsed="false">
      <c r="A557" s="12" t="n">
        <v>554</v>
      </c>
      <c r="B557" s="12" t="s">
        <v>1837</v>
      </c>
      <c r="C557" s="12" t="s">
        <v>1875</v>
      </c>
      <c r="D557" s="40" t="n">
        <v>15607</v>
      </c>
      <c r="E557" s="47" t="s">
        <v>234</v>
      </c>
      <c r="F557" s="12" t="str">
        <f aca="false">IFERROR(INDEX('Расчет Кплотн'!$C:$C,MATCH(E557,'Расчет Кплотн'!$A:$A,0)),"код не найден")</f>
        <v>Сайрамский район</v>
      </c>
      <c r="G557" s="12" t="s">
        <v>1858</v>
      </c>
      <c r="H557" s="12" t="s">
        <v>1876</v>
      </c>
      <c r="I557" s="12" t="s">
        <v>1857</v>
      </c>
    </row>
    <row r="558" customFormat="false" ht="15" hidden="false" customHeight="false" outlineLevel="0" collapsed="false">
      <c r="A558" s="12" t="n">
        <v>555</v>
      </c>
      <c r="B558" s="12" t="s">
        <v>1837</v>
      </c>
      <c r="C558" s="12" t="s">
        <v>1877</v>
      </c>
      <c r="D558" s="40" t="n">
        <v>15172</v>
      </c>
      <c r="E558" s="47" t="s">
        <v>235</v>
      </c>
      <c r="F558" s="12" t="str">
        <f aca="false">IFERROR(INDEX('Расчет Кплотн'!$C:$C,MATCH(E558,'Расчет Кплотн'!$A:$A,0)),"код не найден")</f>
        <v>Сарыагашский район</v>
      </c>
      <c r="G558" s="12" t="s">
        <v>1867</v>
      </c>
      <c r="H558" s="12" t="s">
        <v>1878</v>
      </c>
      <c r="I558" s="12" t="s">
        <v>1866</v>
      </c>
    </row>
    <row r="559" customFormat="false" ht="15" hidden="false" customHeight="false" outlineLevel="0" collapsed="false">
      <c r="A559" s="12" t="n">
        <v>556</v>
      </c>
      <c r="B559" s="12" t="s">
        <v>1837</v>
      </c>
      <c r="C559" s="12" t="s">
        <v>1842</v>
      </c>
      <c r="D559" s="40" t="n">
        <v>9780</v>
      </c>
      <c r="E559" s="47" t="s">
        <v>226</v>
      </c>
      <c r="F559" s="12" t="str">
        <f aca="false">IFERROR(INDEX('Расчет Кплотн'!$C:$C,MATCH(E559,'Расчет Кплотн'!$A:$A,0)),"код не найден")</f>
        <v>Кентау</v>
      </c>
      <c r="G559" s="12" t="s">
        <v>1845</v>
      </c>
      <c r="H559" s="12" t="s">
        <v>1843</v>
      </c>
      <c r="I559" s="12" t="s">
        <v>1844</v>
      </c>
    </row>
    <row r="560" customFormat="false" ht="15" hidden="false" customHeight="false" outlineLevel="0" collapsed="false">
      <c r="A560" s="12" t="n">
        <v>557</v>
      </c>
      <c r="B560" s="12" t="s">
        <v>1837</v>
      </c>
      <c r="C560" s="12" t="s">
        <v>1864</v>
      </c>
      <c r="D560" s="40" t="n">
        <v>9914</v>
      </c>
      <c r="E560" s="47" t="s">
        <v>235</v>
      </c>
      <c r="F560" s="12" t="str">
        <f aca="false">IFERROR(INDEX('Расчет Кплотн'!$C:$C,MATCH(E560,'Расчет Кплотн'!$A:$A,0)),"код не найден")</f>
        <v>Сарыагашский район</v>
      </c>
      <c r="G560" s="12" t="s">
        <v>1867</v>
      </c>
      <c r="H560" s="12" t="s">
        <v>1865</v>
      </c>
      <c r="I560" s="12" t="s">
        <v>1866</v>
      </c>
    </row>
    <row r="561" customFormat="false" ht="15" hidden="false" customHeight="false" outlineLevel="0" collapsed="false">
      <c r="A561" s="12" t="n">
        <v>558</v>
      </c>
      <c r="B561" s="12" t="s">
        <v>1837</v>
      </c>
      <c r="C561" s="12" t="s">
        <v>1882</v>
      </c>
      <c r="D561" s="40" t="n">
        <v>12626</v>
      </c>
      <c r="E561" s="47" t="s">
        <v>235</v>
      </c>
      <c r="F561" s="12" t="str">
        <f aca="false">IFERROR(INDEX('Расчет Кплотн'!$C:$C,MATCH(E561,'Расчет Кплотн'!$A:$A,0)),"код не найден")</f>
        <v>Сарыагашский район</v>
      </c>
      <c r="G561" s="12" t="s">
        <v>1867</v>
      </c>
      <c r="H561" s="12" t="s">
        <v>1883</v>
      </c>
      <c r="I561" s="12" t="s">
        <v>1866</v>
      </c>
    </row>
    <row r="562" customFormat="false" ht="15" hidden="false" customHeight="false" outlineLevel="0" collapsed="false">
      <c r="A562" s="12" t="n">
        <v>559</v>
      </c>
      <c r="B562" s="12" t="s">
        <v>1837</v>
      </c>
      <c r="C562" s="12" t="s">
        <v>1891</v>
      </c>
      <c r="D562" s="40" t="n">
        <v>19321</v>
      </c>
      <c r="E562" s="31" t="s">
        <v>224</v>
      </c>
      <c r="F562" s="12" t="str">
        <f aca="false">IFERROR(INDEX('Расчет Кплотн'!$C:$C,MATCH(E562,'Расчет Кплотн'!$A:$A,0)),"код не найден")</f>
        <v>Туркестан</v>
      </c>
      <c r="G562" s="12" t="s">
        <v>503</v>
      </c>
      <c r="H562" s="12" t="s">
        <v>1892</v>
      </c>
      <c r="I562" s="12" t="s">
        <v>1851</v>
      </c>
    </row>
    <row r="563" customFormat="false" ht="15" hidden="false" customHeight="false" outlineLevel="0" collapsed="false">
      <c r="A563" s="12" t="n">
        <v>560</v>
      </c>
      <c r="B563" s="12" t="s">
        <v>1837</v>
      </c>
      <c r="C563" s="12" t="s">
        <v>1886</v>
      </c>
      <c r="D563" s="40" t="n">
        <v>8546</v>
      </c>
      <c r="E563" s="31" t="s">
        <v>230</v>
      </c>
      <c r="F563" s="12" t="str">
        <f aca="false">IFERROR(INDEX('Расчет Кплотн'!$C:$C,MATCH(E563,'Расчет Кплотн'!$A:$A,0)),"код не найден")</f>
        <v>Казыгуртский район</v>
      </c>
      <c r="G563" s="12" t="s">
        <v>503</v>
      </c>
      <c r="H563" s="12" t="s">
        <v>1887</v>
      </c>
      <c r="I563" s="12" t="s">
        <v>1888</v>
      </c>
    </row>
    <row r="564" customFormat="false" ht="15" hidden="false" customHeight="false" outlineLevel="0" collapsed="false">
      <c r="A564" s="12" t="n">
        <v>561</v>
      </c>
      <c r="B564" s="12" t="s">
        <v>1837</v>
      </c>
      <c r="C564" s="12" t="s">
        <v>1889</v>
      </c>
      <c r="D564" s="40" t="n">
        <v>15871</v>
      </c>
      <c r="E564" s="31" t="s">
        <v>224</v>
      </c>
      <c r="F564" s="12" t="str">
        <f aca="false">IFERROR(INDEX('Расчет Кплотн'!$C:$C,MATCH(E564,'Расчет Кплотн'!$A:$A,0)),"код не найден")</f>
        <v>Туркестан</v>
      </c>
      <c r="G564" s="12" t="s">
        <v>503</v>
      </c>
      <c r="H564" s="12" t="s">
        <v>1890</v>
      </c>
      <c r="I564" s="12" t="s">
        <v>1851</v>
      </c>
    </row>
    <row r="565" customFormat="false" ht="15" hidden="false" customHeight="false" outlineLevel="0" collapsed="false">
      <c r="A565" s="12" t="n">
        <v>562</v>
      </c>
      <c r="B565" s="12" t="s">
        <v>1837</v>
      </c>
      <c r="C565" s="12" t="s">
        <v>1893</v>
      </c>
      <c r="D565" s="40" t="n">
        <v>3504</v>
      </c>
      <c r="E565" s="31" t="s">
        <v>224</v>
      </c>
      <c r="F565" s="12" t="str">
        <f aca="false">IFERROR(INDEX('Расчет Кплотн'!$C:$C,MATCH(E565,'Расчет Кплотн'!$A:$A,0)),"код не найден")</f>
        <v>Туркестан</v>
      </c>
      <c r="G565" s="12" t="s">
        <v>503</v>
      </c>
      <c r="H565" s="12" t="s">
        <v>1894</v>
      </c>
      <c r="I565" s="12" t="s">
        <v>1851</v>
      </c>
    </row>
    <row r="566" customFormat="false" ht="15" hidden="false" customHeight="false" outlineLevel="0" collapsed="false">
      <c r="A566" s="12" t="n">
        <v>563</v>
      </c>
      <c r="B566" s="12" t="s">
        <v>1837</v>
      </c>
      <c r="C566" s="12" t="s">
        <v>1884</v>
      </c>
      <c r="D566" s="40" t="n">
        <v>30351</v>
      </c>
      <c r="E566" s="31" t="s">
        <v>224</v>
      </c>
      <c r="F566" s="12" t="str">
        <f aca="false">IFERROR(INDEX('Расчет Кплотн'!$C:$C,MATCH(E566,'Расчет Кплотн'!$A:$A,0)),"код не найден")</f>
        <v>Туркестан</v>
      </c>
      <c r="G566" s="12" t="s">
        <v>503</v>
      </c>
      <c r="H566" s="12" t="s">
        <v>1885</v>
      </c>
      <c r="I566" s="12" t="s">
        <v>1851</v>
      </c>
    </row>
    <row r="567" customFormat="false" ht="15" hidden="false" customHeight="false" outlineLevel="0" collapsed="false">
      <c r="A567" s="12" t="n">
        <v>564</v>
      </c>
      <c r="B567" s="12" t="s">
        <v>1837</v>
      </c>
      <c r="C567" s="12" t="s">
        <v>1895</v>
      </c>
      <c r="D567" s="40" t="n">
        <v>7709</v>
      </c>
      <c r="E567" s="31" t="s">
        <v>234</v>
      </c>
      <c r="F567" s="12" t="str">
        <f aca="false">IFERROR(INDEX('Расчет Кплотн'!$C:$C,MATCH(E567,'Расчет Кплотн'!$A:$A,0)),"код не найден")</f>
        <v>Сайрамский район</v>
      </c>
      <c r="G567" s="12" t="s">
        <v>503</v>
      </c>
      <c r="H567" s="12" t="s">
        <v>1896</v>
      </c>
      <c r="I567" s="12" t="s">
        <v>1863</v>
      </c>
    </row>
    <row r="568" customFormat="false" ht="15" hidden="false" customHeight="false" outlineLevel="0" collapsed="false">
      <c r="A568" s="12" t="n">
        <v>565</v>
      </c>
      <c r="B568" s="12" t="s">
        <v>1837</v>
      </c>
      <c r="C568" s="12" t="s">
        <v>1897</v>
      </c>
      <c r="D568" s="40" t="n">
        <v>10305</v>
      </c>
      <c r="E568" s="31" t="s">
        <v>239</v>
      </c>
      <c r="F568" s="12" t="str">
        <f aca="false">IFERROR(INDEX('Расчет Кплотн'!$C:$C,MATCH(E568,'Расчет Кплотн'!$A:$A,0)),"код не найден")</f>
        <v>Тюлькубасский район</v>
      </c>
      <c r="G568" s="12" t="s">
        <v>503</v>
      </c>
      <c r="H568" s="12" t="s">
        <v>1898</v>
      </c>
      <c r="I568" s="12" t="s">
        <v>1899</v>
      </c>
    </row>
    <row r="569" customFormat="false" ht="15" hidden="false" customHeight="false" outlineLevel="0" collapsed="false">
      <c r="A569" s="12" t="n">
        <v>566</v>
      </c>
      <c r="B569" s="12" t="s">
        <v>1837</v>
      </c>
      <c r="C569" s="12" t="s">
        <v>1900</v>
      </c>
      <c r="D569" s="40" t="n">
        <v>9898</v>
      </c>
      <c r="E569" s="31" t="s">
        <v>232</v>
      </c>
      <c r="F569" s="12" t="str">
        <f aca="false">IFERROR(INDEX('Расчет Кплотн'!$C:$C,MATCH(E569,'Расчет Кплотн'!$A:$A,0)),"код не найден")</f>
        <v>Ордабасынский район</v>
      </c>
      <c r="G569" s="12" t="s">
        <v>503</v>
      </c>
      <c r="H569" s="12" t="s">
        <v>1901</v>
      </c>
      <c r="I569" s="12" t="s">
        <v>1902</v>
      </c>
    </row>
    <row r="570" customFormat="false" ht="15" hidden="false" customHeight="false" outlineLevel="0" collapsed="false">
      <c r="A570" s="12" t="n">
        <v>567</v>
      </c>
      <c r="B570" s="12" t="s">
        <v>1837</v>
      </c>
      <c r="C570" s="12" t="s">
        <v>1903</v>
      </c>
      <c r="D570" s="40" t="n">
        <v>1791</v>
      </c>
      <c r="E570" s="31" t="s">
        <v>240</v>
      </c>
      <c r="F570" s="12" t="str">
        <f aca="false">IFERROR(INDEX('Расчет Кплотн'!$C:$C,MATCH(E570,'Расчет Кплотн'!$A:$A,0)),"код не найден")</f>
        <v>Шардаринский район</v>
      </c>
      <c r="G570" s="12" t="s">
        <v>503</v>
      </c>
      <c r="H570" s="12" t="s">
        <v>1904</v>
      </c>
      <c r="I570" s="12" t="s">
        <v>1905</v>
      </c>
    </row>
    <row r="571" customFormat="false" ht="15" hidden="false" customHeight="false" outlineLevel="0" collapsed="false">
      <c r="A571" s="12" t="n">
        <v>568</v>
      </c>
      <c r="B571" s="12" t="s">
        <v>1837</v>
      </c>
      <c r="C571" s="12" t="s">
        <v>1906</v>
      </c>
      <c r="D571" s="40" t="n">
        <v>3012</v>
      </c>
      <c r="E571" s="31" t="s">
        <v>232</v>
      </c>
      <c r="F571" s="12" t="str">
        <f aca="false">IFERROR(INDEX('Расчет Кплотн'!$C:$C,MATCH(E571,'Расчет Кплотн'!$A:$A,0)),"код не найден")</f>
        <v>Ордабасынский район</v>
      </c>
      <c r="G571" s="12" t="s">
        <v>503</v>
      </c>
      <c r="H571" s="12" t="s">
        <v>1907</v>
      </c>
      <c r="I571" s="12" t="s">
        <v>1908</v>
      </c>
    </row>
    <row r="572" customFormat="false" ht="15" hidden="false" customHeight="false" outlineLevel="0" collapsed="false">
      <c r="A572" s="12" t="n">
        <v>569</v>
      </c>
      <c r="B572" s="12" t="s">
        <v>1837</v>
      </c>
      <c r="C572" s="12" t="s">
        <v>1909</v>
      </c>
      <c r="D572" s="40" t="n">
        <v>2233</v>
      </c>
      <c r="E572" s="31" t="s">
        <v>234</v>
      </c>
      <c r="F572" s="12" t="str">
        <f aca="false">IFERROR(INDEX('Расчет Кплотн'!$C:$C,MATCH(E572,'Расчет Кплотн'!$A:$A,0)),"код не найден")</f>
        <v>Сайрамский район</v>
      </c>
      <c r="G572" s="12" t="s">
        <v>503</v>
      </c>
      <c r="H572" s="12" t="s">
        <v>1910</v>
      </c>
      <c r="I572" s="12" t="s">
        <v>1854</v>
      </c>
    </row>
    <row r="573" customFormat="false" ht="15" hidden="false" customHeight="false" outlineLevel="0" collapsed="false">
      <c r="A573" s="12" t="n">
        <v>570</v>
      </c>
      <c r="B573" s="12" t="s">
        <v>1837</v>
      </c>
      <c r="C573" s="12" t="s">
        <v>1911</v>
      </c>
      <c r="D573" s="40" t="n">
        <v>10004</v>
      </c>
      <c r="E573" s="31" t="s">
        <v>226</v>
      </c>
      <c r="F573" s="12" t="str">
        <f aca="false">IFERROR(INDEX('Расчет Кплотн'!$C:$C,MATCH(E573,'Расчет Кплотн'!$A:$A,0)),"код не найден")</f>
        <v>Кентау</v>
      </c>
      <c r="G573" s="12" t="s">
        <v>503</v>
      </c>
      <c r="H573" s="12" t="s">
        <v>1912</v>
      </c>
      <c r="I573" s="12" t="s">
        <v>1870</v>
      </c>
    </row>
    <row r="574" customFormat="false" ht="15" hidden="false" customHeight="false" outlineLevel="0" collapsed="false">
      <c r="A574" s="12" t="n">
        <v>571</v>
      </c>
      <c r="B574" s="12" t="s">
        <v>1837</v>
      </c>
      <c r="C574" s="12" t="s">
        <v>1913</v>
      </c>
      <c r="D574" s="40" t="n">
        <v>8635</v>
      </c>
      <c r="E574" s="31" t="s">
        <v>230</v>
      </c>
      <c r="F574" s="12" t="str">
        <f aca="false">IFERROR(INDEX('Расчет Кплотн'!$C:$C,MATCH(E574,'Расчет Кплотн'!$A:$A,0)),"код не найден")</f>
        <v>Казыгуртский район</v>
      </c>
      <c r="G574" s="12" t="s">
        <v>503</v>
      </c>
      <c r="H574" s="12" t="s">
        <v>1914</v>
      </c>
      <c r="I574" s="12" t="s">
        <v>1888</v>
      </c>
    </row>
    <row r="575" customFormat="false" ht="15" hidden="false" customHeight="false" outlineLevel="0" collapsed="false">
      <c r="A575" s="12" t="n">
        <v>572</v>
      </c>
      <c r="B575" s="12" t="s">
        <v>1837</v>
      </c>
      <c r="C575" s="12" t="s">
        <v>1915</v>
      </c>
      <c r="D575" s="40" t="n">
        <v>9280</v>
      </c>
      <c r="E575" s="31" t="s">
        <v>234</v>
      </c>
      <c r="F575" s="12" t="str">
        <f aca="false">IFERROR(INDEX('Расчет Кплотн'!$C:$C,MATCH(E575,'Расчет Кплотн'!$A:$A,0)),"код не найден")</f>
        <v>Сайрамский район</v>
      </c>
      <c r="G575" s="12" t="s">
        <v>503</v>
      </c>
      <c r="H575" s="12" t="s">
        <v>1916</v>
      </c>
      <c r="I575" s="12" t="s">
        <v>1863</v>
      </c>
    </row>
    <row r="576" customFormat="false" ht="15" hidden="false" customHeight="false" outlineLevel="0" collapsed="false">
      <c r="A576" s="12" t="n">
        <v>573</v>
      </c>
      <c r="B576" s="12" t="s">
        <v>1837</v>
      </c>
      <c r="C576" s="12" t="s">
        <v>1917</v>
      </c>
      <c r="D576" s="40" t="n">
        <v>17084</v>
      </c>
      <c r="E576" s="31" t="s">
        <v>224</v>
      </c>
      <c r="F576" s="12" t="str">
        <f aca="false">IFERROR(INDEX('Расчет Кплотн'!$C:$C,MATCH(E576,'Расчет Кплотн'!$A:$A,0)),"код не найден")</f>
        <v>Туркестан</v>
      </c>
      <c r="G576" s="12" t="s">
        <v>503</v>
      </c>
      <c r="H576" s="12" t="s">
        <v>1918</v>
      </c>
      <c r="I576" s="12" t="s">
        <v>1851</v>
      </c>
    </row>
    <row r="577" customFormat="false" ht="15" hidden="false" customHeight="false" outlineLevel="0" collapsed="false">
      <c r="A577" s="12" t="n">
        <v>574</v>
      </c>
      <c r="B577" s="12" t="s">
        <v>1837</v>
      </c>
      <c r="C577" s="12" t="s">
        <v>1919</v>
      </c>
      <c r="D577" s="40" t="n">
        <v>10203</v>
      </c>
      <c r="E577" s="31" t="s">
        <v>226</v>
      </c>
      <c r="F577" s="12" t="str">
        <f aca="false">IFERROR(INDEX('Расчет Кплотн'!$C:$C,MATCH(E577,'Расчет Кплотн'!$A:$A,0)),"код не найден")</f>
        <v>Кентау</v>
      </c>
      <c r="G577" s="12" t="s">
        <v>503</v>
      </c>
      <c r="H577" s="12" t="s">
        <v>1920</v>
      </c>
      <c r="I577" s="12" t="s">
        <v>1870</v>
      </c>
    </row>
    <row r="578" customFormat="false" ht="15" hidden="false" customHeight="false" outlineLevel="0" collapsed="false">
      <c r="A578" s="12" t="n">
        <v>575</v>
      </c>
      <c r="B578" s="12" t="s">
        <v>1837</v>
      </c>
      <c r="C578" s="12" t="s">
        <v>1928</v>
      </c>
      <c r="D578" s="40" t="n">
        <v>10272</v>
      </c>
      <c r="E578" s="31" t="s">
        <v>234</v>
      </c>
      <c r="F578" s="12" t="str">
        <f aca="false">IFERROR(INDEX('Расчет Кплотн'!$C:$C,MATCH(E578,'Расчет Кплотн'!$A:$A,0)),"код не найден")</f>
        <v>Сайрамский район</v>
      </c>
      <c r="G578" s="12" t="s">
        <v>503</v>
      </c>
      <c r="H578" s="12" t="s">
        <v>1929</v>
      </c>
      <c r="I578" s="12" t="s">
        <v>1854</v>
      </c>
    </row>
    <row r="579" customFormat="false" ht="15" hidden="false" customHeight="false" outlineLevel="0" collapsed="false">
      <c r="A579" s="12" t="n">
        <v>576</v>
      </c>
      <c r="B579" s="12" t="s">
        <v>1837</v>
      </c>
      <c r="C579" s="12" t="s">
        <v>1924</v>
      </c>
      <c r="D579" s="40" t="n">
        <v>4072</v>
      </c>
      <c r="E579" s="47" t="s">
        <v>234</v>
      </c>
      <c r="F579" s="12" t="str">
        <f aca="false">IFERROR(INDEX('Расчет Кплотн'!$C:$C,MATCH(E579,'Расчет Кплотн'!$A:$A,0)),"код не найден")</f>
        <v>Сайрамский район</v>
      </c>
      <c r="G579" s="12" t="s">
        <v>1858</v>
      </c>
      <c r="H579" s="12" t="s">
        <v>1925</v>
      </c>
      <c r="I579" s="12" t="s">
        <v>1857</v>
      </c>
    </row>
    <row r="580" customFormat="false" ht="15" hidden="false" customHeight="false" outlineLevel="0" collapsed="false">
      <c r="A580" s="12" t="n">
        <v>577</v>
      </c>
      <c r="B580" s="12" t="s">
        <v>1837</v>
      </c>
      <c r="C580" s="12" t="s">
        <v>1926</v>
      </c>
      <c r="D580" s="40" t="n">
        <v>18188</v>
      </c>
      <c r="E580" s="31" t="s">
        <v>232</v>
      </c>
      <c r="F580" s="12" t="str">
        <f aca="false">IFERROR(INDEX('Расчет Кплотн'!$C:$C,MATCH(E580,'Расчет Кплотн'!$A:$A,0)),"код не найден")</f>
        <v>Ордабасынский район</v>
      </c>
      <c r="G580" s="12" t="s">
        <v>503</v>
      </c>
      <c r="H580" s="12" t="s">
        <v>1927</v>
      </c>
      <c r="I580" s="12" t="s">
        <v>1902</v>
      </c>
    </row>
    <row r="581" customFormat="false" ht="15" hidden="false" customHeight="false" outlineLevel="0" collapsed="false">
      <c r="A581" s="12" t="n">
        <v>578</v>
      </c>
      <c r="B581" s="12" t="s">
        <v>1837</v>
      </c>
      <c r="C581" s="12" t="s">
        <v>1921</v>
      </c>
      <c r="D581" s="40" t="n">
        <v>11880</v>
      </c>
      <c r="E581" s="31" t="s">
        <v>238</v>
      </c>
      <c r="F581" s="12" t="str">
        <f aca="false">IFERROR(INDEX('Расчет Кплотн'!$C:$C,MATCH(E581,'Расчет Кплотн'!$A:$A,0)),"код не найден")</f>
        <v>Толебийский район</v>
      </c>
      <c r="G581" s="12" t="s">
        <v>503</v>
      </c>
      <c r="H581" s="12" t="s">
        <v>1922</v>
      </c>
      <c r="I581" s="12" t="s">
        <v>1923</v>
      </c>
    </row>
    <row r="582" customFormat="false" ht="15" hidden="false" customHeight="false" outlineLevel="0" collapsed="false">
      <c r="A582" s="12" t="n">
        <v>579</v>
      </c>
      <c r="B582" s="12" t="s">
        <v>1837</v>
      </c>
      <c r="C582" s="12" t="s">
        <v>1930</v>
      </c>
      <c r="D582" s="40" t="n">
        <v>4458</v>
      </c>
      <c r="E582" s="47" t="s">
        <v>234</v>
      </c>
      <c r="F582" s="12" t="str">
        <f aca="false">IFERROR(INDEX('Расчет Кплотн'!$C:$C,MATCH(E582,'Расчет Кплотн'!$A:$A,0)),"код не найден")</f>
        <v>Сайрамский район</v>
      </c>
      <c r="G582" s="12" t="s">
        <v>1933</v>
      </c>
      <c r="H582" s="12" t="s">
        <v>1931</v>
      </c>
      <c r="I582" s="12" t="s">
        <v>1932</v>
      </c>
    </row>
    <row r="583" customFormat="false" ht="15" hidden="false" customHeight="false" outlineLevel="0" collapsed="false">
      <c r="A583" s="12" t="n">
        <v>580</v>
      </c>
      <c r="B583" s="12" t="s">
        <v>1837</v>
      </c>
      <c r="C583" s="12" t="s">
        <v>1934</v>
      </c>
      <c r="D583" s="40" t="n">
        <v>87252</v>
      </c>
      <c r="E583" s="31" t="s">
        <v>224</v>
      </c>
      <c r="F583" s="12" t="str">
        <f aca="false">IFERROR(INDEX('Расчет Кплотн'!$C:$C,MATCH(E583,'Расчет Кплотн'!$A:$A,0)),"код не найден")</f>
        <v>Туркестан</v>
      </c>
      <c r="G583" s="12" t="s">
        <v>503</v>
      </c>
      <c r="H583" s="12" t="s">
        <v>1935</v>
      </c>
      <c r="I583" s="12" t="s">
        <v>1851</v>
      </c>
    </row>
    <row r="584" customFormat="false" ht="15" hidden="false" customHeight="false" outlineLevel="0" collapsed="false">
      <c r="A584" s="12" t="n">
        <v>581</v>
      </c>
      <c r="B584" s="12" t="s">
        <v>1837</v>
      </c>
      <c r="C584" s="12" t="s">
        <v>1936</v>
      </c>
      <c r="D584" s="40" t="n">
        <v>3020</v>
      </c>
      <c r="E584" s="31" t="s">
        <v>261</v>
      </c>
      <c r="F584" s="12" t="str">
        <f aca="false">IFERROR(INDEX('Расчет Кплотн'!$C:$C,MATCH(E584,'Расчет Кплотн'!$A:$A,0)),"код не найден")</f>
        <v>г. Шымкент</v>
      </c>
      <c r="G584" s="12" t="s">
        <v>503</v>
      </c>
      <c r="H584" s="12" t="s">
        <v>1937</v>
      </c>
      <c r="I584" s="12" t="s">
        <v>1938</v>
      </c>
    </row>
    <row r="585" customFormat="false" ht="15" hidden="false" customHeight="false" outlineLevel="0" collapsed="false">
      <c r="A585" s="12" t="n">
        <v>582</v>
      </c>
      <c r="B585" s="12" t="s">
        <v>1837</v>
      </c>
      <c r="C585" s="12" t="s">
        <v>1939</v>
      </c>
      <c r="D585" s="40" t="n">
        <v>65169</v>
      </c>
      <c r="E585" s="31" t="s">
        <v>226</v>
      </c>
      <c r="F585" s="12" t="str">
        <f aca="false">IFERROR(INDEX('Расчет Кплотн'!$C:$C,MATCH(E585,'Расчет Кплотн'!$A:$A,0)),"код не найден")</f>
        <v>Кентау</v>
      </c>
      <c r="G585" s="12" t="s">
        <v>503</v>
      </c>
      <c r="H585" s="12" t="s">
        <v>1940</v>
      </c>
      <c r="I585" s="12" t="s">
        <v>1870</v>
      </c>
    </row>
    <row r="586" customFormat="false" ht="15" hidden="false" customHeight="false" outlineLevel="0" collapsed="false">
      <c r="A586" s="12" t="n">
        <v>583</v>
      </c>
      <c r="B586" s="12" t="s">
        <v>1837</v>
      </c>
      <c r="C586" s="12" t="s">
        <v>1941</v>
      </c>
      <c r="D586" s="40" t="n">
        <v>43757</v>
      </c>
      <c r="E586" s="31" t="s">
        <v>227</v>
      </c>
      <c r="F586" s="12" t="str">
        <f aca="false">IFERROR(INDEX('Расчет Кплотн'!$C:$C,MATCH(E586,'Расчет Кплотн'!$A:$A,0)),"код не найден")</f>
        <v>район Байдибека</v>
      </c>
      <c r="G586" s="12" t="s">
        <v>503</v>
      </c>
      <c r="H586" s="12" t="s">
        <v>1942</v>
      </c>
      <c r="I586" s="12" t="s">
        <v>1943</v>
      </c>
    </row>
    <row r="587" customFormat="false" ht="15" hidden="false" customHeight="false" outlineLevel="0" collapsed="false">
      <c r="A587" s="12" t="n">
        <v>584</v>
      </c>
      <c r="B587" s="12" t="s">
        <v>1837</v>
      </c>
      <c r="C587" s="12" t="s">
        <v>1944</v>
      </c>
      <c r="D587" s="40" t="n">
        <v>152961</v>
      </c>
      <c r="E587" s="47" t="s">
        <v>235</v>
      </c>
      <c r="F587" s="12" t="str">
        <f aca="false">IFERROR(INDEX('Расчет Кплотн'!$C:$C,MATCH(E587,'Расчет Кплотн'!$A:$A,0)),"код не найден")</f>
        <v>Сарыагашский район</v>
      </c>
      <c r="G587" s="12" t="s">
        <v>1867</v>
      </c>
      <c r="H587" s="12" t="s">
        <v>1945</v>
      </c>
      <c r="I587" s="12" t="s">
        <v>1866</v>
      </c>
    </row>
    <row r="588" customFormat="false" ht="15" hidden="false" customHeight="false" outlineLevel="0" collapsed="false">
      <c r="A588" s="12" t="n">
        <v>585</v>
      </c>
      <c r="B588" s="12" t="s">
        <v>1837</v>
      </c>
      <c r="C588" s="12" t="s">
        <v>1946</v>
      </c>
      <c r="D588" s="40" t="n">
        <v>67714</v>
      </c>
      <c r="E588" s="31" t="s">
        <v>240</v>
      </c>
      <c r="F588" s="12" t="str">
        <f aca="false">IFERROR(INDEX('Расчет Кплотн'!$C:$C,MATCH(E588,'Расчет Кплотн'!$A:$A,0)),"код не найден")</f>
        <v>Шардаринский район</v>
      </c>
      <c r="G588" s="12" t="s">
        <v>503</v>
      </c>
      <c r="H588" s="12" t="s">
        <v>1947</v>
      </c>
      <c r="I588" s="12" t="s">
        <v>1948</v>
      </c>
    </row>
    <row r="589" customFormat="false" ht="15" hidden="false" customHeight="false" outlineLevel="0" collapsed="false">
      <c r="A589" s="12" t="n">
        <v>586</v>
      </c>
      <c r="B589" s="12" t="s">
        <v>1837</v>
      </c>
      <c r="C589" s="12" t="s">
        <v>1949</v>
      </c>
      <c r="D589" s="40" t="n">
        <v>81829</v>
      </c>
      <c r="E589" s="31" t="s">
        <v>230</v>
      </c>
      <c r="F589" s="12" t="str">
        <f aca="false">IFERROR(INDEX('Расчет Кплотн'!$C:$C,MATCH(E589,'Расчет Кплотн'!$A:$A,0)),"код не найден")</f>
        <v>Казыгуртский район</v>
      </c>
      <c r="G589" s="12" t="s">
        <v>503</v>
      </c>
      <c r="H589" s="12" t="s">
        <v>1950</v>
      </c>
      <c r="I589" s="12" t="s">
        <v>1888</v>
      </c>
    </row>
    <row r="590" customFormat="false" ht="15" hidden="false" customHeight="false" outlineLevel="0" collapsed="false">
      <c r="A590" s="12" t="n">
        <v>587</v>
      </c>
      <c r="B590" s="12" t="s">
        <v>1837</v>
      </c>
      <c r="C590" s="12" t="s">
        <v>1951</v>
      </c>
      <c r="D590" s="40" t="n">
        <v>66249</v>
      </c>
      <c r="E590" s="31" t="s">
        <v>238</v>
      </c>
      <c r="F590" s="12" t="str">
        <f aca="false">IFERROR(INDEX('Расчет Кплотн'!$C:$C,MATCH(E590,'Расчет Кплотн'!$A:$A,0)),"код не найден")</f>
        <v>Толебийский район</v>
      </c>
      <c r="G590" s="12" t="s">
        <v>503</v>
      </c>
      <c r="H590" s="12" t="s">
        <v>1952</v>
      </c>
      <c r="I590" s="12" t="s">
        <v>1953</v>
      </c>
    </row>
    <row r="591" customFormat="false" ht="15" hidden="false" customHeight="false" outlineLevel="0" collapsed="false">
      <c r="A591" s="12" t="n">
        <v>588</v>
      </c>
      <c r="B591" s="12" t="s">
        <v>1837</v>
      </c>
      <c r="C591" s="12" t="s">
        <v>1954</v>
      </c>
      <c r="D591" s="40" t="n">
        <v>61353</v>
      </c>
      <c r="E591" s="31" t="s">
        <v>234</v>
      </c>
      <c r="F591" s="12" t="str">
        <f aca="false">IFERROR(INDEX('Расчет Кплотн'!$C:$C,MATCH(E591,'Расчет Кплотн'!$A:$A,0)),"код не найден")</f>
        <v>Сайрамский район</v>
      </c>
      <c r="G591" s="12" t="s">
        <v>503</v>
      </c>
      <c r="H591" s="12" t="s">
        <v>1955</v>
      </c>
      <c r="I591" s="12" t="s">
        <v>1863</v>
      </c>
    </row>
    <row r="592" customFormat="false" ht="15" hidden="false" customHeight="false" outlineLevel="0" collapsed="false">
      <c r="A592" s="12" t="n">
        <v>589</v>
      </c>
      <c r="B592" s="12" t="s">
        <v>1837</v>
      </c>
      <c r="C592" s="12" t="s">
        <v>1956</v>
      </c>
      <c r="D592" s="40" t="n">
        <v>36961</v>
      </c>
      <c r="E592" s="31" t="s">
        <v>238</v>
      </c>
      <c r="F592" s="12" t="str">
        <f aca="false">IFERROR(INDEX('Расчет Кплотн'!$C:$C,MATCH(E592,'Расчет Кплотн'!$A:$A,0)),"код не найден")</f>
        <v>Толебийский район</v>
      </c>
      <c r="G592" s="12" t="s">
        <v>503</v>
      </c>
      <c r="H592" s="12" t="s">
        <v>1957</v>
      </c>
      <c r="I592" s="12" t="s">
        <v>1923</v>
      </c>
    </row>
    <row r="593" customFormat="false" ht="15" hidden="false" customHeight="false" outlineLevel="0" collapsed="false">
      <c r="A593" s="12" t="n">
        <v>590</v>
      </c>
      <c r="B593" s="12" t="s">
        <v>1837</v>
      </c>
      <c r="C593" s="12" t="s">
        <v>1958</v>
      </c>
      <c r="D593" s="40" t="n">
        <v>57009</v>
      </c>
      <c r="E593" s="31" t="s">
        <v>225</v>
      </c>
      <c r="F593" s="12" t="str">
        <f aca="false">IFERROR(INDEX('Расчет Кплотн'!$C:$C,MATCH(E593,'Расчет Кплотн'!$A:$A,0)),"код не найден")</f>
        <v>Арысь</v>
      </c>
      <c r="G593" s="12" t="s">
        <v>503</v>
      </c>
      <c r="H593" s="12" t="s">
        <v>1959</v>
      </c>
      <c r="I593" s="12" t="s">
        <v>1960</v>
      </c>
    </row>
    <row r="594" customFormat="false" ht="15" hidden="false" customHeight="false" outlineLevel="0" collapsed="false">
      <c r="A594" s="12" t="n">
        <v>591</v>
      </c>
      <c r="B594" s="12" t="s">
        <v>1837</v>
      </c>
      <c r="C594" s="12" t="s">
        <v>1961</v>
      </c>
      <c r="D594" s="40" t="n">
        <v>76038</v>
      </c>
      <c r="E594" s="31" t="s">
        <v>239</v>
      </c>
      <c r="F594" s="12" t="str">
        <f aca="false">IFERROR(INDEX('Расчет Кплотн'!$C:$C,MATCH(E594,'Расчет Кплотн'!$A:$A,0)),"код не найден")</f>
        <v>Тюлькубасский район</v>
      </c>
      <c r="G594" s="12" t="s">
        <v>503</v>
      </c>
      <c r="H594" s="12" t="s">
        <v>1962</v>
      </c>
      <c r="I594" s="12" t="s">
        <v>1963</v>
      </c>
    </row>
    <row r="595" customFormat="false" ht="15" hidden="false" customHeight="false" outlineLevel="0" collapsed="false">
      <c r="A595" s="12" t="n">
        <v>592</v>
      </c>
      <c r="B595" s="12" t="s">
        <v>1837</v>
      </c>
      <c r="C595" s="12" t="s">
        <v>1964</v>
      </c>
      <c r="D595" s="40" t="n">
        <v>43690</v>
      </c>
      <c r="E595" s="31" t="s">
        <v>233</v>
      </c>
      <c r="F595" s="12" t="str">
        <f aca="false">IFERROR(INDEX('Расчет Кплотн'!$C:$C,MATCH(E595,'Расчет Кплотн'!$A:$A,0)),"код не найден")</f>
        <v>Отрарский район</v>
      </c>
      <c r="G595" s="12" t="s">
        <v>503</v>
      </c>
      <c r="H595" s="12" t="s">
        <v>1965</v>
      </c>
      <c r="I595" s="12" t="s">
        <v>1966</v>
      </c>
    </row>
    <row r="596" customFormat="false" ht="15" hidden="false" customHeight="false" outlineLevel="0" collapsed="false">
      <c r="A596" s="12" t="n">
        <v>593</v>
      </c>
      <c r="B596" s="12" t="s">
        <v>1837</v>
      </c>
      <c r="C596" s="12" t="s">
        <v>1967</v>
      </c>
      <c r="D596" s="40" t="n">
        <v>10752</v>
      </c>
      <c r="E596" s="31" t="s">
        <v>234</v>
      </c>
      <c r="F596" s="12" t="str">
        <f aca="false">IFERROR(INDEX('Расчет Кплотн'!$C:$C,MATCH(E596,'Расчет Кплотн'!$A:$A,0)),"код не найден")</f>
        <v>Сайрамский район</v>
      </c>
      <c r="G596" s="12" t="s">
        <v>503</v>
      </c>
      <c r="H596" s="12" t="s">
        <v>1968</v>
      </c>
      <c r="I596" s="12" t="s">
        <v>1863</v>
      </c>
    </row>
    <row r="597" customFormat="false" ht="15" hidden="false" customHeight="false" outlineLevel="0" collapsed="false">
      <c r="A597" s="12" t="n">
        <v>594</v>
      </c>
      <c r="B597" s="12" t="s">
        <v>1837</v>
      </c>
      <c r="C597" s="12" t="s">
        <v>1969</v>
      </c>
      <c r="D597" s="40" t="n">
        <v>55573</v>
      </c>
      <c r="E597" s="47" t="s">
        <v>237</v>
      </c>
      <c r="F597" s="12" t="str">
        <f aca="false">IFERROR(INDEX('Расчет Кплотн'!$C:$C,MATCH(E597,'Расчет Кплотн'!$A:$A,0)),"код не найден")</f>
        <v>Сузакский район</v>
      </c>
      <c r="G597" s="12" t="s">
        <v>1972</v>
      </c>
      <c r="H597" s="12" t="s">
        <v>1970</v>
      </c>
      <c r="I597" s="12" t="s">
        <v>1971</v>
      </c>
    </row>
    <row r="598" customFormat="false" ht="15" hidden="false" customHeight="false" outlineLevel="0" collapsed="false">
      <c r="A598" s="12" t="n">
        <v>595</v>
      </c>
      <c r="B598" s="12" t="s">
        <v>1837</v>
      </c>
      <c r="C598" s="12" t="s">
        <v>1973</v>
      </c>
      <c r="D598" s="40" t="n">
        <v>84169</v>
      </c>
      <c r="E598" s="31" t="s">
        <v>228</v>
      </c>
      <c r="F598" s="12" t="str">
        <f aca="false">IFERROR(INDEX('Расчет Кплотн'!$C:$C,MATCH(E598,'Расчет Кплотн'!$A:$A,0)),"код не найден")</f>
        <v>Жетысайский район</v>
      </c>
      <c r="G598" s="12" t="s">
        <v>503</v>
      </c>
      <c r="H598" s="12" t="s">
        <v>1974</v>
      </c>
      <c r="I598" s="12" t="s">
        <v>1975</v>
      </c>
    </row>
    <row r="599" customFormat="false" ht="15" hidden="false" customHeight="false" outlineLevel="0" collapsed="false">
      <c r="A599" s="12" t="n">
        <v>596</v>
      </c>
      <c r="B599" s="12" t="s">
        <v>1837</v>
      </c>
      <c r="C599" s="12" t="s">
        <v>1976</v>
      </c>
      <c r="D599" s="40" t="n">
        <v>60062</v>
      </c>
      <c r="E599" s="47" t="s">
        <v>236</v>
      </c>
      <c r="F599" s="12" t="str">
        <f aca="false">IFERROR(INDEX('Расчет Кплотн'!$C:$C,MATCH(E599,'Расчет Кплотн'!$A:$A,0)),"код не найден")</f>
        <v>район Сауран</v>
      </c>
      <c r="G599" s="12" t="s">
        <v>1979</v>
      </c>
      <c r="H599" s="12" t="s">
        <v>1977</v>
      </c>
      <c r="I599" s="12" t="s">
        <v>1978</v>
      </c>
    </row>
    <row r="600" customFormat="false" ht="15" hidden="false" customHeight="false" outlineLevel="0" collapsed="false">
      <c r="A600" s="12" t="n">
        <v>597</v>
      </c>
      <c r="B600" s="12" t="s">
        <v>1837</v>
      </c>
      <c r="C600" s="12" t="s">
        <v>1980</v>
      </c>
      <c r="D600" s="40" t="n">
        <v>62840</v>
      </c>
      <c r="E600" s="31" t="s">
        <v>231</v>
      </c>
      <c r="F600" s="12" t="str">
        <f aca="false">IFERROR(INDEX('Расчет Кплотн'!$C:$C,MATCH(E600,'Расчет Кплотн'!$A:$A,0)),"код не найден")</f>
        <v>Мактааральский район</v>
      </c>
      <c r="G600" s="12" t="s">
        <v>503</v>
      </c>
      <c r="H600" s="12" t="s">
        <v>1981</v>
      </c>
      <c r="I600" s="12" t="s">
        <v>1982</v>
      </c>
    </row>
    <row r="601" customFormat="false" ht="15" hidden="false" customHeight="false" outlineLevel="0" collapsed="false">
      <c r="A601" s="12" t="n">
        <v>598</v>
      </c>
      <c r="B601" s="12" t="s">
        <v>1837</v>
      </c>
      <c r="C601" s="12" t="s">
        <v>1983</v>
      </c>
      <c r="D601" s="40" t="n">
        <v>24499</v>
      </c>
      <c r="E601" s="31" t="s">
        <v>232</v>
      </c>
      <c r="F601" s="12" t="str">
        <f aca="false">IFERROR(INDEX('Расчет Кплотн'!$C:$C,MATCH(E601,'Расчет Кплотн'!$A:$A,0)),"код не найден")</f>
        <v>Ордабасынский район</v>
      </c>
      <c r="G601" s="12" t="s">
        <v>503</v>
      </c>
      <c r="H601" s="12" t="s">
        <v>1984</v>
      </c>
      <c r="I601" s="12" t="s">
        <v>1902</v>
      </c>
    </row>
    <row r="602" customFormat="false" ht="15" hidden="false" customHeight="false" outlineLevel="0" collapsed="false">
      <c r="A602" s="12" t="n">
        <v>599</v>
      </c>
      <c r="B602" s="12" t="s">
        <v>1837</v>
      </c>
      <c r="C602" s="12" t="s">
        <v>1985</v>
      </c>
      <c r="D602" s="40" t="n">
        <v>6510</v>
      </c>
      <c r="E602" s="31" t="s">
        <v>234</v>
      </c>
      <c r="F602" s="12" t="str">
        <f aca="false">IFERROR(INDEX('Расчет Кплотн'!$C:$C,MATCH(E602,'Расчет Кплотн'!$A:$A,0)),"код не найден")</f>
        <v>Сайрамский район</v>
      </c>
      <c r="G602" s="12" t="s">
        <v>503</v>
      </c>
      <c r="H602" s="12" t="s">
        <v>1986</v>
      </c>
      <c r="I602" s="12" t="s">
        <v>1987</v>
      </c>
    </row>
    <row r="603" customFormat="false" ht="15" hidden="false" customHeight="false" outlineLevel="0" collapsed="false">
      <c r="A603" s="12" t="n">
        <v>600</v>
      </c>
      <c r="B603" s="12" t="s">
        <v>1837</v>
      </c>
      <c r="C603" s="12" t="s">
        <v>1988</v>
      </c>
      <c r="D603" s="40" t="n">
        <v>12938</v>
      </c>
      <c r="E603" s="31" t="s">
        <v>224</v>
      </c>
      <c r="F603" s="12" t="str">
        <f aca="false">IFERROR(INDEX('Расчет Кплотн'!$C:$C,MATCH(E603,'Расчет Кплотн'!$A:$A,0)),"код не найден")</f>
        <v>Туркестан</v>
      </c>
      <c r="G603" s="12" t="s">
        <v>503</v>
      </c>
      <c r="H603" s="12" t="s">
        <v>1989</v>
      </c>
      <c r="I603" s="12" t="s">
        <v>1851</v>
      </c>
    </row>
    <row r="604" customFormat="false" ht="15" hidden="false" customHeight="false" outlineLevel="0" collapsed="false">
      <c r="A604" s="12" t="n">
        <v>601</v>
      </c>
      <c r="B604" s="12" t="s">
        <v>1837</v>
      </c>
      <c r="C604" s="12" t="s">
        <v>1990</v>
      </c>
      <c r="D604" s="40" t="n">
        <v>11835</v>
      </c>
      <c r="E604" s="31" t="s">
        <v>224</v>
      </c>
      <c r="F604" s="12" t="str">
        <f aca="false">IFERROR(INDEX('Расчет Кплотн'!$C:$C,MATCH(E604,'Расчет Кплотн'!$A:$A,0)),"код не найден")</f>
        <v>Туркестан</v>
      </c>
      <c r="G604" s="12" t="s">
        <v>503</v>
      </c>
      <c r="H604" s="12" t="s">
        <v>1991</v>
      </c>
      <c r="I604" s="12" t="s">
        <v>1851</v>
      </c>
    </row>
    <row r="605" customFormat="false" ht="15" hidden="false" customHeight="false" outlineLevel="0" collapsed="false">
      <c r="A605" s="12" t="n">
        <v>602</v>
      </c>
      <c r="B605" s="12" t="s">
        <v>1837</v>
      </c>
      <c r="C605" s="12" t="s">
        <v>1992</v>
      </c>
      <c r="D605" s="40" t="n">
        <v>50662</v>
      </c>
      <c r="E605" s="31" t="s">
        <v>231</v>
      </c>
      <c r="F605" s="12" t="str">
        <f aca="false">IFERROR(INDEX('Расчет Кплотн'!$C:$C,MATCH(E605,'Расчет Кплотн'!$A:$A,0)),"код не найден")</f>
        <v>Мактааральский район</v>
      </c>
      <c r="G605" s="12" t="s">
        <v>503</v>
      </c>
      <c r="H605" s="12" t="s">
        <v>1993</v>
      </c>
      <c r="I605" s="12" t="s">
        <v>1994</v>
      </c>
    </row>
    <row r="606" customFormat="false" ht="15" hidden="false" customHeight="false" outlineLevel="0" collapsed="false">
      <c r="A606" s="12" t="n">
        <v>603</v>
      </c>
      <c r="B606" s="12" t="s">
        <v>1837</v>
      </c>
      <c r="C606" s="12" t="s">
        <v>1995</v>
      </c>
      <c r="D606" s="40" t="n">
        <v>11846</v>
      </c>
      <c r="E606" s="31" t="s">
        <v>229</v>
      </c>
      <c r="F606" s="12" t="str">
        <f aca="false">IFERROR(INDEX('Расчет Кплотн'!$C:$C,MATCH(E606,'Расчет Кплотн'!$A:$A,0)),"код не найден")</f>
        <v>Келесский район</v>
      </c>
      <c r="G606" s="12" t="s">
        <v>503</v>
      </c>
      <c r="H606" s="12" t="s">
        <v>1996</v>
      </c>
      <c r="I606" s="12" t="s">
        <v>1997</v>
      </c>
    </row>
    <row r="607" customFormat="false" ht="15" hidden="false" customHeight="false" outlineLevel="0" collapsed="false">
      <c r="A607" s="12" t="n">
        <v>604</v>
      </c>
      <c r="B607" s="12" t="s">
        <v>1837</v>
      </c>
      <c r="C607" s="12" t="s">
        <v>1998</v>
      </c>
      <c r="D607" s="40" t="n">
        <v>6438</v>
      </c>
      <c r="E607" s="31" t="s">
        <v>232</v>
      </c>
      <c r="F607" s="12" t="str">
        <f aca="false">IFERROR(INDEX('Расчет Кплотн'!$C:$C,MATCH(E607,'Расчет Кплотн'!$A:$A,0)),"код не найден")</f>
        <v>Ордабасынский район</v>
      </c>
      <c r="G607" s="12" t="s">
        <v>503</v>
      </c>
      <c r="H607" s="12" t="s">
        <v>1999</v>
      </c>
      <c r="I607" s="12" t="s">
        <v>1902</v>
      </c>
    </row>
    <row r="608" customFormat="false" ht="15" hidden="false" customHeight="false" outlineLevel="0" collapsed="false">
      <c r="A608" s="12" t="n">
        <v>605</v>
      </c>
      <c r="B608" s="12" t="s">
        <v>1837</v>
      </c>
      <c r="C608" s="12" t="s">
        <v>2000</v>
      </c>
      <c r="D608" s="40" t="n">
        <v>10332</v>
      </c>
      <c r="E608" s="31" t="s">
        <v>239</v>
      </c>
      <c r="F608" s="12" t="str">
        <f aca="false">IFERROR(INDEX('Расчет Кплотн'!$C:$C,MATCH(E608,'Расчет Кплотн'!$A:$A,0)),"код не найден")</f>
        <v>Тюлькубасский район</v>
      </c>
      <c r="G608" s="12" t="s">
        <v>503</v>
      </c>
      <c r="H608" s="12" t="s">
        <v>2001</v>
      </c>
      <c r="I608" s="12" t="s">
        <v>1963</v>
      </c>
    </row>
    <row r="609" customFormat="false" ht="15" hidden="false" customHeight="false" outlineLevel="0" collapsed="false">
      <c r="A609" s="12" t="n">
        <v>606</v>
      </c>
      <c r="B609" s="12" t="s">
        <v>1837</v>
      </c>
      <c r="C609" s="12" t="s">
        <v>2002</v>
      </c>
      <c r="D609" s="40" t="n">
        <v>2490</v>
      </c>
      <c r="E609" s="47" t="s">
        <v>235</v>
      </c>
      <c r="F609" s="12" t="str">
        <f aca="false">IFERROR(INDEX('Расчет Кплотн'!$C:$C,MATCH(E609,'Расчет Кплотн'!$A:$A,0)),"код не найден")</f>
        <v>Сарыагашский район</v>
      </c>
      <c r="G609" s="12" t="s">
        <v>1867</v>
      </c>
      <c r="H609" s="12" t="s">
        <v>2003</v>
      </c>
      <c r="I609" s="12" t="s">
        <v>1866</v>
      </c>
    </row>
    <row r="610" customFormat="false" ht="15" hidden="false" customHeight="false" outlineLevel="0" collapsed="false">
      <c r="A610" s="12" t="n">
        <v>607</v>
      </c>
      <c r="B610" s="12" t="s">
        <v>1837</v>
      </c>
      <c r="C610" s="12" t="s">
        <v>2004</v>
      </c>
      <c r="D610" s="40" t="n">
        <v>42839</v>
      </c>
      <c r="E610" s="47" t="s">
        <v>235</v>
      </c>
      <c r="F610" s="12" t="str">
        <f aca="false">IFERROR(INDEX('Расчет Кплотн'!$C:$C,MATCH(E610,'Расчет Кплотн'!$A:$A,0)),"код не найден")</f>
        <v>Сарыагашский район</v>
      </c>
      <c r="G610" s="12" t="s">
        <v>1867</v>
      </c>
      <c r="H610" s="12" t="s">
        <v>2005</v>
      </c>
      <c r="I610" s="12" t="s">
        <v>1866</v>
      </c>
    </row>
    <row r="611" customFormat="false" ht="15" hidden="false" customHeight="false" outlineLevel="0" collapsed="false">
      <c r="A611" s="12" t="n">
        <v>608</v>
      </c>
      <c r="B611" s="12" t="s">
        <v>1837</v>
      </c>
      <c r="C611" s="12" t="s">
        <v>2006</v>
      </c>
      <c r="D611" s="40" t="n">
        <v>12697</v>
      </c>
      <c r="E611" s="31" t="s">
        <v>225</v>
      </c>
      <c r="F611" s="12" t="str">
        <f aca="false">IFERROR(INDEX('Расчет Кплотн'!$C:$C,MATCH(E611,'Расчет Кплотн'!$A:$A,0)),"код не найден")</f>
        <v>Арысь</v>
      </c>
      <c r="G611" s="12" t="s">
        <v>503</v>
      </c>
      <c r="H611" s="12" t="s">
        <v>2007</v>
      </c>
      <c r="I611" s="12" t="s">
        <v>1960</v>
      </c>
    </row>
    <row r="612" customFormat="false" ht="15" hidden="false" customHeight="false" outlineLevel="0" collapsed="false">
      <c r="A612" s="12" t="n">
        <v>609</v>
      </c>
      <c r="B612" s="12" t="s">
        <v>1837</v>
      </c>
      <c r="C612" s="12" t="s">
        <v>2008</v>
      </c>
      <c r="D612" s="40" t="n">
        <v>94300</v>
      </c>
      <c r="E612" s="31" t="s">
        <v>229</v>
      </c>
      <c r="F612" s="12" t="str">
        <f aca="false">IFERROR(INDEX('Расчет Кплотн'!$C:$C,MATCH(E612,'Расчет Кплотн'!$A:$A,0)),"код не найден")</f>
        <v>Келесский район</v>
      </c>
      <c r="G612" s="12" t="s">
        <v>503</v>
      </c>
      <c r="H612" s="12" t="s">
        <v>2009</v>
      </c>
      <c r="I612" s="12" t="s">
        <v>1997</v>
      </c>
    </row>
    <row r="613" customFormat="false" ht="15" hidden="false" customHeight="false" outlineLevel="0" collapsed="false">
      <c r="A613" s="12" t="n">
        <v>610</v>
      </c>
      <c r="B613" s="12" t="s">
        <v>1837</v>
      </c>
      <c r="C613" s="12" t="s">
        <v>2010</v>
      </c>
      <c r="D613" s="40" t="n">
        <v>77138</v>
      </c>
      <c r="E613" s="31" t="s">
        <v>228</v>
      </c>
      <c r="F613" s="12" t="str">
        <f aca="false">IFERROR(INDEX('Расчет Кплотн'!$C:$C,MATCH(E613,'Расчет Кплотн'!$A:$A,0)),"код не найден")</f>
        <v>Жетысайский район</v>
      </c>
      <c r="G613" s="12" t="s">
        <v>503</v>
      </c>
      <c r="H613" s="12" t="s">
        <v>2011</v>
      </c>
      <c r="I613" s="12" t="s">
        <v>1881</v>
      </c>
    </row>
    <row r="614" customFormat="false" ht="15" hidden="false" customHeight="false" outlineLevel="0" collapsed="false">
      <c r="A614" s="12" t="n">
        <v>611</v>
      </c>
      <c r="B614" s="12" t="s">
        <v>1837</v>
      </c>
      <c r="C614" s="12" t="s">
        <v>2012</v>
      </c>
      <c r="D614" s="40" t="n">
        <v>112711</v>
      </c>
      <c r="E614" s="47" t="s">
        <v>234</v>
      </c>
      <c r="F614" s="12" t="str">
        <f aca="false">IFERROR(INDEX('Расчет Кплотн'!$C:$C,MATCH(E614,'Расчет Кплотн'!$A:$A,0)),"код не найден")</f>
        <v>Сайрамский район</v>
      </c>
      <c r="G614" s="12" t="s">
        <v>2015</v>
      </c>
      <c r="H614" s="12" t="s">
        <v>2013</v>
      </c>
      <c r="I614" s="12" t="s">
        <v>2014</v>
      </c>
    </row>
    <row r="615" customFormat="false" ht="15" hidden="false" customHeight="false" outlineLevel="0" collapsed="false">
      <c r="A615" s="12" t="n">
        <v>612</v>
      </c>
      <c r="B615" s="12" t="s">
        <v>1837</v>
      </c>
      <c r="C615" s="12" t="s">
        <v>2016</v>
      </c>
      <c r="D615" s="40" t="n">
        <v>82011</v>
      </c>
      <c r="E615" s="31" t="s">
        <v>232</v>
      </c>
      <c r="F615" s="12" t="str">
        <f aca="false">IFERROR(INDEX('Расчет Кплотн'!$C:$C,MATCH(E615,'Расчет Кплотн'!$A:$A,0)),"код не найден")</f>
        <v>Ордабасынский район</v>
      </c>
      <c r="G615" s="12" t="s">
        <v>503</v>
      </c>
      <c r="H615" s="12" t="s">
        <v>2017</v>
      </c>
      <c r="I615" s="12" t="s">
        <v>1908</v>
      </c>
    </row>
    <row r="616" customFormat="false" ht="15" hidden="false" customHeight="false" outlineLevel="0" collapsed="false">
      <c r="A616" s="12" t="n">
        <v>613</v>
      </c>
      <c r="B616" s="12" t="s">
        <v>1837</v>
      </c>
      <c r="C616" s="12" t="s">
        <v>2018</v>
      </c>
      <c r="D616" s="40" t="n">
        <v>6095</v>
      </c>
      <c r="E616" s="47" t="s">
        <v>226</v>
      </c>
      <c r="F616" s="12" t="str">
        <f aca="false">IFERROR(INDEX('Расчет Кплотн'!$C:$C,MATCH(E616,'Расчет Кплотн'!$A:$A,0)),"код не найден")</f>
        <v>Кентау</v>
      </c>
      <c r="G616" s="12" t="s">
        <v>2021</v>
      </c>
      <c r="H616" s="12" t="s">
        <v>2019</v>
      </c>
      <c r="I616" s="12" t="s">
        <v>2020</v>
      </c>
    </row>
    <row r="617" customFormat="false" ht="15" hidden="false" customHeight="false" outlineLevel="0" collapsed="false">
      <c r="A617" s="12" t="n">
        <v>614</v>
      </c>
      <c r="B617" s="12" t="s">
        <v>2022</v>
      </c>
      <c r="C617" s="12" t="s">
        <v>2023</v>
      </c>
      <c r="D617" s="40" t="n">
        <v>10454</v>
      </c>
      <c r="E617" s="31" t="s">
        <v>241</v>
      </c>
      <c r="F617" s="12" t="str">
        <f aca="false">IFERROR(INDEX('Расчет Кплотн'!$C:$C,MATCH(E617,'Расчет Кплотн'!$A:$A,0)),"код не найден")</f>
        <v>Жезказган</v>
      </c>
      <c r="G617" s="12" t="s">
        <v>503</v>
      </c>
      <c r="H617" s="12" t="s">
        <v>2024</v>
      </c>
      <c r="I617" s="12" t="s">
        <v>2025</v>
      </c>
    </row>
    <row r="618" customFormat="false" ht="15" hidden="false" customHeight="false" outlineLevel="0" collapsed="false">
      <c r="A618" s="12" t="n">
        <v>615</v>
      </c>
      <c r="B618" s="12" t="s">
        <v>2022</v>
      </c>
      <c r="C618" s="12" t="s">
        <v>2026</v>
      </c>
      <c r="D618" s="40" t="n">
        <v>11672</v>
      </c>
      <c r="E618" s="47" t="s">
        <v>241</v>
      </c>
      <c r="F618" s="12" t="str">
        <f aca="false">IFERROR(INDEX('Расчет Кплотн'!$C:$C,MATCH(E618,'Расчет Кплотн'!$A:$A,0)),"код не найден")</f>
        <v>Жезказган</v>
      </c>
      <c r="G618" s="12" t="s">
        <v>2028</v>
      </c>
      <c r="H618" s="12" t="s">
        <v>2027</v>
      </c>
      <c r="I618" s="12"/>
    </row>
    <row r="619" customFormat="false" ht="15" hidden="false" customHeight="false" outlineLevel="0" collapsed="false">
      <c r="A619" s="12" t="n">
        <v>616</v>
      </c>
      <c r="B619" s="12" t="s">
        <v>2022</v>
      </c>
      <c r="C619" s="12" t="s">
        <v>2029</v>
      </c>
      <c r="D619" s="40" t="n">
        <v>34905</v>
      </c>
      <c r="E619" s="31" t="s">
        <v>241</v>
      </c>
      <c r="F619" s="12" t="str">
        <f aca="false">IFERROR(INDEX('Расчет Кплотн'!$C:$C,MATCH(E619,'Расчет Кплотн'!$A:$A,0)),"код не найден")</f>
        <v>Жезказган</v>
      </c>
      <c r="G619" s="12" t="s">
        <v>503</v>
      </c>
      <c r="H619" s="12" t="s">
        <v>2030</v>
      </c>
      <c r="I619" s="12" t="s">
        <v>2025</v>
      </c>
    </row>
    <row r="620" customFormat="false" ht="15" hidden="false" customHeight="false" outlineLevel="0" collapsed="false">
      <c r="A620" s="12" t="n">
        <v>617</v>
      </c>
      <c r="B620" s="12" t="s">
        <v>2022</v>
      </c>
      <c r="C620" s="12" t="s">
        <v>2031</v>
      </c>
      <c r="D620" s="40" t="n">
        <v>12997</v>
      </c>
      <c r="E620" s="31" t="s">
        <v>241</v>
      </c>
      <c r="F620" s="12" t="str">
        <f aca="false">IFERROR(INDEX('Расчет Кплотн'!$C:$C,MATCH(E620,'Расчет Кплотн'!$A:$A,0)),"код не найден")</f>
        <v>Жезказган</v>
      </c>
      <c r="G620" s="12" t="s">
        <v>503</v>
      </c>
      <c r="H620" s="12" t="s">
        <v>2032</v>
      </c>
      <c r="I620" s="12" t="s">
        <v>2025</v>
      </c>
    </row>
    <row r="621" customFormat="false" ht="15" hidden="false" customHeight="false" outlineLevel="0" collapsed="false">
      <c r="A621" s="12" t="n">
        <v>618</v>
      </c>
      <c r="B621" s="12" t="s">
        <v>2022</v>
      </c>
      <c r="C621" s="12" t="s">
        <v>2033</v>
      </c>
      <c r="D621" s="40" t="n">
        <v>9278</v>
      </c>
      <c r="E621" s="31" t="s">
        <v>243</v>
      </c>
      <c r="F621" s="12" t="str">
        <f aca="false">IFERROR(INDEX('Расчет Кплотн'!$C:$C,MATCH(E621,'Расчет Кплотн'!$A:$A,0)),"код не найден")</f>
        <v>Сатпаев</v>
      </c>
      <c r="G621" s="12" t="s">
        <v>503</v>
      </c>
      <c r="H621" s="12" t="s">
        <v>2034</v>
      </c>
      <c r="I621" s="12" t="s">
        <v>2035</v>
      </c>
    </row>
    <row r="622" customFormat="false" ht="15" hidden="false" customHeight="false" outlineLevel="0" collapsed="false">
      <c r="A622" s="12" t="n">
        <v>619</v>
      </c>
      <c r="B622" s="12" t="s">
        <v>2022</v>
      </c>
      <c r="C622" s="12" t="s">
        <v>2036</v>
      </c>
      <c r="D622" s="40" t="n">
        <v>6656</v>
      </c>
      <c r="E622" s="31" t="s">
        <v>241</v>
      </c>
      <c r="F622" s="12" t="str">
        <f aca="false">IFERROR(INDEX('Расчет Кплотн'!$C:$C,MATCH(E622,'Расчет Кплотн'!$A:$A,0)),"код не найден")</f>
        <v>Жезказган</v>
      </c>
      <c r="G622" s="12" t="s">
        <v>503</v>
      </c>
      <c r="H622" s="12" t="s">
        <v>2037</v>
      </c>
      <c r="I622" s="12" t="s">
        <v>2025</v>
      </c>
    </row>
    <row r="623" customFormat="false" ht="15" hidden="false" customHeight="false" outlineLevel="0" collapsed="false">
      <c r="A623" s="12" t="n">
        <v>620</v>
      </c>
      <c r="B623" s="12" t="s">
        <v>2022</v>
      </c>
      <c r="C623" s="12" t="s">
        <v>2038</v>
      </c>
      <c r="D623" s="40" t="n">
        <v>9735</v>
      </c>
      <c r="E623" s="31" t="s">
        <v>241</v>
      </c>
      <c r="F623" s="12" t="str">
        <f aca="false">IFERROR(INDEX('Расчет Кплотн'!$C:$C,MATCH(E623,'Расчет Кплотн'!$A:$A,0)),"код не найден")</f>
        <v>Жезказган</v>
      </c>
      <c r="G623" s="12" t="s">
        <v>503</v>
      </c>
      <c r="H623" s="12" t="s">
        <v>2039</v>
      </c>
      <c r="I623" s="12" t="s">
        <v>2025</v>
      </c>
    </row>
    <row r="624" customFormat="false" ht="15" hidden="false" customHeight="false" outlineLevel="0" collapsed="false">
      <c r="A624" s="12" t="n">
        <v>621</v>
      </c>
      <c r="B624" s="12" t="s">
        <v>2022</v>
      </c>
      <c r="C624" s="12" t="s">
        <v>2040</v>
      </c>
      <c r="D624" s="40" t="n">
        <v>5700</v>
      </c>
      <c r="E624" s="31" t="s">
        <v>241</v>
      </c>
      <c r="F624" s="12" t="str">
        <f aca="false">IFERROR(INDEX('Расчет Кплотн'!$C:$C,MATCH(E624,'Расчет Кплотн'!$A:$A,0)),"код не найден")</f>
        <v>Жезказган</v>
      </c>
      <c r="G624" s="12" t="s">
        <v>503</v>
      </c>
      <c r="H624" s="12" t="s">
        <v>2041</v>
      </c>
      <c r="I624" s="12" t="s">
        <v>2025</v>
      </c>
    </row>
    <row r="625" customFormat="false" ht="15" hidden="false" customHeight="false" outlineLevel="0" collapsed="false">
      <c r="A625" s="12" t="n">
        <v>622</v>
      </c>
      <c r="B625" s="12" t="s">
        <v>2022</v>
      </c>
      <c r="C625" s="12" t="s">
        <v>2042</v>
      </c>
      <c r="D625" s="40" t="n">
        <v>14947</v>
      </c>
      <c r="E625" s="31" t="s">
        <v>241</v>
      </c>
      <c r="F625" s="12" t="str">
        <f aca="false">IFERROR(INDEX('Расчет Кплотн'!$C:$C,MATCH(E625,'Расчет Кплотн'!$A:$A,0)),"код не найден")</f>
        <v>Жезказган</v>
      </c>
      <c r="G625" s="12" t="s">
        <v>503</v>
      </c>
      <c r="H625" s="12" t="s">
        <v>2043</v>
      </c>
      <c r="I625" s="12" t="s">
        <v>2025</v>
      </c>
    </row>
    <row r="626" customFormat="false" ht="15" hidden="false" customHeight="false" outlineLevel="0" collapsed="false">
      <c r="A626" s="12" t="n">
        <v>623</v>
      </c>
      <c r="B626" s="12" t="s">
        <v>2022</v>
      </c>
      <c r="C626" s="12" t="s">
        <v>2044</v>
      </c>
      <c r="D626" s="40" t="n">
        <v>6565</v>
      </c>
      <c r="E626" s="31" t="s">
        <v>241</v>
      </c>
      <c r="F626" s="12" t="str">
        <f aca="false">IFERROR(INDEX('Расчет Кплотн'!$C:$C,MATCH(E626,'Расчет Кплотн'!$A:$A,0)),"код не найден")</f>
        <v>Жезказган</v>
      </c>
      <c r="G626" s="12" t="s">
        <v>503</v>
      </c>
      <c r="H626" s="12" t="s">
        <v>2045</v>
      </c>
      <c r="I626" s="12" t="s">
        <v>2025</v>
      </c>
    </row>
    <row r="627" customFormat="false" ht="15" hidden="false" customHeight="false" outlineLevel="0" collapsed="false">
      <c r="A627" s="12" t="n">
        <v>624</v>
      </c>
      <c r="B627" s="12" t="s">
        <v>2022</v>
      </c>
      <c r="C627" s="12" t="s">
        <v>2046</v>
      </c>
      <c r="D627" s="40" t="n">
        <v>27646</v>
      </c>
      <c r="E627" s="31" t="s">
        <v>244</v>
      </c>
      <c r="F627" s="12" t="str">
        <f aca="false">IFERROR(INDEX('Расчет Кплотн'!$C:$C,MATCH(E627,'Расчет Кплотн'!$A:$A,0)),"код не найден")</f>
        <v>Жанааркинский район</v>
      </c>
      <c r="G627" s="12" t="s">
        <v>503</v>
      </c>
      <c r="H627" s="12" t="s">
        <v>2047</v>
      </c>
      <c r="I627" s="12" t="s">
        <v>2048</v>
      </c>
    </row>
    <row r="628" customFormat="false" ht="15" hidden="false" customHeight="false" outlineLevel="0" collapsed="false">
      <c r="A628" s="12" t="n">
        <v>625</v>
      </c>
      <c r="B628" s="12" t="s">
        <v>2022</v>
      </c>
      <c r="C628" s="12" t="s">
        <v>2049</v>
      </c>
      <c r="D628" s="40" t="n">
        <v>8241</v>
      </c>
      <c r="E628" s="31" t="s">
        <v>243</v>
      </c>
      <c r="F628" s="12" t="str">
        <f aca="false">IFERROR(INDEX('Расчет Кплотн'!$C:$C,MATCH(E628,'Расчет Кплотн'!$A:$A,0)),"код не найден")</f>
        <v>Сатпаев</v>
      </c>
      <c r="G628" s="12" t="s">
        <v>503</v>
      </c>
      <c r="H628" s="12" t="s">
        <v>2050</v>
      </c>
      <c r="I628" s="12" t="s">
        <v>2035</v>
      </c>
    </row>
    <row r="629" customFormat="false" ht="15" hidden="false" customHeight="false" outlineLevel="0" collapsed="false">
      <c r="A629" s="12" t="n">
        <v>626</v>
      </c>
      <c r="B629" s="12" t="s">
        <v>2022</v>
      </c>
      <c r="C629" s="12" t="s">
        <v>2051</v>
      </c>
      <c r="D629" s="40" t="n">
        <v>8282</v>
      </c>
      <c r="E629" s="31" t="s">
        <v>245</v>
      </c>
      <c r="F629" s="12" t="str">
        <f aca="false">IFERROR(INDEX('Расчет Кплотн'!$C:$C,MATCH(E629,'Расчет Кплотн'!$A:$A,0)),"код не найден")</f>
        <v>Улытауский район</v>
      </c>
      <c r="G629" s="12" t="s">
        <v>503</v>
      </c>
      <c r="H629" s="12" t="s">
        <v>2052</v>
      </c>
      <c r="I629" s="12" t="s">
        <v>2053</v>
      </c>
    </row>
    <row r="630" customFormat="false" ht="15" hidden="false" customHeight="false" outlineLevel="0" collapsed="false">
      <c r="A630" s="12" t="n">
        <v>627</v>
      </c>
      <c r="B630" s="12" t="s">
        <v>2022</v>
      </c>
      <c r="C630" s="12" t="s">
        <v>2054</v>
      </c>
      <c r="D630" s="40" t="n">
        <v>7699</v>
      </c>
      <c r="E630" s="31" t="s">
        <v>242</v>
      </c>
      <c r="F630" s="12" t="str">
        <f aca="false">IFERROR(INDEX('Расчет Кплотн'!$C:$C,MATCH(E630,'Расчет Кплотн'!$A:$A,0)),"код не найден")</f>
        <v>Каражал</v>
      </c>
      <c r="G630" s="12" t="s">
        <v>503</v>
      </c>
      <c r="H630" s="12" t="s">
        <v>2055</v>
      </c>
      <c r="I630" s="12" t="s">
        <v>2056</v>
      </c>
    </row>
    <row r="631" customFormat="false" ht="15" hidden="false" customHeight="false" outlineLevel="0" collapsed="false">
      <c r="A631" s="12" t="n">
        <v>628</v>
      </c>
      <c r="B631" s="12" t="s">
        <v>2022</v>
      </c>
      <c r="C631" s="12" t="s">
        <v>2057</v>
      </c>
      <c r="D631" s="40" t="n">
        <v>30930</v>
      </c>
      <c r="E631" s="31" t="s">
        <v>243</v>
      </c>
      <c r="F631" s="12" t="str">
        <f aca="false">IFERROR(INDEX('Расчет Кплотн'!$C:$C,MATCH(E631,'Расчет Кплотн'!$A:$A,0)),"код не найден")</f>
        <v>Сатпаев</v>
      </c>
      <c r="G631" s="12" t="s">
        <v>503</v>
      </c>
      <c r="H631" s="12" t="s">
        <v>2058</v>
      </c>
      <c r="I631" s="12" t="s">
        <v>2035</v>
      </c>
    </row>
    <row r="632" customFormat="false" ht="15" hidden="false" customHeight="false" outlineLevel="0" collapsed="false">
      <c r="A632" s="12" t="n">
        <v>629</v>
      </c>
      <c r="B632" s="12" t="s">
        <v>2022</v>
      </c>
      <c r="C632" s="12" t="s">
        <v>2059</v>
      </c>
      <c r="D632" s="40" t="n">
        <v>8765</v>
      </c>
      <c r="E632" s="31" t="s">
        <v>242</v>
      </c>
      <c r="F632" s="12" t="str">
        <f aca="false">IFERROR(INDEX('Расчет Кплотн'!$C:$C,MATCH(E632,'Расчет Кплотн'!$A:$A,0)),"код не найден")</f>
        <v>Каражал</v>
      </c>
      <c r="G632" s="12" t="s">
        <v>503</v>
      </c>
      <c r="H632" s="12" t="s">
        <v>2060</v>
      </c>
      <c r="I632" s="12" t="s">
        <v>2061</v>
      </c>
    </row>
    <row r="633" customFormat="false" ht="15" hidden="false" customHeight="false" outlineLevel="0" collapsed="false">
      <c r="A633" s="12" t="n">
        <v>630</v>
      </c>
      <c r="B633" s="12" t="s">
        <v>2062</v>
      </c>
      <c r="C633" s="12" t="s">
        <v>2063</v>
      </c>
      <c r="D633" s="40" t="n">
        <v>35854</v>
      </c>
      <c r="E633" s="31" t="s">
        <v>261</v>
      </c>
      <c r="F633" s="12" t="str">
        <f aca="false">IFERROR(INDEX('Расчет Кплотн'!$C:$C,MATCH(E633,'Расчет Кплотн'!$A:$A,0)),"код не найден")</f>
        <v>г. Шымкент</v>
      </c>
      <c r="G633" s="12" t="s">
        <v>503</v>
      </c>
      <c r="H633" s="12" t="s">
        <v>2064</v>
      </c>
      <c r="I633" s="12" t="s">
        <v>2065</v>
      </c>
    </row>
    <row r="634" customFormat="false" ht="15" hidden="false" customHeight="false" outlineLevel="0" collapsed="false">
      <c r="A634" s="12" t="n">
        <v>631</v>
      </c>
      <c r="B634" s="12" t="s">
        <v>2062</v>
      </c>
      <c r="C634" s="12" t="s">
        <v>2066</v>
      </c>
      <c r="D634" s="40" t="n">
        <v>36399</v>
      </c>
      <c r="E634" s="31" t="s">
        <v>261</v>
      </c>
      <c r="F634" s="12" t="str">
        <f aca="false">IFERROR(INDEX('Расчет Кплотн'!$C:$C,MATCH(E634,'Расчет Кплотн'!$A:$A,0)),"код не найден")</f>
        <v>г. Шымкент</v>
      </c>
      <c r="G634" s="12" t="s">
        <v>503</v>
      </c>
      <c r="H634" s="12" t="s">
        <v>2067</v>
      </c>
      <c r="I634" s="12" t="s">
        <v>2068</v>
      </c>
    </row>
    <row r="635" customFormat="false" ht="15" hidden="false" customHeight="false" outlineLevel="0" collapsed="false">
      <c r="A635" s="12" t="n">
        <v>632</v>
      </c>
      <c r="B635" s="12" t="s">
        <v>2062</v>
      </c>
      <c r="C635" s="12" t="s">
        <v>2069</v>
      </c>
      <c r="D635" s="40" t="n">
        <v>4736</v>
      </c>
      <c r="E635" s="31" t="s">
        <v>261</v>
      </c>
      <c r="F635" s="12" t="str">
        <f aca="false">IFERROR(INDEX('Расчет Кплотн'!$C:$C,MATCH(E635,'Расчет Кплотн'!$A:$A,0)),"код не найден")</f>
        <v>г. Шымкент</v>
      </c>
      <c r="G635" s="12" t="s">
        <v>503</v>
      </c>
      <c r="H635" s="12" t="s">
        <v>2070</v>
      </c>
      <c r="I635" s="12" t="s">
        <v>2065</v>
      </c>
    </row>
    <row r="636" customFormat="false" ht="15" hidden="false" customHeight="false" outlineLevel="0" collapsed="false">
      <c r="A636" s="12" t="n">
        <v>633</v>
      </c>
      <c r="B636" s="12" t="s">
        <v>2062</v>
      </c>
      <c r="C636" s="12" t="s">
        <v>2071</v>
      </c>
      <c r="D636" s="40" t="n">
        <v>10463</v>
      </c>
      <c r="E636" s="31" t="s">
        <v>261</v>
      </c>
      <c r="F636" s="12" t="str">
        <f aca="false">IFERROR(INDEX('Расчет Кплотн'!$C:$C,MATCH(E636,'Расчет Кплотн'!$A:$A,0)),"код не найден")</f>
        <v>г. Шымкент</v>
      </c>
      <c r="G636" s="12" t="s">
        <v>503</v>
      </c>
      <c r="H636" s="12" t="s">
        <v>2072</v>
      </c>
      <c r="I636" s="12" t="s">
        <v>2068</v>
      </c>
    </row>
    <row r="637" customFormat="false" ht="15" hidden="false" customHeight="false" outlineLevel="0" collapsed="false">
      <c r="A637" s="12" t="n">
        <v>634</v>
      </c>
      <c r="B637" s="12" t="s">
        <v>2062</v>
      </c>
      <c r="C637" s="12" t="s">
        <v>2073</v>
      </c>
      <c r="D637" s="40" t="n">
        <v>9304</v>
      </c>
      <c r="E637" s="31" t="s">
        <v>261</v>
      </c>
      <c r="F637" s="12" t="str">
        <f aca="false">IFERROR(INDEX('Расчет Кплотн'!$C:$C,MATCH(E637,'Расчет Кплотн'!$A:$A,0)),"код не найден")</f>
        <v>г. Шымкент</v>
      </c>
      <c r="G637" s="12" t="s">
        <v>503</v>
      </c>
      <c r="H637" s="12" t="s">
        <v>2074</v>
      </c>
      <c r="I637" s="12" t="s">
        <v>2065</v>
      </c>
    </row>
    <row r="638" customFormat="false" ht="15" hidden="false" customHeight="false" outlineLevel="0" collapsed="false">
      <c r="A638" s="12" t="n">
        <v>635</v>
      </c>
      <c r="B638" s="12" t="s">
        <v>2062</v>
      </c>
      <c r="C638" s="12" t="s">
        <v>2075</v>
      </c>
      <c r="D638" s="40" t="n">
        <v>8272</v>
      </c>
      <c r="E638" s="31" t="s">
        <v>261</v>
      </c>
      <c r="F638" s="12" t="str">
        <f aca="false">IFERROR(INDEX('Расчет Кплотн'!$C:$C,MATCH(E638,'Расчет Кплотн'!$A:$A,0)),"код не найден")</f>
        <v>г. Шымкент</v>
      </c>
      <c r="G638" s="12" t="s">
        <v>503</v>
      </c>
      <c r="H638" s="12" t="s">
        <v>2076</v>
      </c>
      <c r="I638" s="12" t="s">
        <v>1938</v>
      </c>
    </row>
    <row r="639" customFormat="false" ht="15" hidden="false" customHeight="false" outlineLevel="0" collapsed="false">
      <c r="A639" s="12" t="n">
        <v>636</v>
      </c>
      <c r="B639" s="12" t="s">
        <v>2062</v>
      </c>
      <c r="C639" s="12" t="s">
        <v>2077</v>
      </c>
      <c r="D639" s="40" t="n">
        <v>10217</v>
      </c>
      <c r="E639" s="31" t="s">
        <v>261</v>
      </c>
      <c r="F639" s="12" t="str">
        <f aca="false">IFERROR(INDEX('Расчет Кплотн'!$C:$C,MATCH(E639,'Расчет Кплотн'!$A:$A,0)),"код не найден")</f>
        <v>г. Шымкент</v>
      </c>
      <c r="G639" s="12" t="s">
        <v>503</v>
      </c>
      <c r="H639" s="12" t="s">
        <v>2078</v>
      </c>
      <c r="I639" s="12" t="s">
        <v>2079</v>
      </c>
    </row>
    <row r="640" customFormat="false" ht="15" hidden="false" customHeight="false" outlineLevel="0" collapsed="false">
      <c r="A640" s="12" t="n">
        <v>637</v>
      </c>
      <c r="B640" s="12" t="s">
        <v>2062</v>
      </c>
      <c r="C640" s="12" t="s">
        <v>2080</v>
      </c>
      <c r="D640" s="40" t="n">
        <v>14342</v>
      </c>
      <c r="E640" s="31" t="s">
        <v>261</v>
      </c>
      <c r="F640" s="12" t="str">
        <f aca="false">IFERROR(INDEX('Расчет Кплотн'!$C:$C,MATCH(E640,'Расчет Кплотн'!$A:$A,0)),"код не найден")</f>
        <v>г. Шымкент</v>
      </c>
      <c r="G640" s="12" t="s">
        <v>503</v>
      </c>
      <c r="H640" s="12" t="s">
        <v>2081</v>
      </c>
      <c r="I640" s="12" t="s">
        <v>2068</v>
      </c>
    </row>
    <row r="641" customFormat="false" ht="15" hidden="false" customHeight="false" outlineLevel="0" collapsed="false">
      <c r="A641" s="12" t="n">
        <v>638</v>
      </c>
      <c r="B641" s="12" t="s">
        <v>2062</v>
      </c>
      <c r="C641" s="12" t="s">
        <v>2082</v>
      </c>
      <c r="D641" s="40" t="n">
        <v>18042</v>
      </c>
      <c r="E641" s="31" t="s">
        <v>261</v>
      </c>
      <c r="F641" s="12" t="str">
        <f aca="false">IFERROR(INDEX('Расчет Кплотн'!$C:$C,MATCH(E641,'Расчет Кплотн'!$A:$A,0)),"код не найден")</f>
        <v>г. Шымкент</v>
      </c>
      <c r="G641" s="12" t="s">
        <v>503</v>
      </c>
      <c r="H641" s="12" t="s">
        <v>2083</v>
      </c>
      <c r="I641" s="12" t="s">
        <v>1938</v>
      </c>
    </row>
    <row r="642" customFormat="false" ht="15" hidden="false" customHeight="false" outlineLevel="0" collapsed="false">
      <c r="A642" s="12" t="n">
        <v>639</v>
      </c>
      <c r="B642" s="12" t="s">
        <v>2062</v>
      </c>
      <c r="C642" s="12" t="s">
        <v>2084</v>
      </c>
      <c r="D642" s="40" t="n">
        <v>62515</v>
      </c>
      <c r="E642" s="31" t="s">
        <v>261</v>
      </c>
      <c r="F642" s="12" t="str">
        <f aca="false">IFERROR(INDEX('Расчет Кплотн'!$C:$C,MATCH(E642,'Расчет Кплотн'!$A:$A,0)),"код не найден")</f>
        <v>г. Шымкент</v>
      </c>
      <c r="G642" s="12" t="s">
        <v>503</v>
      </c>
      <c r="H642" s="12" t="s">
        <v>2085</v>
      </c>
      <c r="I642" s="12" t="s">
        <v>2065</v>
      </c>
    </row>
    <row r="643" customFormat="false" ht="15" hidden="false" customHeight="false" outlineLevel="0" collapsed="false">
      <c r="A643" s="12" t="n">
        <v>640</v>
      </c>
      <c r="B643" s="12" t="s">
        <v>2062</v>
      </c>
      <c r="C643" s="12" t="s">
        <v>2086</v>
      </c>
      <c r="D643" s="40" t="n">
        <v>56095</v>
      </c>
      <c r="E643" s="31" t="s">
        <v>261</v>
      </c>
      <c r="F643" s="12" t="str">
        <f aca="false">IFERROR(INDEX('Расчет Кплотн'!$C:$C,MATCH(E643,'Расчет Кплотн'!$A:$A,0)),"код не найден")</f>
        <v>г. Шымкент</v>
      </c>
      <c r="G643" s="12" t="s">
        <v>503</v>
      </c>
      <c r="H643" s="12" t="s">
        <v>2087</v>
      </c>
      <c r="I643" s="12" t="s">
        <v>2068</v>
      </c>
    </row>
    <row r="644" customFormat="false" ht="15" hidden="false" customHeight="false" outlineLevel="0" collapsed="false">
      <c r="A644" s="12" t="n">
        <v>641</v>
      </c>
      <c r="B644" s="12" t="s">
        <v>2062</v>
      </c>
      <c r="C644" s="12" t="s">
        <v>2088</v>
      </c>
      <c r="D644" s="40" t="n">
        <v>2815</v>
      </c>
      <c r="E644" s="31" t="s">
        <v>261</v>
      </c>
      <c r="F644" s="12" t="str">
        <f aca="false">IFERROR(INDEX('Расчет Кплотн'!$C:$C,MATCH(E644,'Расчет Кплотн'!$A:$A,0)),"код не найден")</f>
        <v>г. Шымкент</v>
      </c>
      <c r="G644" s="12" t="s">
        <v>503</v>
      </c>
      <c r="H644" s="12" t="s">
        <v>2089</v>
      </c>
      <c r="I644" s="12" t="s">
        <v>2079</v>
      </c>
    </row>
    <row r="645" customFormat="false" ht="15" hidden="false" customHeight="false" outlineLevel="0" collapsed="false">
      <c r="A645" s="12" t="n">
        <v>642</v>
      </c>
      <c r="B645" s="12" t="s">
        <v>2062</v>
      </c>
      <c r="C645" s="12" t="s">
        <v>2090</v>
      </c>
      <c r="D645" s="40" t="n">
        <v>26563</v>
      </c>
      <c r="E645" s="31" t="s">
        <v>261</v>
      </c>
      <c r="F645" s="12" t="str">
        <f aca="false">IFERROR(INDEX('Расчет Кплотн'!$C:$C,MATCH(E645,'Расчет Кплотн'!$A:$A,0)),"код не найден")</f>
        <v>г. Шымкент</v>
      </c>
      <c r="G645" s="12" t="s">
        <v>503</v>
      </c>
      <c r="H645" s="12" t="s">
        <v>2091</v>
      </c>
      <c r="I645" s="12" t="s">
        <v>2079</v>
      </c>
    </row>
    <row r="646" customFormat="false" ht="15" hidden="false" customHeight="false" outlineLevel="0" collapsed="false">
      <c r="A646" s="12" t="n">
        <v>643</v>
      </c>
      <c r="B646" s="12" t="s">
        <v>2062</v>
      </c>
      <c r="C646" s="12" t="s">
        <v>2092</v>
      </c>
      <c r="D646" s="40" t="n">
        <v>10197</v>
      </c>
      <c r="E646" s="31" t="s">
        <v>261</v>
      </c>
      <c r="F646" s="12" t="str">
        <f aca="false">IFERROR(INDEX('Расчет Кплотн'!$C:$C,MATCH(E646,'Расчет Кплотн'!$A:$A,0)),"код не найден")</f>
        <v>г. Шымкент</v>
      </c>
      <c r="G646" s="12" t="s">
        <v>503</v>
      </c>
      <c r="H646" s="12" t="s">
        <v>2093</v>
      </c>
      <c r="I646" s="12" t="s">
        <v>2068</v>
      </c>
    </row>
    <row r="647" customFormat="false" ht="15" hidden="false" customHeight="false" outlineLevel="0" collapsed="false">
      <c r="A647" s="12" t="n">
        <v>644</v>
      </c>
      <c r="B647" s="12" t="s">
        <v>2062</v>
      </c>
      <c r="C647" s="12" t="s">
        <v>2094</v>
      </c>
      <c r="D647" s="40" t="n">
        <v>45754</v>
      </c>
      <c r="E647" s="31" t="s">
        <v>261</v>
      </c>
      <c r="F647" s="12" t="str">
        <f aca="false">IFERROR(INDEX('Расчет Кплотн'!$C:$C,MATCH(E647,'Расчет Кплотн'!$A:$A,0)),"код не найден")</f>
        <v>г. Шымкент</v>
      </c>
      <c r="G647" s="12" t="s">
        <v>503</v>
      </c>
      <c r="H647" s="12" t="s">
        <v>2095</v>
      </c>
      <c r="I647" s="12" t="s">
        <v>2065</v>
      </c>
    </row>
    <row r="648" customFormat="false" ht="15" hidden="false" customHeight="false" outlineLevel="0" collapsed="false">
      <c r="A648" s="12" t="n">
        <v>645</v>
      </c>
      <c r="B648" s="12" t="s">
        <v>2062</v>
      </c>
      <c r="C648" s="12" t="s">
        <v>2096</v>
      </c>
      <c r="D648" s="40" t="n">
        <v>3344</v>
      </c>
      <c r="E648" s="31" t="s">
        <v>261</v>
      </c>
      <c r="F648" s="12" t="str">
        <f aca="false">IFERROR(INDEX('Расчет Кплотн'!$C:$C,MATCH(E648,'Расчет Кплотн'!$A:$A,0)),"код не найден")</f>
        <v>г. Шымкент</v>
      </c>
      <c r="G648" s="12" t="s">
        <v>503</v>
      </c>
      <c r="H648" s="12" t="s">
        <v>2097</v>
      </c>
      <c r="I648" s="12" t="s">
        <v>2065</v>
      </c>
    </row>
    <row r="649" customFormat="false" ht="15" hidden="false" customHeight="false" outlineLevel="0" collapsed="false">
      <c r="A649" s="12" t="n">
        <v>646</v>
      </c>
      <c r="B649" s="12" t="s">
        <v>2062</v>
      </c>
      <c r="C649" s="12" t="s">
        <v>2098</v>
      </c>
      <c r="D649" s="40" t="n">
        <v>20257</v>
      </c>
      <c r="E649" s="31" t="s">
        <v>261</v>
      </c>
      <c r="F649" s="12" t="str">
        <f aca="false">IFERROR(INDEX('Расчет Кплотн'!$C:$C,MATCH(E649,'Расчет Кплотн'!$A:$A,0)),"код не найден")</f>
        <v>г. Шымкент</v>
      </c>
      <c r="G649" s="12" t="s">
        <v>503</v>
      </c>
      <c r="H649" s="12" t="s">
        <v>2099</v>
      </c>
      <c r="I649" s="12" t="s">
        <v>2065</v>
      </c>
    </row>
    <row r="650" customFormat="false" ht="15" hidden="false" customHeight="false" outlineLevel="0" collapsed="false">
      <c r="A650" s="12" t="n">
        <v>647</v>
      </c>
      <c r="B650" s="12" t="s">
        <v>2062</v>
      </c>
      <c r="C650" s="12" t="s">
        <v>2100</v>
      </c>
      <c r="D650" s="40" t="n">
        <v>21092</v>
      </c>
      <c r="E650" s="31" t="s">
        <v>261</v>
      </c>
      <c r="F650" s="12" t="str">
        <f aca="false">IFERROR(INDEX('Расчет Кплотн'!$C:$C,MATCH(E650,'Расчет Кплотн'!$A:$A,0)),"код не найден")</f>
        <v>г. Шымкент</v>
      </c>
      <c r="G650" s="12" t="s">
        <v>503</v>
      </c>
      <c r="H650" s="12" t="s">
        <v>2101</v>
      </c>
      <c r="I650" s="12" t="s">
        <v>2068</v>
      </c>
    </row>
    <row r="651" customFormat="false" ht="15" hidden="false" customHeight="false" outlineLevel="0" collapsed="false">
      <c r="A651" s="12" t="n">
        <v>648</v>
      </c>
      <c r="B651" s="12" t="s">
        <v>2062</v>
      </c>
      <c r="C651" s="12" t="s">
        <v>2102</v>
      </c>
      <c r="D651" s="40" t="n">
        <v>7695</v>
      </c>
      <c r="E651" s="31" t="s">
        <v>261</v>
      </c>
      <c r="F651" s="12" t="str">
        <f aca="false">IFERROR(INDEX('Расчет Кплотн'!$C:$C,MATCH(E651,'Расчет Кплотн'!$A:$A,0)),"код не найден")</f>
        <v>г. Шымкент</v>
      </c>
      <c r="G651" s="12" t="s">
        <v>503</v>
      </c>
      <c r="H651" s="12" t="s">
        <v>2103</v>
      </c>
      <c r="I651" s="12" t="s">
        <v>2068</v>
      </c>
    </row>
    <row r="652" customFormat="false" ht="15" hidden="false" customHeight="false" outlineLevel="0" collapsed="false">
      <c r="A652" s="12" t="n">
        <v>649</v>
      </c>
      <c r="B652" s="12" t="s">
        <v>2062</v>
      </c>
      <c r="C652" s="12" t="s">
        <v>2104</v>
      </c>
      <c r="D652" s="40" t="n">
        <v>23782</v>
      </c>
      <c r="E652" s="31" t="s">
        <v>261</v>
      </c>
      <c r="F652" s="12" t="str">
        <f aca="false">IFERROR(INDEX('Расчет Кплотн'!$C:$C,MATCH(E652,'Расчет Кплотн'!$A:$A,0)),"код не найден")</f>
        <v>г. Шымкент</v>
      </c>
      <c r="G652" s="12" t="s">
        <v>503</v>
      </c>
      <c r="H652" s="12" t="s">
        <v>2105</v>
      </c>
      <c r="I652" s="12" t="s">
        <v>1938</v>
      </c>
    </row>
    <row r="653" customFormat="false" ht="15" hidden="false" customHeight="false" outlineLevel="0" collapsed="false">
      <c r="A653" s="12" t="n">
        <v>650</v>
      </c>
      <c r="B653" s="12" t="s">
        <v>2062</v>
      </c>
      <c r="C653" s="12" t="s">
        <v>2106</v>
      </c>
      <c r="D653" s="40" t="n">
        <v>3759</v>
      </c>
      <c r="E653" s="31" t="s">
        <v>261</v>
      </c>
      <c r="F653" s="12" t="str">
        <f aca="false">IFERROR(INDEX('Расчет Кплотн'!$C:$C,MATCH(E653,'Расчет Кплотн'!$A:$A,0)),"код не найден")</f>
        <v>г. Шымкент</v>
      </c>
      <c r="G653" s="12" t="s">
        <v>503</v>
      </c>
      <c r="H653" s="12" t="s">
        <v>2107</v>
      </c>
      <c r="I653" s="12" t="s">
        <v>2065</v>
      </c>
    </row>
    <row r="654" customFormat="false" ht="15" hidden="false" customHeight="false" outlineLevel="0" collapsed="false">
      <c r="A654" s="12" t="n">
        <v>651</v>
      </c>
      <c r="B654" s="12" t="s">
        <v>2062</v>
      </c>
      <c r="C654" s="12" t="s">
        <v>2108</v>
      </c>
      <c r="D654" s="40" t="n">
        <v>23784</v>
      </c>
      <c r="E654" s="31" t="s">
        <v>261</v>
      </c>
      <c r="F654" s="12" t="str">
        <f aca="false">IFERROR(INDEX('Расчет Кплотн'!$C:$C,MATCH(E654,'Расчет Кплотн'!$A:$A,0)),"код не найден")</f>
        <v>г. Шымкент</v>
      </c>
      <c r="G654" s="12" t="s">
        <v>503</v>
      </c>
      <c r="H654" s="12" t="s">
        <v>2109</v>
      </c>
      <c r="I654" s="12" t="s">
        <v>2068</v>
      </c>
    </row>
    <row r="655" customFormat="false" ht="15" hidden="false" customHeight="false" outlineLevel="0" collapsed="false">
      <c r="A655" s="12" t="n">
        <v>652</v>
      </c>
      <c r="B655" s="12" t="s">
        <v>2062</v>
      </c>
      <c r="C655" s="12" t="s">
        <v>2110</v>
      </c>
      <c r="D655" s="40" t="n">
        <v>5724</v>
      </c>
      <c r="E655" s="31" t="s">
        <v>261</v>
      </c>
      <c r="F655" s="12" t="str">
        <f aca="false">IFERROR(INDEX('Расчет Кплотн'!$C:$C,MATCH(E655,'Расчет Кплотн'!$A:$A,0)),"код не найден")</f>
        <v>г. Шымкент</v>
      </c>
      <c r="G655" s="12" t="s">
        <v>503</v>
      </c>
      <c r="H655" s="12" t="s">
        <v>2111</v>
      </c>
      <c r="I655" s="12" t="s">
        <v>2065</v>
      </c>
    </row>
    <row r="656" customFormat="false" ht="15" hidden="false" customHeight="false" outlineLevel="0" collapsed="false">
      <c r="A656" s="12" t="n">
        <v>653</v>
      </c>
      <c r="B656" s="12" t="s">
        <v>2062</v>
      </c>
      <c r="C656" s="12" t="s">
        <v>2112</v>
      </c>
      <c r="D656" s="40" t="n">
        <v>12186</v>
      </c>
      <c r="E656" s="31" t="s">
        <v>261</v>
      </c>
      <c r="F656" s="12" t="str">
        <f aca="false">IFERROR(INDEX('Расчет Кплотн'!$C:$C,MATCH(E656,'Расчет Кплотн'!$A:$A,0)),"код не найден")</f>
        <v>г. Шымкент</v>
      </c>
      <c r="G656" s="12" t="s">
        <v>503</v>
      </c>
      <c r="H656" s="12" t="s">
        <v>2113</v>
      </c>
      <c r="I656" s="12" t="s">
        <v>1938</v>
      </c>
    </row>
    <row r="657" customFormat="false" ht="15" hidden="false" customHeight="false" outlineLevel="0" collapsed="false">
      <c r="A657" s="12" t="n">
        <v>654</v>
      </c>
      <c r="B657" s="12" t="s">
        <v>2062</v>
      </c>
      <c r="C657" s="12" t="s">
        <v>2114</v>
      </c>
      <c r="D657" s="40" t="n">
        <v>13732</v>
      </c>
      <c r="E657" s="31" t="s">
        <v>261</v>
      </c>
      <c r="F657" s="12" t="str">
        <f aca="false">IFERROR(INDEX('Расчет Кплотн'!$C:$C,MATCH(E657,'Расчет Кплотн'!$A:$A,0)),"код не найден")</f>
        <v>г. Шымкент</v>
      </c>
      <c r="G657" s="12" t="s">
        <v>503</v>
      </c>
      <c r="H657" s="12" t="s">
        <v>2115</v>
      </c>
      <c r="I657" s="12" t="s">
        <v>2068</v>
      </c>
    </row>
    <row r="658" customFormat="false" ht="15" hidden="false" customHeight="false" outlineLevel="0" collapsed="false">
      <c r="A658" s="12" t="n">
        <v>655</v>
      </c>
      <c r="B658" s="12" t="s">
        <v>2062</v>
      </c>
      <c r="C658" s="12" t="s">
        <v>2116</v>
      </c>
      <c r="D658" s="40" t="n">
        <v>2826</v>
      </c>
      <c r="E658" s="31" t="s">
        <v>261</v>
      </c>
      <c r="F658" s="12" t="str">
        <f aca="false">IFERROR(INDEX('Расчет Кплотн'!$C:$C,MATCH(E658,'Расчет Кплотн'!$A:$A,0)),"код не найден")</f>
        <v>г. Шымкент</v>
      </c>
      <c r="G658" s="12" t="s">
        <v>503</v>
      </c>
      <c r="H658" s="12" t="s">
        <v>2117</v>
      </c>
      <c r="I658" s="12" t="s">
        <v>2065</v>
      </c>
    </row>
    <row r="659" customFormat="false" ht="15" hidden="false" customHeight="false" outlineLevel="0" collapsed="false">
      <c r="A659" s="12" t="n">
        <v>656</v>
      </c>
      <c r="B659" s="12" t="s">
        <v>2062</v>
      </c>
      <c r="C659" s="12" t="s">
        <v>2118</v>
      </c>
      <c r="D659" s="40" t="n">
        <v>4285</v>
      </c>
      <c r="E659" s="31" t="s">
        <v>261</v>
      </c>
      <c r="F659" s="12" t="str">
        <f aca="false">IFERROR(INDEX('Расчет Кплотн'!$C:$C,MATCH(E659,'Расчет Кплотн'!$A:$A,0)),"код не найден")</f>
        <v>г. Шымкент</v>
      </c>
      <c r="G659" s="12" t="s">
        <v>503</v>
      </c>
      <c r="H659" s="12" t="s">
        <v>2119</v>
      </c>
      <c r="I659" s="12" t="s">
        <v>2065</v>
      </c>
    </row>
    <row r="660" customFormat="false" ht="15" hidden="false" customHeight="false" outlineLevel="0" collapsed="false">
      <c r="A660" s="12" t="n">
        <v>657</v>
      </c>
      <c r="B660" s="12" t="s">
        <v>2062</v>
      </c>
      <c r="C660" s="12" t="s">
        <v>2120</v>
      </c>
      <c r="D660" s="40" t="n">
        <v>2488</v>
      </c>
      <c r="E660" s="31" t="s">
        <v>261</v>
      </c>
      <c r="F660" s="12" t="str">
        <f aca="false">IFERROR(INDEX('Расчет Кплотн'!$C:$C,MATCH(E660,'Расчет Кплотн'!$A:$A,0)),"код не найден")</f>
        <v>г. Шымкент</v>
      </c>
      <c r="G660" s="12" t="s">
        <v>503</v>
      </c>
      <c r="H660" s="12" t="s">
        <v>2121</v>
      </c>
      <c r="I660" s="12" t="s">
        <v>2065</v>
      </c>
    </row>
    <row r="661" customFormat="false" ht="15" hidden="false" customHeight="false" outlineLevel="0" collapsed="false">
      <c r="A661" s="12" t="n">
        <v>658</v>
      </c>
      <c r="B661" s="12" t="s">
        <v>2062</v>
      </c>
      <c r="C661" s="12" t="s">
        <v>2122</v>
      </c>
      <c r="D661" s="40" t="n">
        <v>35761</v>
      </c>
      <c r="E661" s="31" t="s">
        <v>261</v>
      </c>
      <c r="F661" s="12" t="str">
        <f aca="false">IFERROR(INDEX('Расчет Кплотн'!$C:$C,MATCH(E661,'Расчет Кплотн'!$A:$A,0)),"код не найден")</f>
        <v>г. Шымкент</v>
      </c>
      <c r="G661" s="12" t="s">
        <v>503</v>
      </c>
      <c r="H661" s="12" t="s">
        <v>2123</v>
      </c>
      <c r="I661" s="12" t="s">
        <v>2065</v>
      </c>
    </row>
    <row r="662" customFormat="false" ht="15" hidden="false" customHeight="false" outlineLevel="0" collapsed="false">
      <c r="A662" s="12" t="n">
        <v>659</v>
      </c>
      <c r="B662" s="12" t="s">
        <v>2062</v>
      </c>
      <c r="C662" s="12" t="s">
        <v>2124</v>
      </c>
      <c r="D662" s="40" t="n">
        <v>16876</v>
      </c>
      <c r="E662" s="31" t="s">
        <v>261</v>
      </c>
      <c r="F662" s="12" t="str">
        <f aca="false">IFERROR(INDEX('Расчет Кплотн'!$C:$C,MATCH(E662,'Расчет Кплотн'!$A:$A,0)),"код не найден")</f>
        <v>г. Шымкент</v>
      </c>
      <c r="G662" s="12" t="s">
        <v>503</v>
      </c>
      <c r="H662" s="12" t="s">
        <v>2125</v>
      </c>
      <c r="I662" s="12" t="s">
        <v>2079</v>
      </c>
    </row>
    <row r="663" customFormat="false" ht="15" hidden="false" customHeight="false" outlineLevel="0" collapsed="false">
      <c r="A663" s="12" t="n">
        <v>660</v>
      </c>
      <c r="B663" s="12" t="s">
        <v>2062</v>
      </c>
      <c r="C663" s="12" t="s">
        <v>2126</v>
      </c>
      <c r="D663" s="40" t="n">
        <v>13081</v>
      </c>
      <c r="E663" s="31" t="s">
        <v>261</v>
      </c>
      <c r="F663" s="12" t="str">
        <f aca="false">IFERROR(INDEX('Расчет Кплотн'!$C:$C,MATCH(E663,'Расчет Кплотн'!$A:$A,0)),"код не найден")</f>
        <v>г. Шымкент</v>
      </c>
      <c r="G663" s="12" t="s">
        <v>503</v>
      </c>
      <c r="H663" s="12" t="s">
        <v>2127</v>
      </c>
      <c r="I663" s="12" t="s">
        <v>2068</v>
      </c>
    </row>
    <row r="664" customFormat="false" ht="15" hidden="false" customHeight="false" outlineLevel="0" collapsed="false">
      <c r="A664" s="12" t="n">
        <v>661</v>
      </c>
      <c r="B664" s="12" t="s">
        <v>2062</v>
      </c>
      <c r="C664" s="12" t="s">
        <v>2128</v>
      </c>
      <c r="D664" s="40" t="n">
        <v>38205</v>
      </c>
      <c r="E664" s="31" t="s">
        <v>261</v>
      </c>
      <c r="F664" s="12" t="str">
        <f aca="false">IFERROR(INDEX('Расчет Кплотн'!$C:$C,MATCH(E664,'Расчет Кплотн'!$A:$A,0)),"код не найден")</f>
        <v>г. Шымкент</v>
      </c>
      <c r="G664" s="12" t="s">
        <v>503</v>
      </c>
      <c r="H664" s="12" t="s">
        <v>2129</v>
      </c>
      <c r="I664" s="12" t="s">
        <v>1938</v>
      </c>
    </row>
    <row r="665" customFormat="false" ht="15" hidden="false" customHeight="false" outlineLevel="0" collapsed="false">
      <c r="A665" s="12" t="n">
        <v>662</v>
      </c>
      <c r="B665" s="12" t="s">
        <v>2062</v>
      </c>
      <c r="C665" s="12" t="s">
        <v>2130</v>
      </c>
      <c r="D665" s="40" t="n">
        <v>30393</v>
      </c>
      <c r="E665" s="31" t="s">
        <v>261</v>
      </c>
      <c r="F665" s="12" t="str">
        <f aca="false">IFERROR(INDEX('Расчет Кплотн'!$C:$C,MATCH(E665,'Расчет Кплотн'!$A:$A,0)),"код не найден")</f>
        <v>г. Шымкент</v>
      </c>
      <c r="G665" s="12" t="s">
        <v>503</v>
      </c>
      <c r="H665" s="12" t="s">
        <v>2131</v>
      </c>
      <c r="I665" s="12" t="s">
        <v>2068</v>
      </c>
    </row>
    <row r="666" customFormat="false" ht="15" hidden="false" customHeight="false" outlineLevel="0" collapsed="false">
      <c r="A666" s="12" t="n">
        <v>663</v>
      </c>
      <c r="B666" s="12" t="s">
        <v>2062</v>
      </c>
      <c r="C666" s="12" t="s">
        <v>2132</v>
      </c>
      <c r="D666" s="40" t="n">
        <v>54548</v>
      </c>
      <c r="E666" s="31" t="s">
        <v>261</v>
      </c>
      <c r="F666" s="12" t="str">
        <f aca="false">IFERROR(INDEX('Расчет Кплотн'!$C:$C,MATCH(E666,'Расчет Кплотн'!$A:$A,0)),"код не найден")</f>
        <v>г. Шымкент</v>
      </c>
      <c r="G666" s="12" t="s">
        <v>503</v>
      </c>
      <c r="H666" s="12" t="s">
        <v>2133</v>
      </c>
      <c r="I666" s="12" t="s">
        <v>2079</v>
      </c>
    </row>
    <row r="667" customFormat="false" ht="15" hidden="false" customHeight="false" outlineLevel="0" collapsed="false">
      <c r="A667" s="12" t="n">
        <v>664</v>
      </c>
      <c r="B667" s="12" t="s">
        <v>2062</v>
      </c>
      <c r="C667" s="12" t="s">
        <v>2134</v>
      </c>
      <c r="D667" s="40" t="n">
        <v>62071</v>
      </c>
      <c r="E667" s="31" t="s">
        <v>261</v>
      </c>
      <c r="F667" s="12" t="str">
        <f aca="false">IFERROR(INDEX('Расчет Кплотн'!$C:$C,MATCH(E667,'Расчет Кплотн'!$A:$A,0)),"код не найден")</f>
        <v>г. Шымкент</v>
      </c>
      <c r="G667" s="12" t="s">
        <v>503</v>
      </c>
      <c r="H667" s="12" t="s">
        <v>2135</v>
      </c>
      <c r="I667" s="12" t="s">
        <v>2065</v>
      </c>
    </row>
    <row r="668" customFormat="false" ht="15" hidden="false" customHeight="false" outlineLevel="0" collapsed="false">
      <c r="A668" s="12" t="n">
        <v>665</v>
      </c>
      <c r="B668" s="12" t="s">
        <v>2062</v>
      </c>
      <c r="C668" s="12" t="s">
        <v>2136</v>
      </c>
      <c r="D668" s="40" t="n">
        <v>55688</v>
      </c>
      <c r="E668" s="31" t="s">
        <v>261</v>
      </c>
      <c r="F668" s="12" t="str">
        <f aca="false">IFERROR(INDEX('Расчет Кплотн'!$C:$C,MATCH(E668,'Расчет Кплотн'!$A:$A,0)),"код не найден")</f>
        <v>г. Шымкент</v>
      </c>
      <c r="G668" s="12" t="s">
        <v>503</v>
      </c>
      <c r="H668" s="12" t="s">
        <v>2137</v>
      </c>
      <c r="I668" s="12" t="s">
        <v>2065</v>
      </c>
    </row>
    <row r="669" customFormat="false" ht="15" hidden="false" customHeight="false" outlineLevel="0" collapsed="false">
      <c r="A669" s="12" t="n">
        <v>666</v>
      </c>
      <c r="B669" s="12" t="s">
        <v>2062</v>
      </c>
      <c r="C669" s="12" t="s">
        <v>2138</v>
      </c>
      <c r="D669" s="40" t="n">
        <v>34933</v>
      </c>
      <c r="E669" s="31" t="s">
        <v>261</v>
      </c>
      <c r="F669" s="12" t="str">
        <f aca="false">IFERROR(INDEX('Расчет Кплотн'!$C:$C,MATCH(E669,'Расчет Кплотн'!$A:$A,0)),"код не найден")</f>
        <v>г. Шымкент</v>
      </c>
      <c r="G669" s="12" t="s">
        <v>503</v>
      </c>
      <c r="H669" s="12" t="s">
        <v>2139</v>
      </c>
      <c r="I669" s="12" t="s">
        <v>1938</v>
      </c>
    </row>
    <row r="670" customFormat="false" ht="15" hidden="false" customHeight="false" outlineLevel="0" collapsed="false">
      <c r="A670" s="12" t="n">
        <v>667</v>
      </c>
      <c r="B670" s="12" t="s">
        <v>2062</v>
      </c>
      <c r="C670" s="12" t="s">
        <v>2140</v>
      </c>
      <c r="D670" s="40" t="n">
        <v>55169</v>
      </c>
      <c r="E670" s="31" t="s">
        <v>261</v>
      </c>
      <c r="F670" s="12" t="str">
        <f aca="false">IFERROR(INDEX('Расчет Кплотн'!$C:$C,MATCH(E670,'Расчет Кплотн'!$A:$A,0)),"код не найден")</f>
        <v>г. Шымкент</v>
      </c>
      <c r="G670" s="12" t="s">
        <v>503</v>
      </c>
      <c r="H670" s="12" t="s">
        <v>2141</v>
      </c>
      <c r="I670" s="12" t="s">
        <v>2068</v>
      </c>
    </row>
    <row r="671" customFormat="false" ht="15" hidden="false" customHeight="false" outlineLevel="0" collapsed="false">
      <c r="A671" s="12" t="n">
        <v>668</v>
      </c>
      <c r="B671" s="12" t="s">
        <v>2062</v>
      </c>
      <c r="C671" s="12" t="s">
        <v>2142</v>
      </c>
      <c r="D671" s="40" t="n">
        <v>61012</v>
      </c>
      <c r="E671" s="31" t="s">
        <v>261</v>
      </c>
      <c r="F671" s="12" t="str">
        <f aca="false">IFERROR(INDEX('Расчет Кплотн'!$C:$C,MATCH(E671,'Расчет Кплотн'!$A:$A,0)),"код не найден")</f>
        <v>г. Шымкент</v>
      </c>
      <c r="G671" s="12" t="s">
        <v>503</v>
      </c>
      <c r="H671" s="12" t="s">
        <v>2143</v>
      </c>
      <c r="I671" s="12" t="s">
        <v>2079</v>
      </c>
    </row>
    <row r="672" customFormat="false" ht="15" hidden="false" customHeight="false" outlineLevel="0" collapsed="false">
      <c r="A672" s="12" t="n">
        <v>669</v>
      </c>
      <c r="B672" s="12" t="s">
        <v>2062</v>
      </c>
      <c r="C672" s="12" t="s">
        <v>2144</v>
      </c>
      <c r="D672" s="40" t="n">
        <v>41773</v>
      </c>
      <c r="E672" s="31" t="s">
        <v>261</v>
      </c>
      <c r="F672" s="12" t="str">
        <f aca="false">IFERROR(INDEX('Расчет Кплотн'!$C:$C,MATCH(E672,'Расчет Кплотн'!$A:$A,0)),"код не найден")</f>
        <v>г. Шымкент</v>
      </c>
      <c r="G672" s="12" t="s">
        <v>503</v>
      </c>
      <c r="H672" s="12" t="s">
        <v>2145</v>
      </c>
      <c r="I672" s="12" t="s">
        <v>2068</v>
      </c>
    </row>
    <row r="673" customFormat="false" ht="15" hidden="false" customHeight="false" outlineLevel="0" collapsed="false">
      <c r="A673" s="12" t="n">
        <v>670</v>
      </c>
      <c r="B673" s="12" t="s">
        <v>2062</v>
      </c>
      <c r="C673" s="12" t="s">
        <v>2146</v>
      </c>
      <c r="D673" s="40" t="n">
        <v>26622</v>
      </c>
      <c r="E673" s="31" t="s">
        <v>261</v>
      </c>
      <c r="F673" s="12" t="str">
        <f aca="false">IFERROR(INDEX('Расчет Кплотн'!$C:$C,MATCH(E673,'Расчет Кплотн'!$A:$A,0)),"код не найден")</f>
        <v>г. Шымкент</v>
      </c>
      <c r="G673" s="12" t="s">
        <v>503</v>
      </c>
      <c r="H673" s="12" t="s">
        <v>2147</v>
      </c>
      <c r="I673" s="12" t="s">
        <v>2079</v>
      </c>
    </row>
    <row r="674" customFormat="false" ht="15" hidden="false" customHeight="false" outlineLevel="0" collapsed="false">
      <c r="A674" s="12" t="n">
        <v>671</v>
      </c>
      <c r="B674" s="12" t="s">
        <v>2062</v>
      </c>
      <c r="C674" s="12" t="s">
        <v>2148</v>
      </c>
      <c r="D674" s="40" t="n">
        <v>30682</v>
      </c>
      <c r="E674" s="31" t="s">
        <v>261</v>
      </c>
      <c r="F674" s="12" t="str">
        <f aca="false">IFERROR(INDEX('Расчет Кплотн'!$C:$C,MATCH(E674,'Расчет Кплотн'!$A:$A,0)),"код не найден")</f>
        <v>г. Шымкент</v>
      </c>
      <c r="G674" s="12" t="s">
        <v>503</v>
      </c>
      <c r="H674" s="12" t="s">
        <v>2149</v>
      </c>
      <c r="I674" s="12" t="s">
        <v>1938</v>
      </c>
    </row>
    <row r="675" customFormat="false" ht="15" hidden="false" customHeight="false" outlineLevel="0" collapsed="false">
      <c r="A675" s="12" t="n">
        <v>672</v>
      </c>
      <c r="B675" s="12" t="s">
        <v>2062</v>
      </c>
      <c r="C675" s="12" t="s">
        <v>1983</v>
      </c>
      <c r="D675" s="40" t="n">
        <v>22982</v>
      </c>
      <c r="E675" s="31" t="s">
        <v>261</v>
      </c>
      <c r="F675" s="12" t="str">
        <f aca="false">IFERROR(INDEX('Расчет Кплотн'!$C:$C,MATCH(E675,'Расчет Кплотн'!$A:$A,0)),"код не найден")</f>
        <v>г. Шымкент</v>
      </c>
      <c r="G675" s="12" t="s">
        <v>503</v>
      </c>
      <c r="H675" s="12"/>
      <c r="I675" s="12" t="s">
        <v>2079</v>
      </c>
    </row>
    <row r="676" customFormat="false" ht="15" hidden="false" customHeight="false" outlineLevel="0" collapsed="false">
      <c r="A676" s="12" t="n">
        <v>673</v>
      </c>
      <c r="B676" s="12" t="s">
        <v>2062</v>
      </c>
      <c r="C676" s="12" t="s">
        <v>2150</v>
      </c>
      <c r="D676" s="40" t="n">
        <v>25573</v>
      </c>
      <c r="E676" s="31" t="s">
        <v>261</v>
      </c>
      <c r="F676" s="12" t="str">
        <f aca="false">IFERROR(INDEX('Расчет Кплотн'!$C:$C,MATCH(E676,'Расчет Кплотн'!$A:$A,0)),"код не найден")</f>
        <v>г. Шымкент</v>
      </c>
      <c r="G676" s="12" t="s">
        <v>1069</v>
      </c>
      <c r="H676" s="12" t="s">
        <v>2151</v>
      </c>
      <c r="I676" s="12"/>
    </row>
    <row r="677" customFormat="false" ht="15" hidden="false" customHeight="false" outlineLevel="0" collapsed="false">
      <c r="A677" s="12" t="n">
        <v>674</v>
      </c>
      <c r="B677" s="12" t="s">
        <v>2062</v>
      </c>
      <c r="C677" s="12" t="s">
        <v>2152</v>
      </c>
      <c r="D677" s="40" t="n">
        <v>19835</v>
      </c>
      <c r="E677" s="31" t="s">
        <v>261</v>
      </c>
      <c r="F677" s="12" t="str">
        <f aca="false">IFERROR(INDEX('Расчет Кплотн'!$C:$C,MATCH(E677,'Расчет Кплотн'!$A:$A,0)),"код не найден")</f>
        <v>г. Шымкент</v>
      </c>
      <c r="G677" s="12" t="s">
        <v>503</v>
      </c>
      <c r="H677" s="12" t="s">
        <v>2153</v>
      </c>
      <c r="I677" s="12" t="s">
        <v>2068</v>
      </c>
    </row>
    <row r="678" customFormat="false" ht="15" hidden="false" customHeight="false" outlineLevel="0" collapsed="false">
      <c r="A678" s="12" t="n">
        <v>675</v>
      </c>
      <c r="B678" s="12" t="s">
        <v>2062</v>
      </c>
      <c r="C678" s="12" t="s">
        <v>2154</v>
      </c>
      <c r="D678" s="40" t="n">
        <v>16137</v>
      </c>
      <c r="E678" s="31" t="s">
        <v>261</v>
      </c>
      <c r="F678" s="12" t="str">
        <f aca="false">IFERROR(INDEX('Расчет Кплотн'!$C:$C,MATCH(E678,'Расчет Кплотн'!$A:$A,0)),"код не найден")</f>
        <v>г. Шымкент</v>
      </c>
      <c r="G678" s="12" t="s">
        <v>503</v>
      </c>
      <c r="H678" s="12" t="s">
        <v>2155</v>
      </c>
      <c r="I678" s="12" t="s">
        <v>1938</v>
      </c>
    </row>
    <row r="679" customFormat="false" ht="15" hidden="false" customHeight="false" outlineLevel="0" collapsed="false">
      <c r="A679" s="12" t="n">
        <v>676</v>
      </c>
      <c r="B679" s="12" t="s">
        <v>2062</v>
      </c>
      <c r="C679" s="12" t="s">
        <v>2156</v>
      </c>
      <c r="D679" s="40" t="n">
        <v>10138</v>
      </c>
      <c r="E679" s="31" t="s">
        <v>261</v>
      </c>
      <c r="F679" s="12" t="str">
        <f aca="false">IFERROR(INDEX('Расчет Кплотн'!$C:$C,MATCH(E679,'Расчет Кплотн'!$A:$A,0)),"код не найден")</f>
        <v>г. Шымкент</v>
      </c>
      <c r="G679" s="12" t="s">
        <v>503</v>
      </c>
      <c r="H679" s="12" t="s">
        <v>2157</v>
      </c>
      <c r="I679" s="12" t="s">
        <v>1938</v>
      </c>
    </row>
    <row r="680" customFormat="false" ht="15" hidden="false" customHeight="false" outlineLevel="0" collapsed="false">
      <c r="A680" s="12" t="n">
        <v>677</v>
      </c>
      <c r="B680" s="12" t="s">
        <v>2062</v>
      </c>
      <c r="C680" s="12" t="s">
        <v>2158</v>
      </c>
      <c r="D680" s="40" t="n">
        <v>6062</v>
      </c>
      <c r="E680" s="31" t="s">
        <v>261</v>
      </c>
      <c r="F680" s="12" t="str">
        <f aca="false">IFERROR(INDEX('Расчет Кплотн'!$C:$C,MATCH(E680,'Расчет Кплотн'!$A:$A,0)),"код не найден")</f>
        <v>г. Шымкент</v>
      </c>
      <c r="G680" s="12" t="s">
        <v>503</v>
      </c>
      <c r="H680" s="12" t="s">
        <v>2159</v>
      </c>
      <c r="I680" s="12" t="s">
        <v>2065</v>
      </c>
    </row>
    <row r="681" customFormat="false" ht="15" hidden="false" customHeight="false" outlineLevel="0" collapsed="false">
      <c r="A681" s="12" t="n">
        <v>678</v>
      </c>
      <c r="B681" s="12" t="s">
        <v>2062</v>
      </c>
      <c r="C681" s="12" t="s">
        <v>2160</v>
      </c>
      <c r="D681" s="40" t="n">
        <v>29864</v>
      </c>
      <c r="E681" s="31" t="s">
        <v>261</v>
      </c>
      <c r="F681" s="12" t="str">
        <f aca="false">IFERROR(INDEX('Расчет Кплотн'!$C:$C,MATCH(E681,'Расчет Кплотн'!$A:$A,0)),"код не найден")</f>
        <v>г. Шымкент</v>
      </c>
      <c r="G681" s="12" t="s">
        <v>503</v>
      </c>
      <c r="H681" s="12" t="s">
        <v>2161</v>
      </c>
      <c r="I681" s="12" t="s">
        <v>2079</v>
      </c>
    </row>
    <row r="682" customFormat="false" ht="15" hidden="false" customHeight="false" outlineLevel="0" collapsed="false">
      <c r="A682" s="12" t="n">
        <v>679</v>
      </c>
      <c r="B682" s="12" t="s">
        <v>2062</v>
      </c>
      <c r="C682" s="12" t="s">
        <v>2162</v>
      </c>
      <c r="D682" s="40" t="n">
        <v>6688</v>
      </c>
      <c r="E682" s="31" t="s">
        <v>261</v>
      </c>
      <c r="F682" s="12" t="str">
        <f aca="false">IFERROR(INDEX('Расчет Кплотн'!$C:$C,MATCH(E682,'Расчет Кплотн'!$A:$A,0)),"код не найден")</f>
        <v>г. Шымкент</v>
      </c>
      <c r="G682" s="12" t="s">
        <v>503</v>
      </c>
      <c r="H682" s="12" t="s">
        <v>2163</v>
      </c>
      <c r="I682" s="12" t="s">
        <v>1938</v>
      </c>
    </row>
    <row r="683" customFormat="false" ht="15" hidden="false" customHeight="false" outlineLevel="0" collapsed="false">
      <c r="A683" s="12" t="n">
        <v>680</v>
      </c>
      <c r="B683" s="12" t="s">
        <v>2062</v>
      </c>
      <c r="C683" s="12" t="s">
        <v>2164</v>
      </c>
      <c r="D683" s="40" t="n">
        <v>10661</v>
      </c>
      <c r="E683" s="31" t="s">
        <v>261</v>
      </c>
      <c r="F683" s="12" t="str">
        <f aca="false">IFERROR(INDEX('Расчет Кплотн'!$C:$C,MATCH(E683,'Расчет Кплотн'!$A:$A,0)),"код не найден")</f>
        <v>г. Шымкент</v>
      </c>
      <c r="G683" s="12" t="s">
        <v>503</v>
      </c>
      <c r="H683" s="12" t="s">
        <v>2165</v>
      </c>
      <c r="I683" s="12" t="s">
        <v>1938</v>
      </c>
    </row>
    <row r="684" customFormat="false" ht="15" hidden="false" customHeight="false" outlineLevel="0" collapsed="false">
      <c r="A684" s="12" t="n">
        <v>681</v>
      </c>
      <c r="B684" s="12" t="s">
        <v>2062</v>
      </c>
      <c r="C684" s="12" t="s">
        <v>2166</v>
      </c>
      <c r="D684" s="40" t="n">
        <v>4374</v>
      </c>
      <c r="E684" s="31" t="s">
        <v>261</v>
      </c>
      <c r="F684" s="12" t="str">
        <f aca="false">IFERROR(INDEX('Расчет Кплотн'!$C:$C,MATCH(E684,'Расчет Кплотн'!$A:$A,0)),"код не найден")</f>
        <v>г. Шымкент</v>
      </c>
      <c r="G684" s="12" t="s">
        <v>503</v>
      </c>
      <c r="H684" s="12" t="s">
        <v>2167</v>
      </c>
      <c r="I684" s="12" t="s">
        <v>2065</v>
      </c>
    </row>
    <row r="685" customFormat="false" ht="15" hidden="false" customHeight="false" outlineLevel="0" collapsed="false">
      <c r="A685" s="12" t="n">
        <v>682</v>
      </c>
      <c r="B685" s="12" t="s">
        <v>2062</v>
      </c>
      <c r="C685" s="12" t="s">
        <v>2168</v>
      </c>
      <c r="D685" s="40" t="n">
        <v>23602</v>
      </c>
      <c r="E685" s="31" t="s">
        <v>261</v>
      </c>
      <c r="F685" s="12" t="str">
        <f aca="false">IFERROR(INDEX('Расчет Кплотн'!$C:$C,MATCH(E685,'Расчет Кплотн'!$A:$A,0)),"код не найден")</f>
        <v>г. Шымкент</v>
      </c>
      <c r="G685" s="12" t="s">
        <v>503</v>
      </c>
      <c r="H685" s="12" t="s">
        <v>2169</v>
      </c>
      <c r="I685" s="12" t="s">
        <v>2079</v>
      </c>
    </row>
    <row r="686" customFormat="false" ht="15" hidden="false" customHeight="false" outlineLevel="0" collapsed="false">
      <c r="A686" s="12" t="n">
        <v>683</v>
      </c>
      <c r="B686" s="12" t="s">
        <v>2062</v>
      </c>
      <c r="C686" s="12" t="s">
        <v>2170</v>
      </c>
      <c r="D686" s="40" t="n">
        <v>5856</v>
      </c>
      <c r="E686" s="31" t="s">
        <v>261</v>
      </c>
      <c r="F686" s="12" t="str">
        <f aca="false">IFERROR(INDEX('Расчет Кплотн'!$C:$C,MATCH(E686,'Расчет Кплотн'!$A:$A,0)),"код не найден")</f>
        <v>г. Шымкент</v>
      </c>
      <c r="G686" s="12" t="s">
        <v>503</v>
      </c>
      <c r="H686" s="12" t="s">
        <v>2171</v>
      </c>
      <c r="I686" s="12" t="s">
        <v>2079</v>
      </c>
    </row>
    <row r="687" customFormat="false" ht="15" hidden="false" customHeight="false" outlineLevel="0" collapsed="false">
      <c r="A687" s="12" t="n">
        <v>684</v>
      </c>
      <c r="B687" s="12" t="s">
        <v>2062</v>
      </c>
      <c r="C687" s="12" t="s">
        <v>2172</v>
      </c>
      <c r="D687" s="40" t="n">
        <v>4472</v>
      </c>
      <c r="E687" s="31" t="s">
        <v>261</v>
      </c>
      <c r="F687" s="12" t="str">
        <f aca="false">IFERROR(INDEX('Расчет Кплотн'!$C:$C,MATCH(E687,'Расчет Кплотн'!$A:$A,0)),"код не найден")</f>
        <v>г. Шымкент</v>
      </c>
      <c r="G687" s="12" t="s">
        <v>503</v>
      </c>
      <c r="H687" s="12" t="s">
        <v>2173</v>
      </c>
      <c r="I687" s="12" t="s">
        <v>2065</v>
      </c>
    </row>
    <row r="688" customFormat="false" ht="15" hidden="false" customHeight="false" outlineLevel="0" collapsed="false">
      <c r="A688" s="12" t="n">
        <v>685</v>
      </c>
      <c r="B688" s="12" t="s">
        <v>2062</v>
      </c>
      <c r="C688" s="12" t="s">
        <v>2174</v>
      </c>
      <c r="D688" s="40" t="n">
        <v>6710</v>
      </c>
      <c r="E688" s="31" t="s">
        <v>261</v>
      </c>
      <c r="F688" s="12" t="str">
        <f aca="false">IFERROR(INDEX('Расчет Кплотн'!$C:$C,MATCH(E688,'Расчет Кплотн'!$A:$A,0)),"код не найден")</f>
        <v>г. Шымкент</v>
      </c>
      <c r="G688" s="12" t="s">
        <v>503</v>
      </c>
      <c r="H688" s="12" t="s">
        <v>2175</v>
      </c>
      <c r="I688" s="12" t="s">
        <v>2065</v>
      </c>
    </row>
    <row r="689" customFormat="false" ht="15" hidden="false" customHeight="false" outlineLevel="0" collapsed="false">
      <c r="A689" s="12" t="n">
        <v>686</v>
      </c>
      <c r="B689" s="12" t="s">
        <v>2062</v>
      </c>
      <c r="C689" s="12" t="s">
        <v>2176</v>
      </c>
      <c r="D689" s="40" t="n">
        <v>43177</v>
      </c>
      <c r="E689" s="31" t="s">
        <v>261</v>
      </c>
      <c r="F689" s="12" t="str">
        <f aca="false">IFERROR(INDEX('Расчет Кплотн'!$C:$C,MATCH(E689,'Расчет Кплотн'!$A:$A,0)),"код не найден")</f>
        <v>г. Шымкент</v>
      </c>
      <c r="G689" s="12" t="s">
        <v>503</v>
      </c>
      <c r="H689" s="12" t="s">
        <v>2177</v>
      </c>
      <c r="I689" s="12" t="s">
        <v>2079</v>
      </c>
    </row>
    <row r="690" customFormat="false" ht="15" hidden="false" customHeight="false" outlineLevel="0" collapsed="false">
      <c r="A690" s="12" t="n">
        <v>687</v>
      </c>
      <c r="B690" s="12" t="s">
        <v>2062</v>
      </c>
      <c r="C690" s="12" t="s">
        <v>2178</v>
      </c>
      <c r="D690" s="40" t="n">
        <v>3397</v>
      </c>
      <c r="E690" s="31" t="s">
        <v>261</v>
      </c>
      <c r="F690" s="12" t="str">
        <f aca="false">IFERROR(INDEX('Расчет Кплотн'!$C:$C,MATCH(E690,'Расчет Кплотн'!$A:$A,0)),"код не найден")</f>
        <v>г. Шымкент</v>
      </c>
      <c r="G690" s="12" t="s">
        <v>503</v>
      </c>
      <c r="H690" s="12" t="s">
        <v>2179</v>
      </c>
      <c r="I690" s="12" t="s">
        <v>1938</v>
      </c>
    </row>
    <row r="691" customFormat="false" ht="15" hidden="false" customHeight="false" outlineLevel="0" collapsed="false">
      <c r="A691" s="42"/>
      <c r="B691" s="42"/>
      <c r="C691" s="42" t="s">
        <v>2180</v>
      </c>
      <c r="D691" s="43" t="n">
        <f aca="false">SUM(D4:D690)</f>
        <v>20477854</v>
      </c>
      <c r="E691" s="42"/>
      <c r="F691" s="42"/>
      <c r="G691" s="42"/>
      <c r="H691" s="42"/>
      <c r="I691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2"/>
  </cols>
  <sheetData>
    <row r="1" customFormat="false" ht="15.75" hidden="false" customHeight="true" outlineLevel="0" collapsed="false">
      <c r="A1" s="1" t="s">
        <v>2425</v>
      </c>
    </row>
    <row r="3" customFormat="false" ht="45" hidden="false" customHeight="true" outlineLevel="0" collapsed="false">
      <c r="A3" s="2" t="s">
        <v>1</v>
      </c>
      <c r="B3" s="2" t="s">
        <v>2426</v>
      </c>
      <c r="C3" s="2" t="s">
        <v>2427</v>
      </c>
    </row>
    <row r="4" customFormat="false" ht="15" hidden="false" customHeight="false" outlineLevel="0" collapsed="false">
      <c r="A4" s="12" t="s">
        <v>21</v>
      </c>
      <c r="B4" s="15" t="n">
        <f aca="false">Моделирование!$F$2</f>
        <v>1686.17</v>
      </c>
      <c r="C4" s="48" t="n">
        <v>1911.91</v>
      </c>
    </row>
    <row r="5" customFormat="false" ht="15" hidden="false" customHeight="false" outlineLevel="0" collapsed="false">
      <c r="A5" s="12" t="s">
        <v>13</v>
      </c>
      <c r="B5" s="15" t="n">
        <f aca="false">Моделирование!$F$2</f>
        <v>1686.17</v>
      </c>
      <c r="C5" s="48" t="n">
        <v>2171.11</v>
      </c>
    </row>
    <row r="6" customFormat="false" ht="15" hidden="false" customHeight="false" outlineLevel="0" collapsed="false">
      <c r="A6" s="12" t="s">
        <v>14</v>
      </c>
      <c r="B6" s="15" t="n">
        <f aca="false">Моделирование!$F$2</f>
        <v>1686.17</v>
      </c>
      <c r="C6" s="48" t="n">
        <v>1850.91</v>
      </c>
    </row>
    <row r="7" customFormat="false" ht="15" hidden="false" customHeight="false" outlineLevel="0" collapsed="false">
      <c r="A7" s="12" t="s">
        <v>18</v>
      </c>
      <c r="B7" s="15" t="n">
        <f aca="false">Моделирование!$F$2</f>
        <v>1686.17</v>
      </c>
      <c r="C7" s="48" t="n">
        <v>2249.81</v>
      </c>
    </row>
    <row r="8" customFormat="false" ht="15" hidden="false" customHeight="false" outlineLevel="0" collapsed="false">
      <c r="A8" s="12" t="s">
        <v>19</v>
      </c>
      <c r="B8" s="15" t="n">
        <f aca="false">Моделирование!$F$2</f>
        <v>1686.17</v>
      </c>
      <c r="C8" s="48" t="n">
        <v>2052.18</v>
      </c>
    </row>
    <row r="9" customFormat="false" ht="15" hidden="false" customHeight="false" outlineLevel="0" collapsed="false">
      <c r="A9" s="12" t="s">
        <v>23</v>
      </c>
      <c r="B9" s="15" t="n">
        <f aca="false">Моделирование!$F$2</f>
        <v>1686.17</v>
      </c>
      <c r="C9" s="48" t="n">
        <v>1850.91</v>
      </c>
    </row>
    <row r="10" customFormat="false" ht="15" hidden="false" customHeight="false" outlineLevel="0" collapsed="false">
      <c r="A10" s="12" t="s">
        <v>11</v>
      </c>
      <c r="B10" s="15" t="n">
        <f aca="false">Моделирование!$F$2</f>
        <v>1686.17</v>
      </c>
      <c r="C10" s="48" t="n">
        <v>1911.91</v>
      </c>
    </row>
    <row r="12" customFormat="false" ht="15" hidden="false" customHeight="false" outlineLevel="0" collapsed="false">
      <c r="A12" s="7" t="s">
        <v>2428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15.75" hidden="false" customHeight="true" outlineLevel="0" collapsed="false">
      <c r="A1" s="1" t="s">
        <v>2429</v>
      </c>
    </row>
    <row r="2" customFormat="false" ht="15" hidden="false" customHeight="false" outlineLevel="0" collapsed="false">
      <c r="A2" s="7" t="s">
        <v>2430</v>
      </c>
    </row>
    <row r="4" customFormat="false" ht="45" hidden="false" customHeight="true" outlineLevel="0" collapsed="false">
      <c r="A4" s="2" t="s">
        <v>2431</v>
      </c>
      <c r="B4" s="2" t="s">
        <v>2432</v>
      </c>
      <c r="C4" s="2" t="s">
        <v>2433</v>
      </c>
      <c r="D4" s="2" t="s">
        <v>2434</v>
      </c>
      <c r="E4" s="2" t="s">
        <v>2435</v>
      </c>
    </row>
    <row r="5" customFormat="false" ht="15" hidden="false" customHeight="false" outlineLevel="0" collapsed="false">
      <c r="A5" s="12" t="s">
        <v>2436</v>
      </c>
      <c r="B5" s="49" t="n">
        <v>2233</v>
      </c>
      <c r="C5" s="49" t="n">
        <v>13</v>
      </c>
      <c r="D5" s="50" t="n">
        <f aca="false">C5/B5</f>
        <v>0.0058217644424541</v>
      </c>
      <c r="E5" s="12" t="s">
        <v>513</v>
      </c>
    </row>
    <row r="6" customFormat="false" ht="15" hidden="false" customHeight="false" outlineLevel="0" collapsed="false">
      <c r="A6" s="12" t="s">
        <v>2437</v>
      </c>
      <c r="B6" s="49" t="n">
        <v>2105</v>
      </c>
      <c r="C6" s="49" t="n">
        <v>5</v>
      </c>
      <c r="D6" s="50" t="n">
        <f aca="false">C6/B6</f>
        <v>0.00237529691211401</v>
      </c>
      <c r="E6" s="12" t="s">
        <v>513</v>
      </c>
    </row>
    <row r="7" customFormat="false" ht="15" hidden="false" customHeight="false" outlineLevel="0" collapsed="false">
      <c r="A7" s="12" t="s">
        <v>2438</v>
      </c>
      <c r="B7" s="49" t="n">
        <v>1863</v>
      </c>
      <c r="C7" s="49" t="n">
        <v>13</v>
      </c>
      <c r="D7" s="50" t="n">
        <f aca="false">C7/B7</f>
        <v>0.00697799248523886</v>
      </c>
      <c r="E7" s="12" t="s">
        <v>513</v>
      </c>
    </row>
    <row r="8" customFormat="false" ht="15" hidden="false" customHeight="false" outlineLevel="0" collapsed="false">
      <c r="A8" s="12" t="s">
        <v>2439</v>
      </c>
      <c r="B8" s="49" t="n">
        <v>1805</v>
      </c>
      <c r="C8" s="49" t="n">
        <v>10</v>
      </c>
      <c r="D8" s="50" t="n">
        <f aca="false">C8/B8</f>
        <v>0.00554016620498615</v>
      </c>
      <c r="E8" s="12" t="s">
        <v>513</v>
      </c>
    </row>
    <row r="9" customFormat="false" ht="15" hidden="false" customHeight="false" outlineLevel="0" collapsed="false">
      <c r="A9" s="51" t="s">
        <v>2440</v>
      </c>
      <c r="B9" s="52" t="n">
        <v>1676</v>
      </c>
      <c r="C9" s="52" t="n">
        <v>1525</v>
      </c>
      <c r="D9" s="53" t="n">
        <f aca="false">C9/B9</f>
        <v>0.909904534606205</v>
      </c>
      <c r="E9" s="51" t="s">
        <v>502</v>
      </c>
    </row>
    <row r="10" customFormat="false" ht="15" hidden="false" customHeight="false" outlineLevel="0" collapsed="false">
      <c r="A10" s="12" t="s">
        <v>2441</v>
      </c>
      <c r="B10" s="49" t="n">
        <v>1580</v>
      </c>
      <c r="C10" s="49" t="n">
        <v>39</v>
      </c>
      <c r="D10" s="50" t="n">
        <f aca="false">C10/B10</f>
        <v>0.0246835443037975</v>
      </c>
      <c r="E10" s="12" t="s">
        <v>513</v>
      </c>
    </row>
    <row r="11" customFormat="false" ht="15" hidden="false" customHeight="false" outlineLevel="0" collapsed="false">
      <c r="A11" s="51" t="s">
        <v>2442</v>
      </c>
      <c r="B11" s="52" t="n">
        <v>1433</v>
      </c>
      <c r="C11" s="52" t="n">
        <v>1296</v>
      </c>
      <c r="D11" s="53" t="n">
        <f aca="false">C11/B11</f>
        <v>0.904396371249128</v>
      </c>
      <c r="E11" s="51" t="s">
        <v>502</v>
      </c>
    </row>
    <row r="12" customFormat="false" ht="15" hidden="false" customHeight="false" outlineLevel="0" collapsed="false">
      <c r="A12" s="12" t="s">
        <v>2443</v>
      </c>
      <c r="B12" s="49" t="n">
        <v>1398</v>
      </c>
      <c r="C12" s="49" t="n">
        <v>8</v>
      </c>
      <c r="D12" s="50" t="n">
        <f aca="false">C12/B12</f>
        <v>0.00572246065808298</v>
      </c>
      <c r="E12" s="12" t="s">
        <v>513</v>
      </c>
    </row>
    <row r="13" customFormat="false" ht="15" hidden="false" customHeight="false" outlineLevel="0" collapsed="false">
      <c r="A13" s="12" t="s">
        <v>2444</v>
      </c>
      <c r="B13" s="49" t="n">
        <v>1359</v>
      </c>
      <c r="C13" s="49" t="n">
        <v>17</v>
      </c>
      <c r="D13" s="50" t="n">
        <f aca="false">C13/B13</f>
        <v>0.0125091979396615</v>
      </c>
      <c r="E13" s="12" t="s">
        <v>513</v>
      </c>
    </row>
    <row r="14" customFormat="false" ht="15" hidden="false" customHeight="false" outlineLevel="0" collapsed="false">
      <c r="A14" s="51" t="s">
        <v>2445</v>
      </c>
      <c r="B14" s="52" t="n">
        <v>1336</v>
      </c>
      <c r="C14" s="52" t="n">
        <v>1181</v>
      </c>
      <c r="D14" s="53" t="n">
        <f aca="false">C14/B14</f>
        <v>0.883982035928144</v>
      </c>
      <c r="E14" s="51" t="s">
        <v>502</v>
      </c>
    </row>
    <row r="15" customFormat="false" ht="15" hidden="false" customHeight="false" outlineLevel="0" collapsed="false">
      <c r="A15" s="51" t="s">
        <v>2446</v>
      </c>
      <c r="B15" s="52" t="n">
        <v>1180</v>
      </c>
      <c r="C15" s="52" t="n">
        <v>1071</v>
      </c>
      <c r="D15" s="53" t="n">
        <f aca="false">C15/B15</f>
        <v>0.907627118644068</v>
      </c>
      <c r="E15" s="51" t="s">
        <v>502</v>
      </c>
    </row>
    <row r="16" customFormat="false" ht="15" hidden="false" customHeight="false" outlineLevel="0" collapsed="false">
      <c r="A16" s="12" t="s">
        <v>2447</v>
      </c>
      <c r="B16" s="49" t="n">
        <v>1019</v>
      </c>
      <c r="C16" s="49" t="n">
        <v>8</v>
      </c>
      <c r="D16" s="50" t="n">
        <f aca="false">C16/B16</f>
        <v>0.00785083415112856</v>
      </c>
      <c r="E16" s="12" t="s">
        <v>513</v>
      </c>
    </row>
    <row r="17" customFormat="false" ht="15" hidden="false" customHeight="false" outlineLevel="0" collapsed="false">
      <c r="A17" s="51" t="s">
        <v>2448</v>
      </c>
      <c r="B17" s="52" t="n">
        <v>660</v>
      </c>
      <c r="C17" s="52" t="n">
        <v>581</v>
      </c>
      <c r="D17" s="53" t="n">
        <f aca="false">C17/B17</f>
        <v>0.88030303030303</v>
      </c>
      <c r="E17" s="51" t="s">
        <v>502</v>
      </c>
    </row>
    <row r="18" customFormat="false" ht="15" hidden="false" customHeight="false" outlineLevel="0" collapsed="false">
      <c r="A18" s="8" t="s">
        <v>2449</v>
      </c>
      <c r="B18" s="9" t="n">
        <f aca="false">SUM(B5:B17)</f>
        <v>19647</v>
      </c>
      <c r="C18" s="9" t="n">
        <f aca="false">SUM(C5:C17)</f>
        <v>5767</v>
      </c>
      <c r="D18" s="8"/>
      <c r="E18" s="8"/>
    </row>
    <row r="21" customFormat="false" ht="15" hidden="false" customHeight="false" outlineLevel="0" collapsed="false">
      <c r="A21" s="16" t="s">
        <v>2450</v>
      </c>
    </row>
    <row r="22" customFormat="false" ht="15" hidden="false" customHeight="false" outlineLevel="0" collapsed="false">
      <c r="A22" s="0" t="s">
        <v>2451</v>
      </c>
      <c r="C22" s="54" t="n">
        <f aca="false">SUMIFS(B5:B17,E5:E17,"да")</f>
        <v>6285</v>
      </c>
    </row>
    <row r="23" customFormat="false" ht="15" hidden="false" customHeight="false" outlineLevel="0" collapsed="false">
      <c r="A23" s="0" t="s">
        <v>2452</v>
      </c>
      <c r="C23" s="54" t="n">
        <f aca="false">C18</f>
        <v>5767</v>
      </c>
    </row>
    <row r="24" customFormat="false" ht="15" hidden="false" customHeight="false" outlineLevel="0" collapsed="false">
      <c r="A24" s="0" t="s">
        <v>2453</v>
      </c>
      <c r="C24" s="54" t="n">
        <f aca="false">B18-C22</f>
        <v>13362</v>
      </c>
    </row>
    <row r="26" customFormat="false" ht="15" hidden="false" customHeight="false" outlineLevel="0" collapsed="false">
      <c r="A26" s="7" t="s">
        <v>2454</v>
      </c>
    </row>
    <row r="27" customFormat="false" ht="15" hidden="false" customHeight="false" outlineLevel="0" collapsed="false">
      <c r="A27" s="7" t="s">
        <v>2455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C41" activeCellId="0" sqref="C4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4.72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30"/>
    <col collapsed="false" customWidth="true" hidden="false" outlineLevel="0" max="13" min="13" style="0" width="19.86"/>
  </cols>
  <sheetData>
    <row r="1" customFormat="false" ht="15.75" hidden="false" customHeight="true" outlineLevel="0" collapsed="false">
      <c r="A1" s="1" t="s">
        <v>2456</v>
      </c>
    </row>
    <row r="2" customFormat="false" ht="15" hidden="false" customHeight="false" outlineLevel="0" collapsed="false">
      <c r="A2" s="7" t="s">
        <v>2457</v>
      </c>
    </row>
    <row r="4" customFormat="false" ht="75" hidden="false" customHeight="true" outlineLevel="0" collapsed="false">
      <c r="A4" s="2" t="s">
        <v>33</v>
      </c>
      <c r="B4" s="2" t="s">
        <v>2458</v>
      </c>
      <c r="C4" s="2" t="s">
        <v>35</v>
      </c>
      <c r="D4" s="2" t="s">
        <v>491</v>
      </c>
      <c r="E4" s="2" t="s">
        <v>2459</v>
      </c>
      <c r="F4" s="2" t="s">
        <v>2460</v>
      </c>
      <c r="G4" s="2" t="s">
        <v>2461</v>
      </c>
      <c r="H4" s="2" t="s">
        <v>2462</v>
      </c>
      <c r="I4" s="2" t="s">
        <v>2463</v>
      </c>
      <c r="J4" s="2" t="s">
        <v>49</v>
      </c>
      <c r="K4" s="2" t="s">
        <v>495</v>
      </c>
      <c r="L4" s="2" t="s">
        <v>2464</v>
      </c>
      <c r="M4" s="2" t="s">
        <v>2465</v>
      </c>
    </row>
    <row r="5" customFormat="false" ht="38.25" hidden="false" customHeight="true" outlineLevel="0" collapsed="false">
      <c r="A5" s="55" t="n">
        <v>1</v>
      </c>
      <c r="B5" s="55" t="s">
        <v>498</v>
      </c>
      <c r="C5" s="56" t="s">
        <v>499</v>
      </c>
      <c r="D5" s="55" t="s">
        <v>2466</v>
      </c>
      <c r="E5" s="57" t="n">
        <v>16638</v>
      </c>
      <c r="F5" s="55" t="s">
        <v>2467</v>
      </c>
      <c r="G5" s="56" t="s">
        <v>2468</v>
      </c>
      <c r="H5" s="55"/>
      <c r="I5" s="55" t="s">
        <v>2468</v>
      </c>
      <c r="J5" s="55" t="s">
        <v>280</v>
      </c>
      <c r="K5" s="55" t="s">
        <v>502</v>
      </c>
      <c r="L5" s="58" t="s">
        <v>2469</v>
      </c>
      <c r="M5" s="56"/>
    </row>
    <row r="6" customFormat="false" ht="25.5" hidden="false" customHeight="true" outlineLevel="0" collapsed="false">
      <c r="A6" s="55" t="n">
        <v>2</v>
      </c>
      <c r="B6" s="55" t="s">
        <v>498</v>
      </c>
      <c r="C6" s="56" t="s">
        <v>504</v>
      </c>
      <c r="D6" s="55" t="s">
        <v>505</v>
      </c>
      <c r="E6" s="57" t="n">
        <v>3051</v>
      </c>
      <c r="F6" s="55" t="s">
        <v>2467</v>
      </c>
      <c r="G6" s="56" t="s">
        <v>2470</v>
      </c>
      <c r="H6" s="59"/>
      <c r="I6" s="55" t="s">
        <v>2471</v>
      </c>
      <c r="J6" s="55" t="s">
        <v>280</v>
      </c>
      <c r="K6" s="55" t="s">
        <v>502</v>
      </c>
      <c r="L6" s="60" t="s">
        <v>2472</v>
      </c>
      <c r="M6" s="56"/>
    </row>
    <row r="7" customFormat="false" ht="25.5" hidden="false" customHeight="true" outlineLevel="0" collapsed="false">
      <c r="A7" s="55" t="n">
        <v>3</v>
      </c>
      <c r="B7" s="55" t="s">
        <v>498</v>
      </c>
      <c r="C7" s="56" t="s">
        <v>507</v>
      </c>
      <c r="D7" s="55" t="s">
        <v>508</v>
      </c>
      <c r="E7" s="57" t="n">
        <v>1800</v>
      </c>
      <c r="F7" s="55" t="s">
        <v>2467</v>
      </c>
      <c r="G7" s="56" t="s">
        <v>2470</v>
      </c>
      <c r="H7" s="59"/>
      <c r="I7" s="55" t="s">
        <v>2473</v>
      </c>
      <c r="J7" s="55" t="s">
        <v>280</v>
      </c>
      <c r="K7" s="55" t="s">
        <v>502</v>
      </c>
      <c r="L7" s="60" t="s">
        <v>2472</v>
      </c>
      <c r="M7" s="56"/>
    </row>
    <row r="8" customFormat="false" ht="25.5" hidden="false" customHeight="true" outlineLevel="0" collapsed="false">
      <c r="A8" s="55" t="n">
        <v>4</v>
      </c>
      <c r="B8" s="55" t="s">
        <v>498</v>
      </c>
      <c r="C8" s="56" t="s">
        <v>510</v>
      </c>
      <c r="D8" s="55" t="s">
        <v>511</v>
      </c>
      <c r="E8" s="57" t="n">
        <v>11712</v>
      </c>
      <c r="F8" s="55" t="s">
        <v>2467</v>
      </c>
      <c r="G8" s="56" t="s">
        <v>2470</v>
      </c>
      <c r="H8" s="59" t="s">
        <v>2474</v>
      </c>
      <c r="I8" s="55" t="s">
        <v>2475</v>
      </c>
      <c r="J8" s="55" t="s">
        <v>276</v>
      </c>
      <c r="K8" s="55" t="s">
        <v>513</v>
      </c>
      <c r="L8" s="61" t="s">
        <v>2476</v>
      </c>
      <c r="M8" s="56"/>
    </row>
    <row r="9" customFormat="false" ht="25.5" hidden="false" customHeight="true" outlineLevel="0" collapsed="false">
      <c r="A9" s="55" t="n">
        <v>5</v>
      </c>
      <c r="B9" s="55" t="s">
        <v>498</v>
      </c>
      <c r="C9" s="56" t="s">
        <v>514</v>
      </c>
      <c r="D9" s="55" t="s">
        <v>515</v>
      </c>
      <c r="E9" s="57" t="n">
        <v>19280</v>
      </c>
      <c r="F9" s="55" t="s">
        <v>2467</v>
      </c>
      <c r="G9" s="56" t="s">
        <v>2475</v>
      </c>
      <c r="H9" s="55"/>
      <c r="I9" s="55" t="s">
        <v>2475</v>
      </c>
      <c r="J9" s="55" t="s">
        <v>276</v>
      </c>
      <c r="K9" s="55" t="s">
        <v>513</v>
      </c>
      <c r="L9" s="58" t="s">
        <v>2469</v>
      </c>
      <c r="M9" s="56"/>
    </row>
    <row r="10" customFormat="false" ht="38.25" hidden="false" customHeight="true" outlineLevel="0" collapsed="false">
      <c r="A10" s="55" t="n">
        <v>6</v>
      </c>
      <c r="B10" s="55" t="s">
        <v>498</v>
      </c>
      <c r="C10" s="56" t="s">
        <v>2477</v>
      </c>
      <c r="D10" s="55"/>
      <c r="E10" s="57" t="n">
        <v>12766</v>
      </c>
      <c r="F10" s="55" t="s">
        <v>2467</v>
      </c>
      <c r="G10" s="56" t="s">
        <v>2470</v>
      </c>
      <c r="H10" s="59"/>
      <c r="I10" s="55" t="s">
        <v>2478</v>
      </c>
      <c r="J10" s="55" t="s">
        <v>280</v>
      </c>
      <c r="K10" s="55" t="s">
        <v>502</v>
      </c>
      <c r="L10" s="60" t="s">
        <v>2479</v>
      </c>
      <c r="M10" s="56"/>
    </row>
    <row r="11" customFormat="false" ht="25.5" hidden="false" customHeight="true" outlineLevel="0" collapsed="false">
      <c r="A11" s="55" t="n">
        <v>7</v>
      </c>
      <c r="B11" s="55" t="s">
        <v>498</v>
      </c>
      <c r="C11" s="56" t="s">
        <v>516</v>
      </c>
      <c r="D11" s="55" t="s">
        <v>517</v>
      </c>
      <c r="E11" s="57" t="n">
        <v>35836</v>
      </c>
      <c r="F11" s="55" t="s">
        <v>2467</v>
      </c>
      <c r="G11" s="56" t="s">
        <v>2470</v>
      </c>
      <c r="H11" s="59"/>
      <c r="I11" s="55" t="s">
        <v>2475</v>
      </c>
      <c r="J11" s="55" t="s">
        <v>276</v>
      </c>
      <c r="K11" s="55" t="s">
        <v>513</v>
      </c>
      <c r="L11" s="61" t="s">
        <v>2476</v>
      </c>
      <c r="M11" s="56"/>
    </row>
    <row r="12" customFormat="false" ht="15" hidden="false" customHeight="false" outlineLevel="0" collapsed="false">
      <c r="A12" s="55" t="n">
        <v>8</v>
      </c>
      <c r="B12" s="55" t="s">
        <v>498</v>
      </c>
      <c r="C12" s="56" t="s">
        <v>518</v>
      </c>
      <c r="D12" s="55" t="s">
        <v>519</v>
      </c>
      <c r="E12" s="57" t="n">
        <v>40134</v>
      </c>
      <c r="F12" s="55" t="s">
        <v>2467</v>
      </c>
      <c r="G12" s="56" t="s">
        <v>2475</v>
      </c>
      <c r="H12" s="55"/>
      <c r="I12" s="55" t="s">
        <v>2475</v>
      </c>
      <c r="J12" s="55" t="s">
        <v>276</v>
      </c>
      <c r="K12" s="55" t="s">
        <v>513</v>
      </c>
      <c r="L12" s="58" t="s">
        <v>2469</v>
      </c>
      <c r="M12" s="56"/>
    </row>
    <row r="13" customFormat="false" ht="25.5" hidden="false" customHeight="true" outlineLevel="0" collapsed="false">
      <c r="A13" s="55" t="n">
        <v>9</v>
      </c>
      <c r="B13" s="55" t="s">
        <v>498</v>
      </c>
      <c r="C13" s="56" t="s">
        <v>520</v>
      </c>
      <c r="D13" s="55" t="s">
        <v>2480</v>
      </c>
      <c r="E13" s="57" t="n">
        <v>6545</v>
      </c>
      <c r="F13" s="55" t="s">
        <v>2467</v>
      </c>
      <c r="G13" s="56" t="s">
        <v>2470</v>
      </c>
      <c r="H13" s="59"/>
      <c r="I13" s="55" t="s">
        <v>2475</v>
      </c>
      <c r="J13" s="55" t="s">
        <v>276</v>
      </c>
      <c r="K13" s="55" t="s">
        <v>513</v>
      </c>
      <c r="L13" s="61" t="s">
        <v>2476</v>
      </c>
      <c r="M13" s="56"/>
    </row>
    <row r="14" customFormat="false" ht="25.5" hidden="false" customHeight="true" outlineLevel="0" collapsed="false">
      <c r="A14" s="55" t="n">
        <v>10</v>
      </c>
      <c r="B14" s="55" t="s">
        <v>498</v>
      </c>
      <c r="C14" s="56" t="s">
        <v>525</v>
      </c>
      <c r="D14" s="55" t="s">
        <v>2481</v>
      </c>
      <c r="E14" s="57" t="n">
        <v>9433</v>
      </c>
      <c r="F14" s="55" t="s">
        <v>2467</v>
      </c>
      <c r="G14" s="56" t="s">
        <v>2470</v>
      </c>
      <c r="H14" s="59"/>
      <c r="I14" s="55" t="s">
        <v>2475</v>
      </c>
      <c r="J14" s="55" t="s">
        <v>276</v>
      </c>
      <c r="K14" s="55" t="s">
        <v>513</v>
      </c>
      <c r="L14" s="61" t="s">
        <v>2476</v>
      </c>
      <c r="M14" s="56"/>
    </row>
    <row r="15" customFormat="false" ht="25.5" hidden="false" customHeight="true" outlineLevel="0" collapsed="false">
      <c r="A15" s="55" t="n">
        <v>11</v>
      </c>
      <c r="B15" s="55" t="s">
        <v>498</v>
      </c>
      <c r="C15" s="56" t="s">
        <v>543</v>
      </c>
      <c r="D15" s="55" t="s">
        <v>544</v>
      </c>
      <c r="E15" s="57" t="n">
        <v>14153</v>
      </c>
      <c r="F15" s="55" t="s">
        <v>2467</v>
      </c>
      <c r="G15" s="56" t="s">
        <v>2470</v>
      </c>
      <c r="H15" s="59"/>
      <c r="I15" s="55" t="s">
        <v>2475</v>
      </c>
      <c r="J15" s="55" t="s">
        <v>276</v>
      </c>
      <c r="K15" s="55" t="s">
        <v>513</v>
      </c>
      <c r="L15" s="61" t="s">
        <v>2476</v>
      </c>
      <c r="M15" s="56"/>
    </row>
    <row r="16" customFormat="false" ht="25.5" hidden="false" customHeight="true" outlineLevel="0" collapsed="false">
      <c r="A16" s="55" t="n">
        <v>12</v>
      </c>
      <c r="B16" s="55" t="s">
        <v>498</v>
      </c>
      <c r="C16" s="56" t="s">
        <v>529</v>
      </c>
      <c r="D16" s="55" t="s">
        <v>530</v>
      </c>
      <c r="E16" s="57" t="n">
        <v>9227</v>
      </c>
      <c r="F16" s="55" t="s">
        <v>2467</v>
      </c>
      <c r="G16" s="56" t="s">
        <v>2475</v>
      </c>
      <c r="H16" s="55"/>
      <c r="I16" s="55" t="s">
        <v>2475</v>
      </c>
      <c r="J16" s="55" t="s">
        <v>276</v>
      </c>
      <c r="K16" s="55" t="s">
        <v>513</v>
      </c>
      <c r="L16" s="58" t="s">
        <v>2469</v>
      </c>
      <c r="M16" s="56"/>
    </row>
    <row r="17" customFormat="false" ht="25.5" hidden="false" customHeight="true" outlineLevel="0" collapsed="false">
      <c r="A17" s="55" t="n">
        <v>13</v>
      </c>
      <c r="B17" s="55" t="s">
        <v>498</v>
      </c>
      <c r="C17" s="56" t="s">
        <v>531</v>
      </c>
      <c r="D17" s="55" t="s">
        <v>532</v>
      </c>
      <c r="E17" s="57" t="n">
        <v>9841</v>
      </c>
      <c r="F17" s="55" t="s">
        <v>2467</v>
      </c>
      <c r="G17" s="56" t="s">
        <v>2470</v>
      </c>
      <c r="H17" s="59"/>
      <c r="I17" s="55" t="s">
        <v>2475</v>
      </c>
      <c r="J17" s="55" t="s">
        <v>276</v>
      </c>
      <c r="K17" s="55" t="s">
        <v>513</v>
      </c>
      <c r="L17" s="61" t="s">
        <v>2476</v>
      </c>
      <c r="M17" s="56"/>
    </row>
    <row r="18" customFormat="false" ht="51" hidden="false" customHeight="true" outlineLevel="0" collapsed="false">
      <c r="A18" s="55" t="n">
        <v>14</v>
      </c>
      <c r="B18" s="55" t="s">
        <v>498</v>
      </c>
      <c r="C18" s="56" t="s">
        <v>533</v>
      </c>
      <c r="D18" s="55" t="s">
        <v>2482</v>
      </c>
      <c r="E18" s="57" t="n">
        <v>34662</v>
      </c>
      <c r="F18" s="55" t="s">
        <v>2467</v>
      </c>
      <c r="G18" s="56" t="s">
        <v>2483</v>
      </c>
      <c r="H18" s="55"/>
      <c r="I18" s="55" t="s">
        <v>2483</v>
      </c>
      <c r="J18" s="55" t="s">
        <v>280</v>
      </c>
      <c r="K18" s="55" t="s">
        <v>502</v>
      </c>
      <c r="L18" s="58" t="s">
        <v>2469</v>
      </c>
      <c r="M18" s="56"/>
    </row>
    <row r="19" customFormat="false" ht="38.25" hidden="false" customHeight="true" outlineLevel="0" collapsed="false">
      <c r="A19" s="55" t="n">
        <v>15</v>
      </c>
      <c r="B19" s="55" t="s">
        <v>498</v>
      </c>
      <c r="C19" s="56" t="s">
        <v>536</v>
      </c>
      <c r="D19" s="55" t="s">
        <v>2484</v>
      </c>
      <c r="E19" s="57" t="n">
        <v>14632</v>
      </c>
      <c r="F19" s="55" t="s">
        <v>2467</v>
      </c>
      <c r="G19" s="56" t="s">
        <v>2485</v>
      </c>
      <c r="H19" s="55"/>
      <c r="I19" s="55" t="s">
        <v>2485</v>
      </c>
      <c r="J19" s="55" t="s">
        <v>280</v>
      </c>
      <c r="K19" s="55" t="s">
        <v>502</v>
      </c>
      <c r="L19" s="58" t="s">
        <v>2469</v>
      </c>
      <c r="M19" s="56"/>
    </row>
    <row r="20" customFormat="false" ht="38.25" hidden="false" customHeight="true" outlineLevel="0" collapsed="false">
      <c r="A20" s="55" t="n">
        <v>16</v>
      </c>
      <c r="B20" s="55" t="s">
        <v>498</v>
      </c>
      <c r="C20" s="56" t="s">
        <v>539</v>
      </c>
      <c r="D20" s="55" t="s">
        <v>540</v>
      </c>
      <c r="E20" s="57" t="n">
        <v>22908</v>
      </c>
      <c r="F20" s="55" t="s">
        <v>2467</v>
      </c>
      <c r="G20" s="56" t="s">
        <v>2486</v>
      </c>
      <c r="H20" s="55"/>
      <c r="I20" s="55" t="s">
        <v>2486</v>
      </c>
      <c r="J20" s="55" t="s">
        <v>280</v>
      </c>
      <c r="K20" s="55" t="s">
        <v>502</v>
      </c>
      <c r="L20" s="58" t="s">
        <v>2469</v>
      </c>
      <c r="M20" s="56"/>
    </row>
    <row r="21" customFormat="false" ht="25.5" hidden="false" customHeight="true" outlineLevel="0" collapsed="false">
      <c r="A21" s="55" t="n">
        <v>17</v>
      </c>
      <c r="B21" s="55" t="s">
        <v>498</v>
      </c>
      <c r="C21" s="56" t="s">
        <v>527</v>
      </c>
      <c r="D21" s="55" t="s">
        <v>2487</v>
      </c>
      <c r="E21" s="57" t="n">
        <v>17699</v>
      </c>
      <c r="F21" s="55" t="s">
        <v>2467</v>
      </c>
      <c r="G21" s="56" t="s">
        <v>2470</v>
      </c>
      <c r="H21" s="59"/>
      <c r="I21" s="55" t="s">
        <v>2475</v>
      </c>
      <c r="J21" s="55" t="s">
        <v>276</v>
      </c>
      <c r="K21" s="55" t="s">
        <v>513</v>
      </c>
      <c r="L21" s="61" t="s">
        <v>2476</v>
      </c>
      <c r="M21" s="56"/>
    </row>
    <row r="22" customFormat="false" ht="25.5" hidden="false" customHeight="true" outlineLevel="0" collapsed="false">
      <c r="A22" s="55" t="n">
        <v>18</v>
      </c>
      <c r="B22" s="55" t="s">
        <v>498</v>
      </c>
      <c r="C22" s="56" t="s">
        <v>545</v>
      </c>
      <c r="D22" s="55" t="s">
        <v>2488</v>
      </c>
      <c r="E22" s="57" t="n">
        <v>31215</v>
      </c>
      <c r="F22" s="55" t="s">
        <v>2467</v>
      </c>
      <c r="G22" s="56" t="s">
        <v>2475</v>
      </c>
      <c r="H22" s="55"/>
      <c r="I22" s="55" t="s">
        <v>2475</v>
      </c>
      <c r="J22" s="55" t="s">
        <v>276</v>
      </c>
      <c r="K22" s="55" t="s">
        <v>513</v>
      </c>
      <c r="L22" s="58" t="s">
        <v>2469</v>
      </c>
      <c r="M22" s="56"/>
    </row>
    <row r="23" customFormat="false" ht="51" hidden="false" customHeight="true" outlineLevel="0" collapsed="false">
      <c r="A23" s="55" t="n">
        <v>19</v>
      </c>
      <c r="B23" s="55" t="s">
        <v>498</v>
      </c>
      <c r="C23" s="56" t="s">
        <v>547</v>
      </c>
      <c r="D23" s="55" t="s">
        <v>2489</v>
      </c>
      <c r="E23" s="57" t="n">
        <v>48163</v>
      </c>
      <c r="F23" s="55" t="s">
        <v>2467</v>
      </c>
      <c r="G23" s="56" t="s">
        <v>2478</v>
      </c>
      <c r="H23" s="55"/>
      <c r="I23" s="55" t="s">
        <v>2478</v>
      </c>
      <c r="J23" s="55" t="s">
        <v>280</v>
      </c>
      <c r="K23" s="55" t="s">
        <v>502</v>
      </c>
      <c r="L23" s="58" t="s">
        <v>2469</v>
      </c>
      <c r="M23" s="56"/>
    </row>
    <row r="24" customFormat="false" ht="38.25" hidden="false" customHeight="true" outlineLevel="0" collapsed="false">
      <c r="A24" s="55" t="n">
        <v>20</v>
      </c>
      <c r="B24" s="55" t="s">
        <v>498</v>
      </c>
      <c r="C24" s="56" t="s">
        <v>549</v>
      </c>
      <c r="D24" s="55" t="s">
        <v>550</v>
      </c>
      <c r="E24" s="57" t="n">
        <v>13963</v>
      </c>
      <c r="F24" s="55" t="s">
        <v>2467</v>
      </c>
      <c r="G24" s="56" t="s">
        <v>2475</v>
      </c>
      <c r="H24" s="55"/>
      <c r="I24" s="55" t="s">
        <v>2475</v>
      </c>
      <c r="J24" s="55" t="s">
        <v>276</v>
      </c>
      <c r="K24" s="55" t="s">
        <v>513</v>
      </c>
      <c r="L24" s="58" t="s">
        <v>2469</v>
      </c>
      <c r="M24" s="56"/>
    </row>
    <row r="25" customFormat="false" ht="25.5" hidden="false" customHeight="true" outlineLevel="0" collapsed="false">
      <c r="A25" s="55" t="n">
        <v>21</v>
      </c>
      <c r="B25" s="55" t="s">
        <v>498</v>
      </c>
      <c r="C25" s="56" t="s">
        <v>551</v>
      </c>
      <c r="D25" s="55" t="s">
        <v>2490</v>
      </c>
      <c r="E25" s="57" t="n">
        <v>1968</v>
      </c>
      <c r="F25" s="55" t="s">
        <v>2467</v>
      </c>
      <c r="G25" s="56" t="s">
        <v>2473</v>
      </c>
      <c r="H25" s="55"/>
      <c r="I25" s="55" t="s">
        <v>2473</v>
      </c>
      <c r="J25" s="55" t="s">
        <v>280</v>
      </c>
      <c r="K25" s="55" t="s">
        <v>502</v>
      </c>
      <c r="L25" s="58" t="s">
        <v>2469</v>
      </c>
      <c r="M25" s="56"/>
    </row>
    <row r="26" customFormat="false" ht="25.5" hidden="false" customHeight="true" outlineLevel="0" collapsed="false">
      <c r="A26" s="55" t="n">
        <v>22</v>
      </c>
      <c r="B26" s="55" t="s">
        <v>498</v>
      </c>
      <c r="C26" s="56" t="s">
        <v>554</v>
      </c>
      <c r="D26" s="55" t="s">
        <v>2491</v>
      </c>
      <c r="E26" s="57" t="n">
        <v>28478</v>
      </c>
      <c r="F26" s="55" t="s">
        <v>2467</v>
      </c>
      <c r="G26" s="56" t="s">
        <v>2492</v>
      </c>
      <c r="H26" s="55"/>
      <c r="I26" s="55" t="s">
        <v>2492</v>
      </c>
      <c r="J26" s="55" t="s">
        <v>280</v>
      </c>
      <c r="K26" s="55" t="s">
        <v>502</v>
      </c>
      <c r="L26" s="58" t="s">
        <v>2469</v>
      </c>
      <c r="M26" s="56"/>
    </row>
    <row r="27" customFormat="false" ht="25.5" hidden="false" customHeight="true" outlineLevel="0" collapsed="false">
      <c r="A27" s="55" t="n">
        <v>23</v>
      </c>
      <c r="B27" s="55" t="s">
        <v>498</v>
      </c>
      <c r="C27" s="56" t="s">
        <v>557</v>
      </c>
      <c r="D27" s="55" t="s">
        <v>2493</v>
      </c>
      <c r="E27" s="57" t="n">
        <v>17443</v>
      </c>
      <c r="F27" s="55" t="s">
        <v>2467</v>
      </c>
      <c r="G27" s="56" t="s">
        <v>2471</v>
      </c>
      <c r="H27" s="55"/>
      <c r="I27" s="55" t="s">
        <v>2471</v>
      </c>
      <c r="J27" s="55" t="s">
        <v>280</v>
      </c>
      <c r="K27" s="55" t="s">
        <v>502</v>
      </c>
      <c r="L27" s="58" t="s">
        <v>2469</v>
      </c>
      <c r="M27" s="56"/>
    </row>
    <row r="28" customFormat="false" ht="25.5" hidden="false" customHeight="true" outlineLevel="0" collapsed="false">
      <c r="A28" s="55" t="n">
        <v>24</v>
      </c>
      <c r="B28" s="55" t="s">
        <v>498</v>
      </c>
      <c r="C28" s="56" t="s">
        <v>559</v>
      </c>
      <c r="D28" s="55" t="s">
        <v>2494</v>
      </c>
      <c r="E28" s="57" t="n">
        <v>11645</v>
      </c>
      <c r="F28" s="55" t="s">
        <v>2467</v>
      </c>
      <c r="G28" s="56" t="s">
        <v>2495</v>
      </c>
      <c r="H28" s="55"/>
      <c r="I28" s="55" t="s">
        <v>2495</v>
      </c>
      <c r="J28" s="55" t="s">
        <v>280</v>
      </c>
      <c r="K28" s="55" t="s">
        <v>502</v>
      </c>
      <c r="L28" s="58" t="s">
        <v>2469</v>
      </c>
      <c r="M28" s="56"/>
    </row>
    <row r="29" customFormat="false" ht="25.5" hidden="false" customHeight="true" outlineLevel="0" collapsed="false">
      <c r="A29" s="55" t="n">
        <v>25</v>
      </c>
      <c r="B29" s="55" t="s">
        <v>498</v>
      </c>
      <c r="C29" s="56" t="s">
        <v>562</v>
      </c>
      <c r="D29" s="55" t="s">
        <v>2496</v>
      </c>
      <c r="E29" s="57" t="n">
        <v>37985</v>
      </c>
      <c r="F29" s="55" t="s">
        <v>2467</v>
      </c>
      <c r="G29" s="56" t="s">
        <v>2475</v>
      </c>
      <c r="H29" s="55"/>
      <c r="I29" s="55" t="s">
        <v>2475</v>
      </c>
      <c r="J29" s="55" t="s">
        <v>276</v>
      </c>
      <c r="K29" s="55" t="s">
        <v>513</v>
      </c>
      <c r="L29" s="58" t="s">
        <v>2469</v>
      </c>
      <c r="M29" s="56"/>
    </row>
    <row r="30" customFormat="false" ht="25.5" hidden="false" customHeight="true" outlineLevel="0" collapsed="false">
      <c r="A30" s="55" t="n">
        <v>26</v>
      </c>
      <c r="B30" s="55" t="s">
        <v>498</v>
      </c>
      <c r="C30" s="56" t="s">
        <v>564</v>
      </c>
      <c r="D30" s="55" t="s">
        <v>565</v>
      </c>
      <c r="E30" s="57" t="n">
        <v>10869</v>
      </c>
      <c r="F30" s="55" t="s">
        <v>2467</v>
      </c>
      <c r="G30" s="56" t="s">
        <v>2497</v>
      </c>
      <c r="H30" s="55"/>
      <c r="I30" s="55" t="s">
        <v>2497</v>
      </c>
      <c r="J30" s="55" t="s">
        <v>280</v>
      </c>
      <c r="K30" s="55" t="s">
        <v>502</v>
      </c>
      <c r="L30" s="58" t="s">
        <v>2469</v>
      </c>
      <c r="M30" s="56"/>
    </row>
    <row r="31" customFormat="false" ht="25.5" hidden="false" customHeight="true" outlineLevel="0" collapsed="false">
      <c r="A31" s="55" t="n">
        <v>27</v>
      </c>
      <c r="B31" s="55" t="s">
        <v>498</v>
      </c>
      <c r="C31" s="56" t="s">
        <v>567</v>
      </c>
      <c r="D31" s="55" t="s">
        <v>568</v>
      </c>
      <c r="E31" s="57" t="n">
        <v>34028</v>
      </c>
      <c r="F31" s="55" t="s">
        <v>2467</v>
      </c>
      <c r="G31" s="56" t="s">
        <v>2475</v>
      </c>
      <c r="H31" s="55"/>
      <c r="I31" s="55" t="s">
        <v>2475</v>
      </c>
      <c r="J31" s="55" t="s">
        <v>276</v>
      </c>
      <c r="K31" s="55" t="s">
        <v>513</v>
      </c>
      <c r="L31" s="58" t="s">
        <v>2469</v>
      </c>
      <c r="M31" s="56"/>
    </row>
    <row r="32" customFormat="false" ht="25.5" hidden="false" customHeight="true" outlineLevel="0" collapsed="false">
      <c r="A32" s="55" t="n">
        <v>28</v>
      </c>
      <c r="B32" s="55" t="s">
        <v>498</v>
      </c>
      <c r="C32" s="56" t="s">
        <v>569</v>
      </c>
      <c r="D32" s="55" t="s">
        <v>2498</v>
      </c>
      <c r="E32" s="57" t="n">
        <v>34478</v>
      </c>
      <c r="F32" s="55" t="s">
        <v>2467</v>
      </c>
      <c r="G32" s="56" t="s">
        <v>2475</v>
      </c>
      <c r="H32" s="55"/>
      <c r="I32" s="55" t="s">
        <v>2475</v>
      </c>
      <c r="J32" s="55" t="s">
        <v>276</v>
      </c>
      <c r="K32" s="55" t="s">
        <v>513</v>
      </c>
      <c r="L32" s="58" t="s">
        <v>2469</v>
      </c>
      <c r="M32" s="56"/>
    </row>
    <row r="33" customFormat="false" ht="38.25" hidden="false" customHeight="true" outlineLevel="0" collapsed="false">
      <c r="A33" s="55" t="n">
        <v>29</v>
      </c>
      <c r="B33" s="55" t="s">
        <v>498</v>
      </c>
      <c r="C33" s="56" t="s">
        <v>571</v>
      </c>
      <c r="D33" s="55" t="s">
        <v>572</v>
      </c>
      <c r="E33" s="57" t="n">
        <v>15193</v>
      </c>
      <c r="F33" s="55" t="s">
        <v>2467</v>
      </c>
      <c r="G33" s="56" t="s">
        <v>2475</v>
      </c>
      <c r="H33" s="55"/>
      <c r="I33" s="55" t="s">
        <v>2475</v>
      </c>
      <c r="J33" s="55" t="s">
        <v>276</v>
      </c>
      <c r="K33" s="55" t="s">
        <v>513</v>
      </c>
      <c r="L33" s="58" t="s">
        <v>2469</v>
      </c>
      <c r="M33" s="56"/>
    </row>
    <row r="34" customFormat="false" ht="25.5" hidden="false" customHeight="true" outlineLevel="0" collapsed="false">
      <c r="A34" s="55" t="n">
        <v>30</v>
      </c>
      <c r="B34" s="55" t="s">
        <v>498</v>
      </c>
      <c r="C34" s="56" t="s">
        <v>573</v>
      </c>
      <c r="D34" s="55" t="s">
        <v>2499</v>
      </c>
      <c r="E34" s="57" t="n">
        <v>11473</v>
      </c>
      <c r="F34" s="55" t="s">
        <v>2467</v>
      </c>
      <c r="G34" s="56" t="s">
        <v>2471</v>
      </c>
      <c r="H34" s="55"/>
      <c r="I34" s="55" t="s">
        <v>2471</v>
      </c>
      <c r="J34" s="55" t="s">
        <v>280</v>
      </c>
      <c r="K34" s="55" t="s">
        <v>502</v>
      </c>
      <c r="L34" s="58" t="s">
        <v>2469</v>
      </c>
      <c r="M34" s="56"/>
    </row>
    <row r="35" customFormat="false" ht="25.5" hidden="false" customHeight="true" outlineLevel="0" collapsed="false">
      <c r="A35" s="55" t="n">
        <v>31</v>
      </c>
      <c r="B35" s="55" t="s">
        <v>498</v>
      </c>
      <c r="C35" s="56" t="s">
        <v>2500</v>
      </c>
      <c r="D35" s="55"/>
      <c r="E35" s="57" t="n">
        <v>2664</v>
      </c>
      <c r="F35" s="55" t="s">
        <v>2467</v>
      </c>
      <c r="G35" s="56" t="s">
        <v>2473</v>
      </c>
      <c r="H35" s="59"/>
      <c r="I35" s="55" t="s">
        <v>2473</v>
      </c>
      <c r="J35" s="55" t="s">
        <v>280</v>
      </c>
      <c r="K35" s="55" t="s">
        <v>502</v>
      </c>
      <c r="L35" s="61" t="s">
        <v>2501</v>
      </c>
      <c r="M35" s="56"/>
    </row>
    <row r="36" customFormat="false" ht="25.5" hidden="false" customHeight="true" outlineLevel="0" collapsed="false">
      <c r="A36" s="55" t="n">
        <v>32</v>
      </c>
      <c r="B36" s="55" t="s">
        <v>498</v>
      </c>
      <c r="C36" s="56" t="s">
        <v>576</v>
      </c>
      <c r="D36" s="55" t="s">
        <v>2502</v>
      </c>
      <c r="E36" s="57" t="n">
        <v>9984</v>
      </c>
      <c r="F36" s="55" t="s">
        <v>2467</v>
      </c>
      <c r="G36" s="56" t="s">
        <v>2503</v>
      </c>
      <c r="H36" s="55"/>
      <c r="I36" s="55" t="s">
        <v>2503</v>
      </c>
      <c r="J36" s="55" t="s">
        <v>278</v>
      </c>
      <c r="K36" s="55" t="s">
        <v>513</v>
      </c>
      <c r="L36" s="58" t="s">
        <v>2469</v>
      </c>
      <c r="M36" s="56"/>
    </row>
    <row r="37" customFormat="false" ht="25.5" hidden="false" customHeight="true" outlineLevel="0" collapsed="false">
      <c r="A37" s="55" t="n">
        <v>33</v>
      </c>
      <c r="B37" s="55" t="s">
        <v>498</v>
      </c>
      <c r="C37" s="56" t="s">
        <v>579</v>
      </c>
      <c r="D37" s="55" t="s">
        <v>2504</v>
      </c>
      <c r="E37" s="57" t="n">
        <v>25495</v>
      </c>
      <c r="F37" s="55" t="s">
        <v>2467</v>
      </c>
      <c r="G37" s="56" t="s">
        <v>2475</v>
      </c>
      <c r="H37" s="55"/>
      <c r="I37" s="55" t="s">
        <v>2475</v>
      </c>
      <c r="J37" s="55" t="s">
        <v>276</v>
      </c>
      <c r="K37" s="55" t="s">
        <v>513</v>
      </c>
      <c r="L37" s="58" t="s">
        <v>2469</v>
      </c>
      <c r="M37" s="56"/>
    </row>
    <row r="38" customFormat="false" ht="51" hidden="false" customHeight="true" outlineLevel="0" collapsed="false">
      <c r="A38" s="55" t="n">
        <v>34</v>
      </c>
      <c r="B38" s="55" t="s">
        <v>581</v>
      </c>
      <c r="C38" s="56" t="s">
        <v>585</v>
      </c>
      <c r="D38" s="55" t="s">
        <v>586</v>
      </c>
      <c r="E38" s="57" t="n">
        <v>4981</v>
      </c>
      <c r="F38" s="55" t="s">
        <v>2467</v>
      </c>
      <c r="G38" s="56" t="s">
        <v>2505</v>
      </c>
      <c r="H38" s="55"/>
      <c r="I38" s="55" t="s">
        <v>2505</v>
      </c>
      <c r="J38" s="55" t="s">
        <v>278</v>
      </c>
      <c r="K38" s="55" t="s">
        <v>513</v>
      </c>
      <c r="L38" s="58" t="s">
        <v>2469</v>
      </c>
      <c r="M38" s="56"/>
    </row>
    <row r="39" customFormat="false" ht="51" hidden="false" customHeight="true" outlineLevel="0" collapsed="false">
      <c r="A39" s="55" t="n">
        <v>35</v>
      </c>
      <c r="B39" s="55" t="s">
        <v>581</v>
      </c>
      <c r="C39" s="56" t="s">
        <v>588</v>
      </c>
      <c r="D39" s="55" t="s">
        <v>2506</v>
      </c>
      <c r="E39" s="57" t="n">
        <v>24999</v>
      </c>
      <c r="F39" s="55" t="s">
        <v>2467</v>
      </c>
      <c r="G39" s="56" t="s">
        <v>2507</v>
      </c>
      <c r="H39" s="55"/>
      <c r="I39" s="55" t="s">
        <v>2507</v>
      </c>
      <c r="J39" s="55" t="s">
        <v>280</v>
      </c>
      <c r="K39" s="55" t="s">
        <v>502</v>
      </c>
      <c r="L39" s="58" t="s">
        <v>2469</v>
      </c>
      <c r="M39" s="56"/>
    </row>
    <row r="40" customFormat="false" ht="51" hidden="false" customHeight="true" outlineLevel="0" collapsed="false">
      <c r="A40" s="55" t="n">
        <v>36</v>
      </c>
      <c r="B40" s="55" t="s">
        <v>581</v>
      </c>
      <c r="C40" s="56" t="s">
        <v>591</v>
      </c>
      <c r="D40" s="55" t="s">
        <v>2508</v>
      </c>
      <c r="E40" s="57" t="n">
        <v>10616</v>
      </c>
      <c r="F40" s="55" t="s">
        <v>2467</v>
      </c>
      <c r="G40" s="56" t="s">
        <v>2509</v>
      </c>
      <c r="H40" s="55"/>
      <c r="I40" s="55" t="s">
        <v>2509</v>
      </c>
      <c r="J40" s="55" t="s">
        <v>280</v>
      </c>
      <c r="K40" s="55" t="s">
        <v>502</v>
      </c>
      <c r="L40" s="58" t="s">
        <v>2469</v>
      </c>
      <c r="M40" s="56"/>
    </row>
    <row r="41" customFormat="false" ht="51" hidden="false" customHeight="true" outlineLevel="0" collapsed="false">
      <c r="A41" s="55" t="n">
        <v>37</v>
      </c>
      <c r="B41" s="55" t="s">
        <v>581</v>
      </c>
      <c r="C41" s="56" t="s">
        <v>2510</v>
      </c>
      <c r="D41" s="55"/>
      <c r="E41" s="57" t="n">
        <v>17875</v>
      </c>
      <c r="F41" s="55" t="s">
        <v>2467</v>
      </c>
      <c r="G41" s="56" t="s">
        <v>2511</v>
      </c>
      <c r="H41" s="59"/>
      <c r="I41" s="55" t="s">
        <v>2511</v>
      </c>
      <c r="J41" s="55" t="s">
        <v>278</v>
      </c>
      <c r="K41" s="55" t="s">
        <v>513</v>
      </c>
      <c r="L41" s="61" t="s">
        <v>2501</v>
      </c>
      <c r="M41" s="56"/>
    </row>
    <row r="42" customFormat="false" ht="51" hidden="false" customHeight="true" outlineLevel="0" collapsed="false">
      <c r="A42" s="55" t="n">
        <v>38</v>
      </c>
      <c r="B42" s="55" t="s">
        <v>581</v>
      </c>
      <c r="C42" s="56" t="s">
        <v>594</v>
      </c>
      <c r="D42" s="55" t="s">
        <v>595</v>
      </c>
      <c r="E42" s="57" t="n">
        <v>15621</v>
      </c>
      <c r="F42" s="55" t="s">
        <v>2467</v>
      </c>
      <c r="G42" s="56" t="s">
        <v>2470</v>
      </c>
      <c r="H42" s="59"/>
      <c r="I42" s="55" t="s">
        <v>2512</v>
      </c>
      <c r="J42" s="55" t="s">
        <v>276</v>
      </c>
      <c r="K42" s="55" t="s">
        <v>513</v>
      </c>
      <c r="L42" s="61" t="s">
        <v>2476</v>
      </c>
      <c r="M42" s="56"/>
    </row>
    <row r="43" customFormat="false" ht="25.5" hidden="false" customHeight="true" outlineLevel="0" collapsed="false">
      <c r="A43" s="55" t="n">
        <v>39</v>
      </c>
      <c r="B43" s="55" t="s">
        <v>581</v>
      </c>
      <c r="C43" s="56" t="s">
        <v>601</v>
      </c>
      <c r="D43" s="55" t="s">
        <v>602</v>
      </c>
      <c r="E43" s="57" t="n">
        <v>13810</v>
      </c>
      <c r="F43" s="55" t="s">
        <v>2467</v>
      </c>
      <c r="G43" s="56" t="s">
        <v>2470</v>
      </c>
      <c r="H43" s="59"/>
      <c r="I43" s="55" t="s">
        <v>2512</v>
      </c>
      <c r="J43" s="55" t="s">
        <v>276</v>
      </c>
      <c r="K43" s="55" t="s">
        <v>513</v>
      </c>
      <c r="L43" s="61" t="s">
        <v>2476</v>
      </c>
      <c r="M43" s="56"/>
    </row>
    <row r="44" customFormat="false" ht="25.5" hidden="false" customHeight="true" outlineLevel="0" collapsed="false">
      <c r="A44" s="55" t="n">
        <v>40</v>
      </c>
      <c r="B44" s="55" t="s">
        <v>581</v>
      </c>
      <c r="C44" s="56" t="s">
        <v>599</v>
      </c>
      <c r="D44" s="55" t="s">
        <v>2513</v>
      </c>
      <c r="E44" s="57" t="n">
        <v>24854</v>
      </c>
      <c r="F44" s="55" t="s">
        <v>2467</v>
      </c>
      <c r="G44" s="56" t="s">
        <v>2470</v>
      </c>
      <c r="H44" s="59"/>
      <c r="I44" s="55" t="s">
        <v>2512</v>
      </c>
      <c r="J44" s="55" t="s">
        <v>276</v>
      </c>
      <c r="K44" s="55" t="s">
        <v>513</v>
      </c>
      <c r="L44" s="61" t="s">
        <v>2476</v>
      </c>
      <c r="M44" s="56"/>
    </row>
    <row r="45" customFormat="false" ht="25.5" hidden="false" customHeight="true" outlineLevel="0" collapsed="false">
      <c r="A45" s="55" t="n">
        <v>41</v>
      </c>
      <c r="B45" s="55" t="s">
        <v>581</v>
      </c>
      <c r="C45" s="56" t="s">
        <v>597</v>
      </c>
      <c r="D45" s="55" t="s">
        <v>2514</v>
      </c>
      <c r="E45" s="57" t="n">
        <v>13446</v>
      </c>
      <c r="F45" s="55" t="s">
        <v>2467</v>
      </c>
      <c r="G45" s="56" t="s">
        <v>2470</v>
      </c>
      <c r="H45" s="59"/>
      <c r="I45" s="55" t="s">
        <v>2515</v>
      </c>
      <c r="J45" s="55" t="s">
        <v>280</v>
      </c>
      <c r="K45" s="55" t="s">
        <v>502</v>
      </c>
      <c r="L45" s="60" t="s">
        <v>2472</v>
      </c>
      <c r="M45" s="56"/>
    </row>
    <row r="46" customFormat="false" ht="25.5" hidden="false" customHeight="true" outlineLevel="0" collapsed="false">
      <c r="A46" s="55" t="n">
        <v>42</v>
      </c>
      <c r="B46" s="55" t="s">
        <v>581</v>
      </c>
      <c r="C46" s="56" t="s">
        <v>603</v>
      </c>
      <c r="D46" s="55" t="s">
        <v>1043</v>
      </c>
      <c r="E46" s="57" t="n">
        <v>2212</v>
      </c>
      <c r="F46" s="55" t="s">
        <v>2467</v>
      </c>
      <c r="G46" s="56" t="s">
        <v>2515</v>
      </c>
      <c r="H46" s="55"/>
      <c r="I46" s="55" t="s">
        <v>2515</v>
      </c>
      <c r="J46" s="55" t="s">
        <v>280</v>
      </c>
      <c r="K46" s="55" t="s">
        <v>502</v>
      </c>
      <c r="L46" s="58" t="s">
        <v>2469</v>
      </c>
      <c r="M46" s="56"/>
    </row>
    <row r="47" customFormat="false" ht="25.5" hidden="false" customHeight="true" outlineLevel="0" collapsed="false">
      <c r="A47" s="55" t="n">
        <v>43</v>
      </c>
      <c r="B47" s="55" t="s">
        <v>581</v>
      </c>
      <c r="C47" s="56" t="s">
        <v>605</v>
      </c>
      <c r="D47" s="55" t="s">
        <v>606</v>
      </c>
      <c r="E47" s="57" t="n">
        <v>154860</v>
      </c>
      <c r="F47" s="55" t="s">
        <v>2467</v>
      </c>
      <c r="G47" s="56" t="s">
        <v>2512</v>
      </c>
      <c r="H47" s="55"/>
      <c r="I47" s="55" t="s">
        <v>2512</v>
      </c>
      <c r="J47" s="55" t="s">
        <v>276</v>
      </c>
      <c r="K47" s="55" t="s">
        <v>513</v>
      </c>
      <c r="L47" s="58" t="s">
        <v>2469</v>
      </c>
      <c r="M47" s="56"/>
    </row>
    <row r="48" customFormat="false" ht="25.5" hidden="false" customHeight="true" outlineLevel="0" collapsed="false">
      <c r="A48" s="55" t="n">
        <v>44</v>
      </c>
      <c r="B48" s="55" t="s">
        <v>581</v>
      </c>
      <c r="C48" s="56" t="s">
        <v>582</v>
      </c>
      <c r="D48" s="55" t="s">
        <v>2516</v>
      </c>
      <c r="E48" s="57" t="n">
        <v>4948</v>
      </c>
      <c r="F48" s="55" t="s">
        <v>2467</v>
      </c>
      <c r="G48" s="56" t="s">
        <v>2517</v>
      </c>
      <c r="H48" s="55"/>
      <c r="I48" s="55" t="s">
        <v>2517</v>
      </c>
      <c r="J48" s="55" t="s">
        <v>280</v>
      </c>
      <c r="K48" s="55" t="s">
        <v>502</v>
      </c>
      <c r="L48" s="58" t="s">
        <v>2469</v>
      </c>
      <c r="M48" s="56"/>
    </row>
    <row r="49" customFormat="false" ht="76.5" hidden="false" customHeight="true" outlineLevel="0" collapsed="false">
      <c r="A49" s="55" t="n">
        <v>45</v>
      </c>
      <c r="B49" s="55" t="s">
        <v>581</v>
      </c>
      <c r="C49" s="56" t="s">
        <v>610</v>
      </c>
      <c r="D49" s="55" t="s">
        <v>1047</v>
      </c>
      <c r="E49" s="57" t="n">
        <v>29170</v>
      </c>
      <c r="F49" s="55" t="s">
        <v>2467</v>
      </c>
      <c r="G49" s="56" t="s">
        <v>2470</v>
      </c>
      <c r="H49" s="59"/>
      <c r="I49" s="55" t="s">
        <v>2511</v>
      </c>
      <c r="J49" s="55" t="s">
        <v>278</v>
      </c>
      <c r="K49" s="55" t="s">
        <v>513</v>
      </c>
      <c r="L49" s="60" t="s">
        <v>2518</v>
      </c>
      <c r="M49" s="56" t="s">
        <v>2519</v>
      </c>
    </row>
    <row r="50" customFormat="false" ht="25.5" hidden="false" customHeight="true" outlineLevel="0" collapsed="false">
      <c r="A50" s="55" t="n">
        <v>46</v>
      </c>
      <c r="B50" s="55" t="s">
        <v>581</v>
      </c>
      <c r="C50" s="56" t="s">
        <v>607</v>
      </c>
      <c r="D50" s="55" t="s">
        <v>2520</v>
      </c>
      <c r="E50" s="57" t="n">
        <v>6868</v>
      </c>
      <c r="F50" s="55" t="s">
        <v>2467</v>
      </c>
      <c r="G50" s="56" t="s">
        <v>2521</v>
      </c>
      <c r="H50" s="55"/>
      <c r="I50" s="55" t="s">
        <v>2521</v>
      </c>
      <c r="J50" s="55" t="s">
        <v>280</v>
      </c>
      <c r="K50" s="55" t="s">
        <v>502</v>
      </c>
      <c r="L50" s="58" t="s">
        <v>2469</v>
      </c>
      <c r="M50" s="56"/>
    </row>
    <row r="51" customFormat="false" ht="25.5" hidden="false" customHeight="true" outlineLevel="0" collapsed="false">
      <c r="A51" s="55" t="n">
        <v>47</v>
      </c>
      <c r="B51" s="55" t="s">
        <v>581</v>
      </c>
      <c r="C51" s="56" t="s">
        <v>616</v>
      </c>
      <c r="D51" s="55" t="s">
        <v>2522</v>
      </c>
      <c r="E51" s="57" t="n">
        <v>20048</v>
      </c>
      <c r="F51" s="55" t="s">
        <v>2467</v>
      </c>
      <c r="G51" s="56" t="s">
        <v>2523</v>
      </c>
      <c r="H51" s="55"/>
      <c r="I51" s="55" t="s">
        <v>2523</v>
      </c>
      <c r="J51" s="55" t="s">
        <v>280</v>
      </c>
      <c r="K51" s="55" t="s">
        <v>502</v>
      </c>
      <c r="L51" s="58" t="s">
        <v>2469</v>
      </c>
      <c r="M51" s="56"/>
    </row>
    <row r="52" customFormat="false" ht="25.5" hidden="false" customHeight="true" outlineLevel="0" collapsed="false">
      <c r="A52" s="55" t="n">
        <v>48</v>
      </c>
      <c r="B52" s="55" t="s">
        <v>581</v>
      </c>
      <c r="C52" s="56" t="s">
        <v>622</v>
      </c>
      <c r="D52" s="55" t="s">
        <v>2524</v>
      </c>
      <c r="E52" s="57" t="n">
        <v>26416</v>
      </c>
      <c r="F52" s="55" t="s">
        <v>2467</v>
      </c>
      <c r="G52" s="56" t="s">
        <v>2525</v>
      </c>
      <c r="H52" s="55"/>
      <c r="I52" s="55" t="s">
        <v>2525</v>
      </c>
      <c r="J52" s="55" t="s">
        <v>280</v>
      </c>
      <c r="K52" s="55" t="s">
        <v>502</v>
      </c>
      <c r="L52" s="58" t="s">
        <v>2469</v>
      </c>
      <c r="M52" s="56"/>
    </row>
    <row r="53" customFormat="false" ht="25.5" hidden="false" customHeight="true" outlineLevel="0" collapsed="false">
      <c r="A53" s="55" t="n">
        <v>49</v>
      </c>
      <c r="B53" s="55" t="s">
        <v>581</v>
      </c>
      <c r="C53" s="56" t="s">
        <v>613</v>
      </c>
      <c r="D53" s="55" t="s">
        <v>2526</v>
      </c>
      <c r="E53" s="57" t="n">
        <v>21873</v>
      </c>
      <c r="F53" s="55" t="s">
        <v>2467</v>
      </c>
      <c r="G53" s="56" t="s">
        <v>2527</v>
      </c>
      <c r="H53" s="55"/>
      <c r="I53" s="55" t="s">
        <v>2527</v>
      </c>
      <c r="J53" s="55" t="s">
        <v>280</v>
      </c>
      <c r="K53" s="55" t="s">
        <v>502</v>
      </c>
      <c r="L53" s="58" t="s">
        <v>2469</v>
      </c>
      <c r="M53" s="56"/>
    </row>
    <row r="54" customFormat="false" ht="25.5" hidden="false" customHeight="true" outlineLevel="0" collapsed="false">
      <c r="A54" s="55" t="n">
        <v>50</v>
      </c>
      <c r="B54" s="55" t="s">
        <v>581</v>
      </c>
      <c r="C54" s="56" t="s">
        <v>625</v>
      </c>
      <c r="D54" s="55" t="s">
        <v>2528</v>
      </c>
      <c r="E54" s="57" t="n">
        <v>22417</v>
      </c>
      <c r="F54" s="55" t="s">
        <v>2467</v>
      </c>
      <c r="G54" s="56" t="s">
        <v>2529</v>
      </c>
      <c r="H54" s="55"/>
      <c r="I54" s="55" t="s">
        <v>2529</v>
      </c>
      <c r="J54" s="55" t="s">
        <v>280</v>
      </c>
      <c r="K54" s="55" t="s">
        <v>502</v>
      </c>
      <c r="L54" s="58" t="s">
        <v>2469</v>
      </c>
      <c r="M54" s="56"/>
    </row>
    <row r="55" customFormat="false" ht="25.5" hidden="false" customHeight="true" outlineLevel="0" collapsed="false">
      <c r="A55" s="55" t="n">
        <v>51</v>
      </c>
      <c r="B55" s="55" t="s">
        <v>581</v>
      </c>
      <c r="C55" s="56" t="s">
        <v>628</v>
      </c>
      <c r="D55" s="55" t="s">
        <v>2530</v>
      </c>
      <c r="E55" s="57" t="n">
        <v>18492</v>
      </c>
      <c r="F55" s="55" t="s">
        <v>2467</v>
      </c>
      <c r="G55" s="56" t="s">
        <v>2531</v>
      </c>
      <c r="H55" s="55"/>
      <c r="I55" s="55" t="s">
        <v>2531</v>
      </c>
      <c r="J55" s="55" t="s">
        <v>280</v>
      </c>
      <c r="K55" s="55" t="s">
        <v>502</v>
      </c>
      <c r="L55" s="58" t="s">
        <v>2469</v>
      </c>
      <c r="M55" s="56"/>
    </row>
    <row r="56" customFormat="false" ht="25.5" hidden="false" customHeight="true" outlineLevel="0" collapsed="false">
      <c r="A56" s="55" t="n">
        <v>52</v>
      </c>
      <c r="B56" s="55" t="s">
        <v>581</v>
      </c>
      <c r="C56" s="56" t="s">
        <v>631</v>
      </c>
      <c r="D56" s="55" t="s">
        <v>2532</v>
      </c>
      <c r="E56" s="57" t="n">
        <v>27446</v>
      </c>
      <c r="F56" s="55" t="s">
        <v>2467</v>
      </c>
      <c r="G56" s="56" t="s">
        <v>2533</v>
      </c>
      <c r="H56" s="55"/>
      <c r="I56" s="55" t="s">
        <v>2533</v>
      </c>
      <c r="J56" s="55" t="s">
        <v>280</v>
      </c>
      <c r="K56" s="55" t="s">
        <v>502</v>
      </c>
      <c r="L56" s="58" t="s">
        <v>2469</v>
      </c>
      <c r="M56" s="56"/>
    </row>
    <row r="57" customFormat="false" ht="25.5" hidden="false" customHeight="true" outlineLevel="0" collapsed="false">
      <c r="A57" s="55" t="n">
        <v>53</v>
      </c>
      <c r="B57" s="55" t="s">
        <v>581</v>
      </c>
      <c r="C57" s="56" t="s">
        <v>634</v>
      </c>
      <c r="D57" s="55" t="s">
        <v>2534</v>
      </c>
      <c r="E57" s="57" t="n">
        <v>70331</v>
      </c>
      <c r="F57" s="55" t="s">
        <v>2467</v>
      </c>
      <c r="G57" s="56" t="s">
        <v>2535</v>
      </c>
      <c r="H57" s="55"/>
      <c r="I57" s="55" t="s">
        <v>2535</v>
      </c>
      <c r="J57" s="55" t="s">
        <v>280</v>
      </c>
      <c r="K57" s="55" t="s">
        <v>502</v>
      </c>
      <c r="L57" s="58" t="s">
        <v>2469</v>
      </c>
      <c r="M57" s="56"/>
    </row>
    <row r="58" customFormat="false" ht="25.5" hidden="false" customHeight="true" outlineLevel="0" collapsed="false">
      <c r="A58" s="55" t="n">
        <v>54</v>
      </c>
      <c r="B58" s="55" t="s">
        <v>581</v>
      </c>
      <c r="C58" s="56" t="s">
        <v>652</v>
      </c>
      <c r="D58" s="55" t="s">
        <v>2536</v>
      </c>
      <c r="E58" s="57" t="n">
        <v>87517</v>
      </c>
      <c r="F58" s="55" t="s">
        <v>2467</v>
      </c>
      <c r="G58" s="56" t="s">
        <v>2470</v>
      </c>
      <c r="H58" s="59"/>
      <c r="I58" s="55" t="s">
        <v>2512</v>
      </c>
      <c r="J58" s="55" t="s">
        <v>276</v>
      </c>
      <c r="K58" s="55" t="s">
        <v>513</v>
      </c>
      <c r="L58" s="61" t="s">
        <v>2476</v>
      </c>
      <c r="M58" s="56"/>
    </row>
    <row r="59" customFormat="false" ht="38.25" hidden="false" customHeight="true" outlineLevel="0" collapsed="false">
      <c r="A59" s="55" t="n">
        <v>55</v>
      </c>
      <c r="B59" s="55" t="s">
        <v>581</v>
      </c>
      <c r="C59" s="56" t="s">
        <v>637</v>
      </c>
      <c r="D59" s="55" t="s">
        <v>2537</v>
      </c>
      <c r="E59" s="57" t="n">
        <v>43140</v>
      </c>
      <c r="F59" s="55" t="s">
        <v>2467</v>
      </c>
      <c r="G59" s="56" t="s">
        <v>2538</v>
      </c>
      <c r="H59" s="55"/>
      <c r="I59" s="55" t="s">
        <v>2538</v>
      </c>
      <c r="J59" s="55" t="s">
        <v>280</v>
      </c>
      <c r="K59" s="55" t="s">
        <v>502</v>
      </c>
      <c r="L59" s="58" t="s">
        <v>2469</v>
      </c>
      <c r="M59" s="56"/>
    </row>
    <row r="60" customFormat="false" ht="25.5" hidden="false" customHeight="true" outlineLevel="0" collapsed="false">
      <c r="A60" s="55" t="n">
        <v>56</v>
      </c>
      <c r="B60" s="55" t="s">
        <v>581</v>
      </c>
      <c r="C60" s="56" t="s">
        <v>640</v>
      </c>
      <c r="D60" s="55" t="s">
        <v>2539</v>
      </c>
      <c r="E60" s="57" t="n">
        <v>14365</v>
      </c>
      <c r="F60" s="55" t="s">
        <v>2467</v>
      </c>
      <c r="G60" s="56" t="s">
        <v>2540</v>
      </c>
      <c r="H60" s="55"/>
      <c r="I60" s="55" t="s">
        <v>2540</v>
      </c>
      <c r="J60" s="55" t="s">
        <v>280</v>
      </c>
      <c r="K60" s="55" t="s">
        <v>502</v>
      </c>
      <c r="L60" s="58" t="s">
        <v>2469</v>
      </c>
      <c r="M60" s="56"/>
    </row>
    <row r="61" customFormat="false" ht="25.5" hidden="false" customHeight="true" outlineLevel="0" collapsed="false">
      <c r="A61" s="55" t="n">
        <v>57</v>
      </c>
      <c r="B61" s="55" t="s">
        <v>581</v>
      </c>
      <c r="C61" s="56" t="s">
        <v>643</v>
      </c>
      <c r="D61" s="55" t="s">
        <v>2541</v>
      </c>
      <c r="E61" s="57" t="n">
        <v>11920</v>
      </c>
      <c r="F61" s="55" t="s">
        <v>2467</v>
      </c>
      <c r="G61" s="56" t="s">
        <v>2542</v>
      </c>
      <c r="H61" s="55"/>
      <c r="I61" s="55" t="s">
        <v>2542</v>
      </c>
      <c r="J61" s="55" t="s">
        <v>280</v>
      </c>
      <c r="K61" s="55" t="s">
        <v>502</v>
      </c>
      <c r="L61" s="58" t="s">
        <v>2469</v>
      </c>
      <c r="M61" s="56"/>
    </row>
    <row r="62" customFormat="false" ht="25.5" hidden="false" customHeight="true" outlineLevel="0" collapsed="false">
      <c r="A62" s="55" t="n">
        <v>58</v>
      </c>
      <c r="B62" s="55" t="s">
        <v>581</v>
      </c>
      <c r="C62" s="56" t="s">
        <v>646</v>
      </c>
      <c r="D62" s="55" t="s">
        <v>2543</v>
      </c>
      <c r="E62" s="57" t="n">
        <v>20255</v>
      </c>
      <c r="F62" s="55" t="s">
        <v>2467</v>
      </c>
      <c r="G62" s="56" t="s">
        <v>2544</v>
      </c>
      <c r="H62" s="55"/>
      <c r="I62" s="55" t="s">
        <v>2544</v>
      </c>
      <c r="J62" s="55" t="s">
        <v>280</v>
      </c>
      <c r="K62" s="55" t="s">
        <v>502</v>
      </c>
      <c r="L62" s="58" t="s">
        <v>2469</v>
      </c>
      <c r="M62" s="56"/>
    </row>
    <row r="63" customFormat="false" ht="25.5" hidden="false" customHeight="true" outlineLevel="0" collapsed="false">
      <c r="A63" s="55" t="n">
        <v>59</v>
      </c>
      <c r="B63" s="55" t="s">
        <v>581</v>
      </c>
      <c r="C63" s="56" t="s">
        <v>649</v>
      </c>
      <c r="D63" s="55" t="s">
        <v>2545</v>
      </c>
      <c r="E63" s="57" t="n">
        <v>18068</v>
      </c>
      <c r="F63" s="55" t="s">
        <v>2467</v>
      </c>
      <c r="G63" s="56" t="s">
        <v>2546</v>
      </c>
      <c r="H63" s="55"/>
      <c r="I63" s="55" t="s">
        <v>2546</v>
      </c>
      <c r="J63" s="55" t="s">
        <v>280</v>
      </c>
      <c r="K63" s="55" t="s">
        <v>502</v>
      </c>
      <c r="L63" s="58" t="s">
        <v>2469</v>
      </c>
      <c r="M63" s="56"/>
    </row>
    <row r="64" customFormat="false" ht="38.25" hidden="false" customHeight="true" outlineLevel="0" collapsed="false">
      <c r="A64" s="55" t="n">
        <v>60</v>
      </c>
      <c r="B64" s="55" t="s">
        <v>581</v>
      </c>
      <c r="C64" s="56" t="s">
        <v>619</v>
      </c>
      <c r="D64" s="55" t="s">
        <v>2547</v>
      </c>
      <c r="E64" s="57" t="n">
        <v>51236</v>
      </c>
      <c r="F64" s="55" t="s">
        <v>2467</v>
      </c>
      <c r="G64" s="56" t="s">
        <v>2515</v>
      </c>
      <c r="H64" s="55"/>
      <c r="I64" s="55" t="s">
        <v>2515</v>
      </c>
      <c r="J64" s="55" t="s">
        <v>280</v>
      </c>
      <c r="K64" s="55" t="s">
        <v>502</v>
      </c>
      <c r="L64" s="58" t="s">
        <v>2469</v>
      </c>
      <c r="M64" s="56"/>
    </row>
    <row r="65" customFormat="false" ht="25.5" hidden="false" customHeight="true" outlineLevel="0" collapsed="false">
      <c r="A65" s="55" t="n">
        <v>61</v>
      </c>
      <c r="B65" s="55" t="s">
        <v>654</v>
      </c>
      <c r="C65" s="56" t="s">
        <v>674</v>
      </c>
      <c r="D65" s="55" t="s">
        <v>675</v>
      </c>
      <c r="E65" s="57" t="n">
        <v>4454</v>
      </c>
      <c r="F65" s="55" t="s">
        <v>2467</v>
      </c>
      <c r="G65" s="56" t="s">
        <v>2470</v>
      </c>
      <c r="H65" s="59"/>
      <c r="I65" s="55" t="s">
        <v>2548</v>
      </c>
      <c r="J65" s="55" t="s">
        <v>276</v>
      </c>
      <c r="K65" s="55" t="s">
        <v>513</v>
      </c>
      <c r="L65" s="61" t="s">
        <v>2476</v>
      </c>
      <c r="M65" s="56"/>
    </row>
    <row r="66" customFormat="false" ht="25.5" hidden="false" customHeight="true" outlineLevel="0" collapsed="false">
      <c r="A66" s="55" t="n">
        <v>62</v>
      </c>
      <c r="B66" s="55" t="s">
        <v>654</v>
      </c>
      <c r="C66" s="56" t="s">
        <v>664</v>
      </c>
      <c r="D66" s="55" t="s">
        <v>665</v>
      </c>
      <c r="E66" s="57" t="n">
        <v>18106</v>
      </c>
      <c r="F66" s="55" t="s">
        <v>2467</v>
      </c>
      <c r="G66" s="56" t="s">
        <v>2470</v>
      </c>
      <c r="H66" s="59"/>
      <c r="I66" s="55" t="s">
        <v>2548</v>
      </c>
      <c r="J66" s="55" t="s">
        <v>276</v>
      </c>
      <c r="K66" s="55" t="s">
        <v>513</v>
      </c>
      <c r="L66" s="61" t="s">
        <v>2476</v>
      </c>
      <c r="M66" s="56"/>
    </row>
    <row r="67" customFormat="false" ht="25.5" hidden="false" customHeight="true" outlineLevel="0" collapsed="false">
      <c r="A67" s="55" t="n">
        <v>63</v>
      </c>
      <c r="B67" s="55" t="s">
        <v>654</v>
      </c>
      <c r="C67" s="56" t="s">
        <v>666</v>
      </c>
      <c r="D67" s="55" t="s">
        <v>667</v>
      </c>
      <c r="E67" s="57" t="n">
        <v>7908</v>
      </c>
      <c r="F67" s="55" t="s">
        <v>2467</v>
      </c>
      <c r="G67" s="56" t="s">
        <v>2470</v>
      </c>
      <c r="H67" s="59"/>
      <c r="I67" s="55" t="s">
        <v>2548</v>
      </c>
      <c r="J67" s="55" t="s">
        <v>276</v>
      </c>
      <c r="K67" s="55" t="s">
        <v>513</v>
      </c>
      <c r="L67" s="61" t="s">
        <v>2476</v>
      </c>
      <c r="M67" s="56"/>
    </row>
    <row r="68" customFormat="false" ht="25.5" hidden="false" customHeight="true" outlineLevel="0" collapsed="false">
      <c r="A68" s="55" t="n">
        <v>64</v>
      </c>
      <c r="B68" s="55" t="s">
        <v>654</v>
      </c>
      <c r="C68" s="56" t="s">
        <v>700</v>
      </c>
      <c r="D68" s="55" t="s">
        <v>1052</v>
      </c>
      <c r="E68" s="57" t="n">
        <v>8461</v>
      </c>
      <c r="F68" s="55" t="s">
        <v>2467</v>
      </c>
      <c r="G68" s="56" t="s">
        <v>2470</v>
      </c>
      <c r="H68" s="59"/>
      <c r="I68" s="55" t="s">
        <v>2548</v>
      </c>
      <c r="J68" s="55" t="s">
        <v>276</v>
      </c>
      <c r="K68" s="55" t="s">
        <v>513</v>
      </c>
      <c r="L68" s="61" t="s">
        <v>2476</v>
      </c>
      <c r="M68" s="56"/>
    </row>
    <row r="69" customFormat="false" ht="25.5" hidden="false" customHeight="true" outlineLevel="0" collapsed="false">
      <c r="A69" s="55" t="n">
        <v>65</v>
      </c>
      <c r="B69" s="55" t="s">
        <v>654</v>
      </c>
      <c r="C69" s="56" t="s">
        <v>668</v>
      </c>
      <c r="D69" s="55" t="s">
        <v>669</v>
      </c>
      <c r="E69" s="57" t="n">
        <v>15281</v>
      </c>
      <c r="F69" s="55" t="s">
        <v>2467</v>
      </c>
      <c r="G69" s="56" t="s">
        <v>2470</v>
      </c>
      <c r="H69" s="59"/>
      <c r="I69" s="55" t="s">
        <v>2548</v>
      </c>
      <c r="J69" s="55" t="s">
        <v>276</v>
      </c>
      <c r="K69" s="55" t="s">
        <v>513</v>
      </c>
      <c r="L69" s="61" t="s">
        <v>2476</v>
      </c>
      <c r="M69" s="56"/>
    </row>
    <row r="70" customFormat="false" ht="25.5" hidden="false" customHeight="true" outlineLevel="0" collapsed="false">
      <c r="A70" s="55" t="n">
        <v>66</v>
      </c>
      <c r="B70" s="55" t="s">
        <v>654</v>
      </c>
      <c r="C70" s="56" t="s">
        <v>658</v>
      </c>
      <c r="D70" s="55" t="s">
        <v>659</v>
      </c>
      <c r="E70" s="57" t="n">
        <v>1565</v>
      </c>
      <c r="F70" s="55" t="s">
        <v>2467</v>
      </c>
      <c r="G70" s="56" t="s">
        <v>2470</v>
      </c>
      <c r="H70" s="59"/>
      <c r="I70" s="55" t="s">
        <v>2548</v>
      </c>
      <c r="J70" s="55" t="s">
        <v>276</v>
      </c>
      <c r="K70" s="55" t="s">
        <v>513</v>
      </c>
      <c r="L70" s="61" t="s">
        <v>2476</v>
      </c>
      <c r="M70" s="56"/>
    </row>
    <row r="71" customFormat="false" ht="25.5" hidden="false" customHeight="true" outlineLevel="0" collapsed="false">
      <c r="A71" s="55" t="n">
        <v>67</v>
      </c>
      <c r="B71" s="55" t="s">
        <v>654</v>
      </c>
      <c r="C71" s="56" t="s">
        <v>661</v>
      </c>
      <c r="D71" s="55" t="s">
        <v>662</v>
      </c>
      <c r="E71" s="57" t="n">
        <v>9545</v>
      </c>
      <c r="F71" s="55" t="s">
        <v>2467</v>
      </c>
      <c r="G71" s="56" t="s">
        <v>2470</v>
      </c>
      <c r="H71" s="59"/>
      <c r="I71" s="55" t="s">
        <v>2548</v>
      </c>
      <c r="J71" s="55" t="s">
        <v>276</v>
      </c>
      <c r="K71" s="55" t="s">
        <v>513</v>
      </c>
      <c r="L71" s="61" t="s">
        <v>2476</v>
      </c>
      <c r="M71" s="56"/>
    </row>
    <row r="72" customFormat="false" ht="25.5" hidden="false" customHeight="true" outlineLevel="0" collapsed="false">
      <c r="A72" s="55" t="n">
        <v>68</v>
      </c>
      <c r="B72" s="55" t="s">
        <v>654</v>
      </c>
      <c r="C72" s="56" t="s">
        <v>696</v>
      </c>
      <c r="D72" s="55" t="s">
        <v>697</v>
      </c>
      <c r="E72" s="57" t="n">
        <v>23569</v>
      </c>
      <c r="F72" s="55" t="s">
        <v>2467</v>
      </c>
      <c r="G72" s="56" t="s">
        <v>2470</v>
      </c>
      <c r="H72" s="59"/>
      <c r="I72" s="55" t="s">
        <v>2548</v>
      </c>
      <c r="J72" s="55" t="s">
        <v>276</v>
      </c>
      <c r="K72" s="55" t="s">
        <v>513</v>
      </c>
      <c r="L72" s="61" t="s">
        <v>2476</v>
      </c>
      <c r="M72" s="56"/>
    </row>
    <row r="73" customFormat="false" ht="25.5" hidden="false" customHeight="true" outlineLevel="0" collapsed="false">
      <c r="A73" s="55" t="n">
        <v>69</v>
      </c>
      <c r="B73" s="55" t="s">
        <v>654</v>
      </c>
      <c r="C73" s="56" t="s">
        <v>686</v>
      </c>
      <c r="D73" s="55" t="s">
        <v>687</v>
      </c>
      <c r="E73" s="57" t="n">
        <v>5507</v>
      </c>
      <c r="F73" s="55" t="s">
        <v>2467</v>
      </c>
      <c r="G73" s="56" t="s">
        <v>2470</v>
      </c>
      <c r="H73" s="59"/>
      <c r="I73" s="55" t="s">
        <v>2549</v>
      </c>
      <c r="J73" s="55" t="s">
        <v>280</v>
      </c>
      <c r="K73" s="55" t="s">
        <v>502</v>
      </c>
      <c r="L73" s="60" t="s">
        <v>2472</v>
      </c>
      <c r="M73" s="56"/>
    </row>
    <row r="74" customFormat="false" ht="25.5" hidden="false" customHeight="true" outlineLevel="0" collapsed="false">
      <c r="A74" s="55" t="n">
        <v>70</v>
      </c>
      <c r="B74" s="55" t="s">
        <v>654</v>
      </c>
      <c r="C74" s="56" t="s">
        <v>680</v>
      </c>
      <c r="D74" s="55" t="s">
        <v>681</v>
      </c>
      <c r="E74" s="57" t="n">
        <v>9275</v>
      </c>
      <c r="F74" s="55" t="s">
        <v>2467</v>
      </c>
      <c r="G74" s="56" t="s">
        <v>2470</v>
      </c>
      <c r="H74" s="59"/>
      <c r="I74" s="55" t="s">
        <v>2548</v>
      </c>
      <c r="J74" s="55" t="s">
        <v>276</v>
      </c>
      <c r="K74" s="55" t="s">
        <v>513</v>
      </c>
      <c r="L74" s="61" t="s">
        <v>2476</v>
      </c>
      <c r="M74" s="56"/>
    </row>
    <row r="75" customFormat="false" ht="38.25" hidden="false" customHeight="true" outlineLevel="0" collapsed="false">
      <c r="A75" s="55" t="n">
        <v>71</v>
      </c>
      <c r="B75" s="55" t="s">
        <v>654</v>
      </c>
      <c r="C75" s="56" t="s">
        <v>2550</v>
      </c>
      <c r="D75" s="55"/>
      <c r="E75" s="57" t="n">
        <v>3026</v>
      </c>
      <c r="F75" s="55" t="s">
        <v>2467</v>
      </c>
      <c r="G75" s="56" t="s">
        <v>2470</v>
      </c>
      <c r="H75" s="59"/>
      <c r="I75" s="55" t="s">
        <v>2548</v>
      </c>
      <c r="J75" s="55" t="s">
        <v>276</v>
      </c>
      <c r="K75" s="55" t="s">
        <v>513</v>
      </c>
      <c r="L75" s="60" t="s">
        <v>2479</v>
      </c>
      <c r="M75" s="56"/>
    </row>
    <row r="76" customFormat="false" ht="25.5" hidden="false" customHeight="true" outlineLevel="0" collapsed="false">
      <c r="A76" s="55" t="n">
        <v>72</v>
      </c>
      <c r="B76" s="55" t="s">
        <v>654</v>
      </c>
      <c r="C76" s="56" t="s">
        <v>682</v>
      </c>
      <c r="D76" s="55" t="s">
        <v>683</v>
      </c>
      <c r="E76" s="57" t="n">
        <v>11483</v>
      </c>
      <c r="F76" s="55" t="s">
        <v>2467</v>
      </c>
      <c r="G76" s="56" t="s">
        <v>2470</v>
      </c>
      <c r="H76" s="59"/>
      <c r="I76" s="55" t="s">
        <v>2548</v>
      </c>
      <c r="J76" s="55" t="s">
        <v>276</v>
      </c>
      <c r="K76" s="55" t="s">
        <v>513</v>
      </c>
      <c r="L76" s="61" t="s">
        <v>2476</v>
      </c>
      <c r="M76" s="56"/>
    </row>
    <row r="77" customFormat="false" ht="25.5" hidden="false" customHeight="true" outlineLevel="0" collapsed="false">
      <c r="A77" s="55" t="n">
        <v>73</v>
      </c>
      <c r="B77" s="55" t="s">
        <v>654</v>
      </c>
      <c r="C77" s="56" t="s">
        <v>684</v>
      </c>
      <c r="D77" s="55" t="s">
        <v>685</v>
      </c>
      <c r="E77" s="57" t="n">
        <v>19534</v>
      </c>
      <c r="F77" s="55" t="s">
        <v>2467</v>
      </c>
      <c r="G77" s="56" t="s">
        <v>2470</v>
      </c>
      <c r="H77" s="59"/>
      <c r="I77" s="55" t="s">
        <v>2548</v>
      </c>
      <c r="J77" s="55" t="s">
        <v>276</v>
      </c>
      <c r="K77" s="55" t="s">
        <v>513</v>
      </c>
      <c r="L77" s="61" t="s">
        <v>2476</v>
      </c>
      <c r="M77" s="56"/>
    </row>
    <row r="78" customFormat="false" ht="25.5" hidden="false" customHeight="true" outlineLevel="0" collapsed="false">
      <c r="A78" s="55" t="n">
        <v>74</v>
      </c>
      <c r="B78" s="55" t="s">
        <v>654</v>
      </c>
      <c r="C78" s="56" t="s">
        <v>676</v>
      </c>
      <c r="D78" s="55" t="s">
        <v>2551</v>
      </c>
      <c r="E78" s="57" t="n">
        <v>7824</v>
      </c>
      <c r="F78" s="55" t="s">
        <v>2467</v>
      </c>
      <c r="G78" s="56" t="s">
        <v>2470</v>
      </c>
      <c r="H78" s="59"/>
      <c r="I78" s="55" t="s">
        <v>2548</v>
      </c>
      <c r="J78" s="55" t="s">
        <v>276</v>
      </c>
      <c r="K78" s="55" t="s">
        <v>513</v>
      </c>
      <c r="L78" s="61" t="s">
        <v>2476</v>
      </c>
      <c r="M78" s="56"/>
    </row>
    <row r="79" customFormat="false" ht="25.5" hidden="false" customHeight="true" outlineLevel="0" collapsed="false">
      <c r="A79" s="55" t="n">
        <v>75</v>
      </c>
      <c r="B79" s="55" t="s">
        <v>654</v>
      </c>
      <c r="C79" s="56" t="s">
        <v>689</v>
      </c>
      <c r="D79" s="55" t="s">
        <v>690</v>
      </c>
      <c r="E79" s="57" t="n">
        <v>23868</v>
      </c>
      <c r="F79" s="55" t="s">
        <v>2467</v>
      </c>
      <c r="G79" s="56" t="s">
        <v>2470</v>
      </c>
      <c r="H79" s="59"/>
      <c r="I79" s="55" t="s">
        <v>2548</v>
      </c>
      <c r="J79" s="55" t="s">
        <v>276</v>
      </c>
      <c r="K79" s="55" t="s">
        <v>513</v>
      </c>
      <c r="L79" s="61" t="s">
        <v>2476</v>
      </c>
      <c r="M79" s="56"/>
    </row>
    <row r="80" customFormat="false" ht="25.5" hidden="false" customHeight="true" outlineLevel="0" collapsed="false">
      <c r="A80" s="55" t="n">
        <v>76</v>
      </c>
      <c r="B80" s="55" t="s">
        <v>654</v>
      </c>
      <c r="C80" s="56" t="s">
        <v>692</v>
      </c>
      <c r="D80" s="55" t="s">
        <v>693</v>
      </c>
      <c r="E80" s="57" t="n">
        <v>6125</v>
      </c>
      <c r="F80" s="55" t="s">
        <v>2467</v>
      </c>
      <c r="G80" s="56" t="s">
        <v>2470</v>
      </c>
      <c r="H80" s="59"/>
      <c r="I80" s="55" t="s">
        <v>2548</v>
      </c>
      <c r="J80" s="55" t="s">
        <v>276</v>
      </c>
      <c r="K80" s="55" t="s">
        <v>513</v>
      </c>
      <c r="L80" s="61" t="s">
        <v>2476</v>
      </c>
      <c r="M80" s="56"/>
    </row>
    <row r="81" customFormat="false" ht="63.75" hidden="false" customHeight="true" outlineLevel="0" collapsed="false">
      <c r="A81" s="55" t="n">
        <v>77</v>
      </c>
      <c r="B81" s="55" t="s">
        <v>654</v>
      </c>
      <c r="C81" s="56" t="s">
        <v>655</v>
      </c>
      <c r="D81" s="55" t="s">
        <v>656</v>
      </c>
      <c r="E81" s="57" t="n">
        <v>31066</v>
      </c>
      <c r="F81" s="55" t="s">
        <v>2467</v>
      </c>
      <c r="G81" s="56" t="s">
        <v>2552</v>
      </c>
      <c r="H81" s="55"/>
      <c r="I81" s="55" t="s">
        <v>2552</v>
      </c>
      <c r="J81" s="55" t="s">
        <v>280</v>
      </c>
      <c r="K81" s="55" t="s">
        <v>502</v>
      </c>
      <c r="L81" s="58" t="s">
        <v>2469</v>
      </c>
      <c r="M81" s="56"/>
    </row>
    <row r="82" customFormat="false" ht="25.5" hidden="false" customHeight="true" outlineLevel="0" collapsed="false">
      <c r="A82" s="55" t="n">
        <v>78</v>
      </c>
      <c r="B82" s="55" t="s">
        <v>654</v>
      </c>
      <c r="C82" s="56" t="s">
        <v>678</v>
      </c>
      <c r="D82" s="55" t="s">
        <v>679</v>
      </c>
      <c r="E82" s="57" t="n">
        <v>12621</v>
      </c>
      <c r="F82" s="55" t="s">
        <v>2467</v>
      </c>
      <c r="G82" s="56" t="s">
        <v>2470</v>
      </c>
      <c r="H82" s="59"/>
      <c r="I82" s="55" t="s">
        <v>2548</v>
      </c>
      <c r="J82" s="55" t="s">
        <v>276</v>
      </c>
      <c r="K82" s="55" t="s">
        <v>513</v>
      </c>
      <c r="L82" s="61" t="s">
        <v>2476</v>
      </c>
      <c r="M82" s="56"/>
    </row>
    <row r="83" customFormat="false" ht="63.75" hidden="false" customHeight="true" outlineLevel="0" collapsed="false">
      <c r="A83" s="55" t="n">
        <v>79</v>
      </c>
      <c r="B83" s="55" t="s">
        <v>654</v>
      </c>
      <c r="C83" s="56" t="s">
        <v>694</v>
      </c>
      <c r="D83" s="55" t="s">
        <v>695</v>
      </c>
      <c r="E83" s="57" t="n">
        <v>34725</v>
      </c>
      <c r="F83" s="55" t="s">
        <v>2467</v>
      </c>
      <c r="G83" s="56" t="s">
        <v>2470</v>
      </c>
      <c r="H83" s="59"/>
      <c r="I83" s="55" t="s">
        <v>2548</v>
      </c>
      <c r="J83" s="55" t="s">
        <v>276</v>
      </c>
      <c r="K83" s="55" t="s">
        <v>513</v>
      </c>
      <c r="L83" s="61" t="s">
        <v>2476</v>
      </c>
      <c r="M83" s="56"/>
    </row>
    <row r="84" customFormat="false" ht="25.5" hidden="false" customHeight="true" outlineLevel="0" collapsed="false">
      <c r="A84" s="55" t="n">
        <v>80</v>
      </c>
      <c r="B84" s="55" t="s">
        <v>654</v>
      </c>
      <c r="C84" s="56" t="s">
        <v>670</v>
      </c>
      <c r="D84" s="55" t="s">
        <v>671</v>
      </c>
      <c r="E84" s="57" t="n">
        <v>8417</v>
      </c>
      <c r="F84" s="55" t="s">
        <v>2467</v>
      </c>
      <c r="G84" s="56" t="s">
        <v>2470</v>
      </c>
      <c r="H84" s="59"/>
      <c r="I84" s="55" t="s">
        <v>2548</v>
      </c>
      <c r="J84" s="55" t="s">
        <v>276</v>
      </c>
      <c r="K84" s="55" t="s">
        <v>513</v>
      </c>
      <c r="L84" s="61" t="s">
        <v>2476</v>
      </c>
      <c r="M84" s="56"/>
    </row>
    <row r="85" customFormat="false" ht="63.75" hidden="false" customHeight="true" outlineLevel="0" collapsed="false">
      <c r="A85" s="55" t="n">
        <v>81</v>
      </c>
      <c r="B85" s="55" t="s">
        <v>654</v>
      </c>
      <c r="C85" s="56" t="s">
        <v>704</v>
      </c>
      <c r="D85" s="55" t="s">
        <v>705</v>
      </c>
      <c r="E85" s="57" t="n">
        <v>38326</v>
      </c>
      <c r="F85" s="55" t="s">
        <v>2467</v>
      </c>
      <c r="G85" s="56" t="s">
        <v>2553</v>
      </c>
      <c r="H85" s="55"/>
      <c r="I85" s="55" t="s">
        <v>2553</v>
      </c>
      <c r="J85" s="55" t="s">
        <v>280</v>
      </c>
      <c r="K85" s="55" t="s">
        <v>502</v>
      </c>
      <c r="L85" s="58" t="s">
        <v>2469</v>
      </c>
      <c r="M85" s="56"/>
    </row>
    <row r="86" customFormat="false" ht="63.75" hidden="false" customHeight="true" outlineLevel="0" collapsed="false">
      <c r="A86" s="55" t="n">
        <v>82</v>
      </c>
      <c r="B86" s="55" t="s">
        <v>654</v>
      </c>
      <c r="C86" s="56" t="s">
        <v>698</v>
      </c>
      <c r="D86" s="55" t="s">
        <v>699</v>
      </c>
      <c r="E86" s="57" t="n">
        <v>34180</v>
      </c>
      <c r="F86" s="55" t="s">
        <v>2467</v>
      </c>
      <c r="G86" s="56" t="s">
        <v>2470</v>
      </c>
      <c r="H86" s="59"/>
      <c r="I86" s="55" t="s">
        <v>2548</v>
      </c>
      <c r="J86" s="55" t="s">
        <v>276</v>
      </c>
      <c r="K86" s="55" t="s">
        <v>513</v>
      </c>
      <c r="L86" s="61" t="s">
        <v>2476</v>
      </c>
      <c r="M86" s="56"/>
    </row>
    <row r="87" customFormat="false" ht="38.25" hidden="false" customHeight="true" outlineLevel="0" collapsed="false">
      <c r="A87" s="55" t="n">
        <v>83</v>
      </c>
      <c r="B87" s="55" t="s">
        <v>654</v>
      </c>
      <c r="C87" s="56" t="s">
        <v>707</v>
      </c>
      <c r="D87" s="55" t="s">
        <v>708</v>
      </c>
      <c r="E87" s="57" t="n">
        <v>18406</v>
      </c>
      <c r="F87" s="55" t="s">
        <v>2467</v>
      </c>
      <c r="G87" s="56" t="s">
        <v>2554</v>
      </c>
      <c r="H87" s="55"/>
      <c r="I87" s="55" t="s">
        <v>2554</v>
      </c>
      <c r="J87" s="55" t="s">
        <v>280</v>
      </c>
      <c r="K87" s="55" t="s">
        <v>502</v>
      </c>
      <c r="L87" s="58" t="s">
        <v>2469</v>
      </c>
      <c r="M87" s="56"/>
    </row>
    <row r="88" customFormat="false" ht="38.25" hidden="false" customHeight="true" outlineLevel="0" collapsed="false">
      <c r="A88" s="55" t="n">
        <v>84</v>
      </c>
      <c r="B88" s="55" t="s">
        <v>654</v>
      </c>
      <c r="C88" s="56" t="s">
        <v>710</v>
      </c>
      <c r="D88" s="55" t="s">
        <v>2555</v>
      </c>
      <c r="E88" s="57" t="n">
        <v>51149</v>
      </c>
      <c r="F88" s="55" t="s">
        <v>2467</v>
      </c>
      <c r="G88" s="56" t="s">
        <v>2470</v>
      </c>
      <c r="H88" s="59"/>
      <c r="I88" s="55" t="s">
        <v>2548</v>
      </c>
      <c r="J88" s="55" t="s">
        <v>276</v>
      </c>
      <c r="K88" s="55" t="s">
        <v>513</v>
      </c>
      <c r="L88" s="61" t="s">
        <v>2476</v>
      </c>
      <c r="M88" s="56"/>
    </row>
    <row r="89" customFormat="false" ht="25.5" hidden="false" customHeight="true" outlineLevel="0" collapsed="false">
      <c r="A89" s="55" t="n">
        <v>85</v>
      </c>
      <c r="B89" s="55" t="s">
        <v>654</v>
      </c>
      <c r="C89" s="56" t="s">
        <v>713</v>
      </c>
      <c r="D89" s="55" t="s">
        <v>714</v>
      </c>
      <c r="E89" s="57" t="n">
        <v>38266</v>
      </c>
      <c r="F89" s="55" t="s">
        <v>2467</v>
      </c>
      <c r="G89" s="56" t="s">
        <v>2470</v>
      </c>
      <c r="H89" s="59"/>
      <c r="I89" s="55" t="s">
        <v>2548</v>
      </c>
      <c r="J89" s="55" t="s">
        <v>276</v>
      </c>
      <c r="K89" s="55" t="s">
        <v>513</v>
      </c>
      <c r="L89" s="61" t="s">
        <v>2476</v>
      </c>
      <c r="M89" s="56"/>
    </row>
    <row r="90" customFormat="false" ht="25.5" hidden="false" customHeight="true" outlineLevel="0" collapsed="false">
      <c r="A90" s="55" t="n">
        <v>86</v>
      </c>
      <c r="B90" s="55" t="s">
        <v>654</v>
      </c>
      <c r="C90" s="56" t="s">
        <v>715</v>
      </c>
      <c r="D90" s="55" t="s">
        <v>2556</v>
      </c>
      <c r="E90" s="57" t="n">
        <v>58057</v>
      </c>
      <c r="F90" s="55" t="s">
        <v>2467</v>
      </c>
      <c r="G90" s="56" t="s">
        <v>2470</v>
      </c>
      <c r="H90" s="59"/>
      <c r="I90" s="55" t="s">
        <v>2548</v>
      </c>
      <c r="J90" s="55" t="s">
        <v>276</v>
      </c>
      <c r="K90" s="55" t="s">
        <v>513</v>
      </c>
      <c r="L90" s="61" t="s">
        <v>2476</v>
      </c>
      <c r="M90" s="56"/>
    </row>
    <row r="91" customFormat="false" ht="38.25" hidden="false" customHeight="true" outlineLevel="0" collapsed="false">
      <c r="A91" s="55" t="n">
        <v>87</v>
      </c>
      <c r="B91" s="55" t="s">
        <v>654</v>
      </c>
      <c r="C91" s="56" t="s">
        <v>717</v>
      </c>
      <c r="D91" s="55" t="s">
        <v>2557</v>
      </c>
      <c r="E91" s="57" t="n">
        <v>66570</v>
      </c>
      <c r="F91" s="55" t="s">
        <v>2467</v>
      </c>
      <c r="G91" s="56" t="s">
        <v>2470</v>
      </c>
      <c r="H91" s="59"/>
      <c r="I91" s="55" t="s">
        <v>2548</v>
      </c>
      <c r="J91" s="55" t="s">
        <v>276</v>
      </c>
      <c r="K91" s="55" t="s">
        <v>513</v>
      </c>
      <c r="L91" s="61" t="s">
        <v>2476</v>
      </c>
      <c r="M91" s="56"/>
    </row>
    <row r="92" customFormat="false" ht="51" hidden="false" customHeight="true" outlineLevel="0" collapsed="false">
      <c r="A92" s="55" t="n">
        <v>88</v>
      </c>
      <c r="B92" s="55" t="s">
        <v>654</v>
      </c>
      <c r="C92" s="56" t="s">
        <v>719</v>
      </c>
      <c r="D92" s="55" t="s">
        <v>2558</v>
      </c>
      <c r="E92" s="57" t="n">
        <v>14200</v>
      </c>
      <c r="F92" s="55" t="s">
        <v>2467</v>
      </c>
      <c r="G92" s="56" t="s">
        <v>2559</v>
      </c>
      <c r="H92" s="55"/>
      <c r="I92" s="55" t="s">
        <v>2559</v>
      </c>
      <c r="J92" s="55" t="s">
        <v>280</v>
      </c>
      <c r="K92" s="55" t="s">
        <v>502</v>
      </c>
      <c r="L92" s="58" t="s">
        <v>2469</v>
      </c>
      <c r="M92" s="56"/>
    </row>
    <row r="93" customFormat="false" ht="51" hidden="false" customHeight="true" outlineLevel="0" collapsed="false">
      <c r="A93" s="55" t="n">
        <v>89</v>
      </c>
      <c r="B93" s="55" t="s">
        <v>654</v>
      </c>
      <c r="C93" s="56" t="s">
        <v>722</v>
      </c>
      <c r="D93" s="55" t="s">
        <v>723</v>
      </c>
      <c r="E93" s="57" t="n">
        <v>27434</v>
      </c>
      <c r="F93" s="55" t="s">
        <v>2467</v>
      </c>
      <c r="G93" s="56" t="s">
        <v>2560</v>
      </c>
      <c r="H93" s="55"/>
      <c r="I93" s="55" t="s">
        <v>2560</v>
      </c>
      <c r="J93" s="55" t="s">
        <v>280</v>
      </c>
      <c r="K93" s="55" t="s">
        <v>502</v>
      </c>
      <c r="L93" s="58" t="s">
        <v>2469</v>
      </c>
      <c r="M93" s="56"/>
    </row>
    <row r="94" customFormat="false" ht="25.5" hidden="false" customHeight="true" outlineLevel="0" collapsed="false">
      <c r="A94" s="55" t="n">
        <v>90</v>
      </c>
      <c r="B94" s="55" t="s">
        <v>654</v>
      </c>
      <c r="C94" s="56" t="s">
        <v>725</v>
      </c>
      <c r="D94" s="55" t="s">
        <v>726</v>
      </c>
      <c r="E94" s="57" t="n">
        <v>34564</v>
      </c>
      <c r="F94" s="55" t="s">
        <v>2467</v>
      </c>
      <c r="G94" s="56" t="s">
        <v>2549</v>
      </c>
      <c r="H94" s="55"/>
      <c r="I94" s="55" t="s">
        <v>2549</v>
      </c>
      <c r="J94" s="55" t="s">
        <v>280</v>
      </c>
      <c r="K94" s="55" t="s">
        <v>502</v>
      </c>
      <c r="L94" s="58" t="s">
        <v>2469</v>
      </c>
      <c r="M94" s="56"/>
    </row>
    <row r="95" customFormat="false" ht="51" hidden="false" customHeight="true" outlineLevel="0" collapsed="false">
      <c r="A95" s="55" t="n">
        <v>91</v>
      </c>
      <c r="B95" s="55" t="s">
        <v>654</v>
      </c>
      <c r="C95" s="56" t="s">
        <v>727</v>
      </c>
      <c r="D95" s="55" t="s">
        <v>2561</v>
      </c>
      <c r="E95" s="57" t="n">
        <v>20039</v>
      </c>
      <c r="F95" s="55" t="s">
        <v>2467</v>
      </c>
      <c r="G95" s="56" t="s">
        <v>2562</v>
      </c>
      <c r="H95" s="55"/>
      <c r="I95" s="55" t="s">
        <v>2562</v>
      </c>
      <c r="J95" s="55" t="s">
        <v>280</v>
      </c>
      <c r="K95" s="55" t="s">
        <v>502</v>
      </c>
      <c r="L95" s="58" t="s">
        <v>2469</v>
      </c>
      <c r="M95" s="56"/>
    </row>
    <row r="96" customFormat="false" ht="38.25" hidden="false" customHeight="true" outlineLevel="0" collapsed="false">
      <c r="A96" s="55" t="n">
        <v>92</v>
      </c>
      <c r="B96" s="55" t="s">
        <v>654</v>
      </c>
      <c r="C96" s="56" t="s">
        <v>730</v>
      </c>
      <c r="D96" s="55" t="s">
        <v>731</v>
      </c>
      <c r="E96" s="57" t="n">
        <v>16236</v>
      </c>
      <c r="F96" s="55" t="s">
        <v>2467</v>
      </c>
      <c r="G96" s="56" t="s">
        <v>2548</v>
      </c>
      <c r="H96" s="55"/>
      <c r="I96" s="55" t="s">
        <v>2548</v>
      </c>
      <c r="J96" s="55" t="s">
        <v>276</v>
      </c>
      <c r="K96" s="55" t="s">
        <v>513</v>
      </c>
      <c r="L96" s="58" t="s">
        <v>2469</v>
      </c>
      <c r="M96" s="56"/>
    </row>
    <row r="97" customFormat="false" ht="51" hidden="false" customHeight="true" outlineLevel="0" collapsed="false">
      <c r="A97" s="55" t="n">
        <v>93</v>
      </c>
      <c r="B97" s="55" t="s">
        <v>654</v>
      </c>
      <c r="C97" s="56" t="s">
        <v>732</v>
      </c>
      <c r="D97" s="55" t="s">
        <v>733</v>
      </c>
      <c r="E97" s="57" t="n">
        <v>17833</v>
      </c>
      <c r="F97" s="55" t="s">
        <v>2467</v>
      </c>
      <c r="G97" s="56" t="s">
        <v>2549</v>
      </c>
      <c r="H97" s="55"/>
      <c r="I97" s="55" t="s">
        <v>2549</v>
      </c>
      <c r="J97" s="55" t="s">
        <v>280</v>
      </c>
      <c r="K97" s="55" t="s">
        <v>502</v>
      </c>
      <c r="L97" s="58" t="s">
        <v>2469</v>
      </c>
      <c r="M97" s="56"/>
    </row>
    <row r="98" customFormat="false" ht="63.75" hidden="false" customHeight="true" outlineLevel="0" collapsed="false">
      <c r="A98" s="55" t="n">
        <v>94</v>
      </c>
      <c r="B98" s="55" t="s">
        <v>654</v>
      </c>
      <c r="C98" s="56" t="s">
        <v>735</v>
      </c>
      <c r="D98" s="55" t="s">
        <v>736</v>
      </c>
      <c r="E98" s="57" t="n">
        <v>39066</v>
      </c>
      <c r="F98" s="55" t="s">
        <v>2467</v>
      </c>
      <c r="G98" s="56" t="s">
        <v>2563</v>
      </c>
      <c r="H98" s="55"/>
      <c r="I98" s="55" t="s">
        <v>2563</v>
      </c>
      <c r="J98" s="55" t="s">
        <v>280</v>
      </c>
      <c r="K98" s="55" t="s">
        <v>502</v>
      </c>
      <c r="L98" s="58" t="s">
        <v>2469</v>
      </c>
      <c r="M98" s="56"/>
    </row>
    <row r="99" customFormat="false" ht="51" hidden="false" customHeight="true" outlineLevel="0" collapsed="false">
      <c r="A99" s="55" t="n">
        <v>95</v>
      </c>
      <c r="B99" s="55" t="s">
        <v>654</v>
      </c>
      <c r="C99" s="56" t="s">
        <v>738</v>
      </c>
      <c r="D99" s="55" t="s">
        <v>2564</v>
      </c>
      <c r="E99" s="57" t="n">
        <v>57555</v>
      </c>
      <c r="F99" s="55" t="s">
        <v>2467</v>
      </c>
      <c r="G99" s="56" t="s">
        <v>2470</v>
      </c>
      <c r="H99" s="59"/>
      <c r="I99" s="55" t="s">
        <v>2548</v>
      </c>
      <c r="J99" s="55" t="s">
        <v>276</v>
      </c>
      <c r="K99" s="55" t="s">
        <v>513</v>
      </c>
      <c r="L99" s="61" t="s">
        <v>2476</v>
      </c>
      <c r="M99" s="56"/>
    </row>
    <row r="100" customFormat="false" ht="51" hidden="false" customHeight="true" outlineLevel="0" collapsed="false">
      <c r="A100" s="55" t="n">
        <v>96</v>
      </c>
      <c r="B100" s="55" t="s">
        <v>654</v>
      </c>
      <c r="C100" s="56" t="s">
        <v>740</v>
      </c>
      <c r="D100" s="55" t="s">
        <v>741</v>
      </c>
      <c r="E100" s="57" t="n">
        <v>57980</v>
      </c>
      <c r="F100" s="55" t="s">
        <v>2467</v>
      </c>
      <c r="G100" s="56" t="s">
        <v>2470</v>
      </c>
      <c r="H100" s="59"/>
      <c r="I100" s="55" t="s">
        <v>2548</v>
      </c>
      <c r="J100" s="55" t="s">
        <v>276</v>
      </c>
      <c r="K100" s="55" t="s">
        <v>513</v>
      </c>
      <c r="L100" s="61" t="s">
        <v>2476</v>
      </c>
      <c r="M100" s="56"/>
    </row>
    <row r="101" customFormat="false" ht="63.75" hidden="false" customHeight="true" outlineLevel="0" collapsed="false">
      <c r="A101" s="55" t="n">
        <v>97</v>
      </c>
      <c r="B101" s="55" t="s">
        <v>654</v>
      </c>
      <c r="C101" s="56" t="s">
        <v>742</v>
      </c>
      <c r="D101" s="55" t="s">
        <v>2565</v>
      </c>
      <c r="E101" s="57" t="n">
        <v>12279</v>
      </c>
      <c r="F101" s="55" t="s">
        <v>2467</v>
      </c>
      <c r="G101" s="56" t="s">
        <v>2566</v>
      </c>
      <c r="H101" s="55"/>
      <c r="I101" s="55" t="s">
        <v>2566</v>
      </c>
      <c r="J101" s="55" t="s">
        <v>280</v>
      </c>
      <c r="K101" s="55" t="s">
        <v>502</v>
      </c>
      <c r="L101" s="58" t="s">
        <v>2469</v>
      </c>
      <c r="M101" s="56"/>
    </row>
    <row r="102" customFormat="false" ht="63.75" hidden="false" customHeight="true" outlineLevel="0" collapsed="false">
      <c r="A102" s="55" t="n">
        <v>98</v>
      </c>
      <c r="B102" s="55" t="s">
        <v>654</v>
      </c>
      <c r="C102" s="56" t="s">
        <v>748</v>
      </c>
      <c r="D102" s="55" t="s">
        <v>749</v>
      </c>
      <c r="E102" s="57" t="n">
        <v>14498</v>
      </c>
      <c r="F102" s="55" t="s">
        <v>2467</v>
      </c>
      <c r="G102" s="56" t="s">
        <v>2567</v>
      </c>
      <c r="H102" s="55"/>
      <c r="I102" s="55" t="s">
        <v>2567</v>
      </c>
      <c r="J102" s="55" t="s">
        <v>280</v>
      </c>
      <c r="K102" s="55" t="s">
        <v>502</v>
      </c>
      <c r="L102" s="58" t="s">
        <v>2469</v>
      </c>
      <c r="M102" s="56"/>
    </row>
    <row r="103" customFormat="false" ht="51" hidden="false" customHeight="true" outlineLevel="0" collapsed="false">
      <c r="A103" s="55" t="n">
        <v>99</v>
      </c>
      <c r="B103" s="55" t="s">
        <v>654</v>
      </c>
      <c r="C103" s="56" t="s">
        <v>745</v>
      </c>
      <c r="D103" s="55" t="s">
        <v>746</v>
      </c>
      <c r="E103" s="57" t="n">
        <v>43916</v>
      </c>
      <c r="F103" s="55" t="s">
        <v>2467</v>
      </c>
      <c r="G103" s="56" t="s">
        <v>2568</v>
      </c>
      <c r="H103" s="55"/>
      <c r="I103" s="55" t="s">
        <v>2568</v>
      </c>
      <c r="J103" s="55" t="s">
        <v>280</v>
      </c>
      <c r="K103" s="55" t="s">
        <v>502</v>
      </c>
      <c r="L103" s="58" t="s">
        <v>2469</v>
      </c>
      <c r="M103" s="56"/>
    </row>
    <row r="104" customFormat="false" ht="51" hidden="false" customHeight="true" outlineLevel="0" collapsed="false">
      <c r="A104" s="55" t="n">
        <v>100</v>
      </c>
      <c r="B104" s="55" t="s">
        <v>654</v>
      </c>
      <c r="C104" s="56" t="s">
        <v>701</v>
      </c>
      <c r="D104" s="55" t="s">
        <v>2569</v>
      </c>
      <c r="E104" s="57" t="n">
        <v>12956</v>
      </c>
      <c r="F104" s="55" t="s">
        <v>2467</v>
      </c>
      <c r="G104" s="56" t="s">
        <v>2570</v>
      </c>
      <c r="H104" s="55"/>
      <c r="I104" s="55" t="s">
        <v>2570</v>
      </c>
      <c r="J104" s="55" t="s">
        <v>280</v>
      </c>
      <c r="K104" s="55" t="s">
        <v>502</v>
      </c>
      <c r="L104" s="58" t="s">
        <v>2469</v>
      </c>
      <c r="M104" s="56"/>
    </row>
    <row r="105" customFormat="false" ht="25.5" hidden="false" customHeight="true" outlineLevel="0" collapsed="false">
      <c r="A105" s="55" t="n">
        <v>101</v>
      </c>
      <c r="B105" s="55" t="s">
        <v>751</v>
      </c>
      <c r="C105" s="56" t="s">
        <v>752</v>
      </c>
      <c r="D105" s="55" t="s">
        <v>2571</v>
      </c>
      <c r="E105" s="57" t="n">
        <v>10546</v>
      </c>
      <c r="F105" s="55" t="s">
        <v>2467</v>
      </c>
      <c r="G105" s="56" t="s">
        <v>2470</v>
      </c>
      <c r="H105" s="59"/>
      <c r="I105" s="55" t="s">
        <v>2572</v>
      </c>
      <c r="J105" s="55" t="s">
        <v>280</v>
      </c>
      <c r="K105" s="55" t="s">
        <v>502</v>
      </c>
      <c r="L105" s="60" t="s">
        <v>2472</v>
      </c>
      <c r="M105" s="56"/>
    </row>
    <row r="106" customFormat="false" ht="25.5" hidden="false" customHeight="true" outlineLevel="0" collapsed="false">
      <c r="A106" s="55" t="n">
        <v>102</v>
      </c>
      <c r="B106" s="55" t="s">
        <v>751</v>
      </c>
      <c r="C106" s="56" t="s">
        <v>754</v>
      </c>
      <c r="D106" s="55" t="s">
        <v>755</v>
      </c>
      <c r="E106" s="57" t="n">
        <v>29122</v>
      </c>
      <c r="F106" s="55" t="s">
        <v>2467</v>
      </c>
      <c r="G106" s="56" t="s">
        <v>2470</v>
      </c>
      <c r="H106" s="59"/>
      <c r="I106" s="55" t="s">
        <v>2573</v>
      </c>
      <c r="J106" s="55" t="s">
        <v>280</v>
      </c>
      <c r="K106" s="55" t="s">
        <v>502</v>
      </c>
      <c r="L106" s="60" t="s">
        <v>2472</v>
      </c>
      <c r="M106" s="56"/>
    </row>
    <row r="107" customFormat="false" ht="25.5" hidden="false" customHeight="true" outlineLevel="0" collapsed="false">
      <c r="A107" s="55" t="n">
        <v>103</v>
      </c>
      <c r="B107" s="55" t="s">
        <v>751</v>
      </c>
      <c r="C107" s="56" t="s">
        <v>757</v>
      </c>
      <c r="D107" s="55" t="s">
        <v>758</v>
      </c>
      <c r="E107" s="57" t="n">
        <v>6150</v>
      </c>
      <c r="F107" s="55" t="s">
        <v>2467</v>
      </c>
      <c r="G107" s="56" t="s">
        <v>2470</v>
      </c>
      <c r="H107" s="59"/>
      <c r="I107" s="55" t="s">
        <v>2574</v>
      </c>
      <c r="J107" s="55" t="s">
        <v>280</v>
      </c>
      <c r="K107" s="55" t="s">
        <v>502</v>
      </c>
      <c r="L107" s="60" t="s">
        <v>2472</v>
      </c>
      <c r="M107" s="56"/>
    </row>
    <row r="108" customFormat="false" ht="25.5" hidden="false" customHeight="true" outlineLevel="0" collapsed="false">
      <c r="A108" s="55" t="n">
        <v>104</v>
      </c>
      <c r="B108" s="55" t="s">
        <v>751</v>
      </c>
      <c r="C108" s="56" t="s">
        <v>760</v>
      </c>
      <c r="D108" s="55" t="s">
        <v>761</v>
      </c>
      <c r="E108" s="57" t="n">
        <v>15373</v>
      </c>
      <c r="F108" s="55" t="s">
        <v>2467</v>
      </c>
      <c r="G108" s="56" t="s">
        <v>2470</v>
      </c>
      <c r="H108" s="59"/>
      <c r="I108" s="55" t="s">
        <v>2575</v>
      </c>
      <c r="J108" s="55" t="s">
        <v>280</v>
      </c>
      <c r="K108" s="55" t="s">
        <v>502</v>
      </c>
      <c r="L108" s="60" t="s">
        <v>2472</v>
      </c>
      <c r="M108" s="56"/>
    </row>
    <row r="109" customFormat="false" ht="25.5" hidden="false" customHeight="true" outlineLevel="0" collapsed="false">
      <c r="A109" s="55" t="n">
        <v>105</v>
      </c>
      <c r="B109" s="55" t="s">
        <v>751</v>
      </c>
      <c r="C109" s="56" t="s">
        <v>763</v>
      </c>
      <c r="D109" s="55" t="s">
        <v>764</v>
      </c>
      <c r="E109" s="57" t="n">
        <v>34490</v>
      </c>
      <c r="F109" s="55" t="s">
        <v>2467</v>
      </c>
      <c r="G109" s="56" t="s">
        <v>2470</v>
      </c>
      <c r="H109" s="59"/>
      <c r="I109" s="55" t="s">
        <v>2575</v>
      </c>
      <c r="J109" s="55" t="s">
        <v>280</v>
      </c>
      <c r="K109" s="55" t="s">
        <v>502</v>
      </c>
      <c r="L109" s="60" t="s">
        <v>2472</v>
      </c>
      <c r="M109" s="56"/>
    </row>
    <row r="110" customFormat="false" ht="25.5" hidden="false" customHeight="true" outlineLevel="0" collapsed="false">
      <c r="A110" s="55" t="n">
        <v>106</v>
      </c>
      <c r="B110" s="55" t="s">
        <v>751</v>
      </c>
      <c r="C110" s="56" t="s">
        <v>765</v>
      </c>
      <c r="D110" s="55" t="s">
        <v>766</v>
      </c>
      <c r="E110" s="57" t="n">
        <v>25090</v>
      </c>
      <c r="F110" s="55" t="s">
        <v>2467</v>
      </c>
      <c r="G110" s="56" t="s">
        <v>2470</v>
      </c>
      <c r="H110" s="59"/>
      <c r="I110" s="55" t="s">
        <v>2575</v>
      </c>
      <c r="J110" s="55" t="s">
        <v>280</v>
      </c>
      <c r="K110" s="55" t="s">
        <v>502</v>
      </c>
      <c r="L110" s="60" t="s">
        <v>2472</v>
      </c>
      <c r="M110" s="56"/>
    </row>
    <row r="111" customFormat="false" ht="25.5" hidden="false" customHeight="true" outlineLevel="0" collapsed="false">
      <c r="A111" s="55" t="n">
        <v>107</v>
      </c>
      <c r="B111" s="55" t="s">
        <v>751</v>
      </c>
      <c r="C111" s="56" t="s">
        <v>768</v>
      </c>
      <c r="D111" s="55" t="s">
        <v>769</v>
      </c>
      <c r="E111" s="57" t="n">
        <v>7551</v>
      </c>
      <c r="F111" s="55" t="s">
        <v>2467</v>
      </c>
      <c r="G111" s="56" t="s">
        <v>2470</v>
      </c>
      <c r="H111" s="59"/>
      <c r="I111" s="55" t="s">
        <v>2576</v>
      </c>
      <c r="J111" s="55" t="s">
        <v>325</v>
      </c>
      <c r="K111" s="55" t="s">
        <v>513</v>
      </c>
      <c r="L111" s="61" t="s">
        <v>2476</v>
      </c>
      <c r="M111" s="56"/>
    </row>
    <row r="112" customFormat="false" ht="25.5" hidden="false" customHeight="true" outlineLevel="0" collapsed="false">
      <c r="A112" s="55" t="n">
        <v>108</v>
      </c>
      <c r="B112" s="55" t="s">
        <v>751</v>
      </c>
      <c r="C112" s="56" t="s">
        <v>2577</v>
      </c>
      <c r="D112" s="55" t="s">
        <v>2578</v>
      </c>
      <c r="E112" s="57" t="n">
        <v>8828</v>
      </c>
      <c r="F112" s="55" t="s">
        <v>2467</v>
      </c>
      <c r="G112" s="56" t="s">
        <v>2470</v>
      </c>
      <c r="H112" s="59"/>
      <c r="I112" s="55" t="s">
        <v>2575</v>
      </c>
      <c r="J112" s="55" t="s">
        <v>280</v>
      </c>
      <c r="K112" s="55" t="s">
        <v>502</v>
      </c>
      <c r="L112" s="60" t="s">
        <v>2472</v>
      </c>
      <c r="M112" s="56"/>
    </row>
    <row r="113" customFormat="false" ht="25.5" hidden="false" customHeight="true" outlineLevel="0" collapsed="false">
      <c r="A113" s="55" t="n">
        <v>109</v>
      </c>
      <c r="B113" s="55" t="s">
        <v>751</v>
      </c>
      <c r="C113" s="56" t="s">
        <v>775</v>
      </c>
      <c r="D113" s="55" t="s">
        <v>776</v>
      </c>
      <c r="E113" s="57" t="n">
        <v>6800</v>
      </c>
      <c r="F113" s="55" t="s">
        <v>2467</v>
      </c>
      <c r="G113" s="56" t="s">
        <v>2470</v>
      </c>
      <c r="H113" s="59"/>
      <c r="I113" s="55" t="s">
        <v>2574</v>
      </c>
      <c r="J113" s="55" t="s">
        <v>280</v>
      </c>
      <c r="K113" s="55" t="s">
        <v>502</v>
      </c>
      <c r="L113" s="60" t="s">
        <v>2472</v>
      </c>
      <c r="M113" s="56"/>
    </row>
    <row r="114" customFormat="false" ht="25.5" hidden="false" customHeight="true" outlineLevel="0" collapsed="false">
      <c r="A114" s="55" t="n">
        <v>110</v>
      </c>
      <c r="B114" s="55" t="s">
        <v>751</v>
      </c>
      <c r="C114" s="56" t="s">
        <v>772</v>
      </c>
      <c r="D114" s="55" t="s">
        <v>773</v>
      </c>
      <c r="E114" s="57" t="n">
        <v>8700</v>
      </c>
      <c r="F114" s="55" t="s">
        <v>2467</v>
      </c>
      <c r="G114" s="56" t="s">
        <v>2470</v>
      </c>
      <c r="H114" s="59"/>
      <c r="I114" s="55" t="s">
        <v>2579</v>
      </c>
      <c r="J114" s="55" t="s">
        <v>276</v>
      </c>
      <c r="K114" s="55" t="s">
        <v>513</v>
      </c>
      <c r="L114" s="61" t="s">
        <v>2476</v>
      </c>
      <c r="M114" s="56"/>
    </row>
    <row r="115" customFormat="false" ht="25.5" hidden="false" customHeight="true" outlineLevel="0" collapsed="false">
      <c r="A115" s="55" t="n">
        <v>111</v>
      </c>
      <c r="B115" s="55" t="s">
        <v>751</v>
      </c>
      <c r="C115" s="56" t="s">
        <v>778</v>
      </c>
      <c r="D115" s="55" t="s">
        <v>779</v>
      </c>
      <c r="E115" s="57" t="n">
        <v>15110</v>
      </c>
      <c r="F115" s="55" t="s">
        <v>2467</v>
      </c>
      <c r="G115" s="56" t="s">
        <v>2470</v>
      </c>
      <c r="H115" s="59"/>
      <c r="I115" s="55" t="s">
        <v>2573</v>
      </c>
      <c r="J115" s="55" t="s">
        <v>280</v>
      </c>
      <c r="K115" s="55" t="s">
        <v>502</v>
      </c>
      <c r="L115" s="60" t="s">
        <v>2472</v>
      </c>
      <c r="M115" s="56"/>
    </row>
    <row r="116" customFormat="false" ht="25.5" hidden="false" customHeight="true" outlineLevel="0" collapsed="false">
      <c r="A116" s="55" t="n">
        <v>112</v>
      </c>
      <c r="B116" s="55" t="s">
        <v>751</v>
      </c>
      <c r="C116" s="56" t="s">
        <v>780</v>
      </c>
      <c r="D116" s="55" t="s">
        <v>2580</v>
      </c>
      <c r="E116" s="57" t="n">
        <v>11909</v>
      </c>
      <c r="F116" s="55" t="s">
        <v>2467</v>
      </c>
      <c r="G116" s="56" t="s">
        <v>2470</v>
      </c>
      <c r="H116" s="59"/>
      <c r="I116" s="55" t="s">
        <v>2574</v>
      </c>
      <c r="J116" s="55" t="s">
        <v>280</v>
      </c>
      <c r="K116" s="55" t="s">
        <v>502</v>
      </c>
      <c r="L116" s="60" t="s">
        <v>2472</v>
      </c>
      <c r="M116" s="56"/>
    </row>
    <row r="117" customFormat="false" ht="15" hidden="false" customHeight="false" outlineLevel="0" collapsed="false">
      <c r="A117" s="55" t="n">
        <v>113</v>
      </c>
      <c r="B117" s="55" t="s">
        <v>751</v>
      </c>
      <c r="C117" s="56" t="s">
        <v>783</v>
      </c>
      <c r="D117" s="55" t="s">
        <v>784</v>
      </c>
      <c r="E117" s="57" t="n">
        <v>10798</v>
      </c>
      <c r="F117" s="55" t="s">
        <v>2467</v>
      </c>
      <c r="G117" s="56" t="s">
        <v>2575</v>
      </c>
      <c r="H117" s="55"/>
      <c r="I117" s="55" t="s">
        <v>2575</v>
      </c>
      <c r="J117" s="55" t="s">
        <v>280</v>
      </c>
      <c r="K117" s="55" t="s">
        <v>502</v>
      </c>
      <c r="L117" s="58" t="s">
        <v>2469</v>
      </c>
      <c r="M117" s="56"/>
    </row>
    <row r="118" customFormat="false" ht="25.5" hidden="false" customHeight="true" outlineLevel="0" collapsed="false">
      <c r="A118" s="55" t="n">
        <v>114</v>
      </c>
      <c r="B118" s="55" t="s">
        <v>751</v>
      </c>
      <c r="C118" s="56" t="s">
        <v>786</v>
      </c>
      <c r="D118" s="55" t="s">
        <v>2581</v>
      </c>
      <c r="E118" s="57" t="n">
        <v>22519</v>
      </c>
      <c r="F118" s="55" t="s">
        <v>2467</v>
      </c>
      <c r="G118" s="56" t="s">
        <v>2470</v>
      </c>
      <c r="H118" s="59"/>
      <c r="I118" s="55" t="s">
        <v>2582</v>
      </c>
      <c r="J118" s="55" t="s">
        <v>280</v>
      </c>
      <c r="K118" s="55" t="s">
        <v>502</v>
      </c>
      <c r="L118" s="60" t="s">
        <v>2472</v>
      </c>
      <c r="M118" s="56"/>
    </row>
    <row r="119" customFormat="false" ht="15" hidden="false" customHeight="false" outlineLevel="0" collapsed="false">
      <c r="A119" s="55" t="n">
        <v>115</v>
      </c>
      <c r="B119" s="55" t="s">
        <v>751</v>
      </c>
      <c r="C119" s="56" t="s">
        <v>789</v>
      </c>
      <c r="D119" s="55" t="s">
        <v>790</v>
      </c>
      <c r="E119" s="57" t="n">
        <v>3467</v>
      </c>
      <c r="F119" s="55" t="s">
        <v>2467</v>
      </c>
      <c r="G119" s="56" t="s">
        <v>2573</v>
      </c>
      <c r="H119" s="55"/>
      <c r="I119" s="55" t="s">
        <v>2573</v>
      </c>
      <c r="J119" s="55" t="s">
        <v>280</v>
      </c>
      <c r="K119" s="55" t="s">
        <v>502</v>
      </c>
      <c r="L119" s="58" t="s">
        <v>2469</v>
      </c>
      <c r="M119" s="56"/>
    </row>
    <row r="120" customFormat="false" ht="25.5" hidden="false" customHeight="true" outlineLevel="0" collapsed="false">
      <c r="A120" s="55" t="n">
        <v>116</v>
      </c>
      <c r="B120" s="55" t="s">
        <v>751</v>
      </c>
      <c r="C120" s="56" t="s">
        <v>791</v>
      </c>
      <c r="D120" s="55" t="s">
        <v>2583</v>
      </c>
      <c r="E120" s="57" t="n">
        <v>21897</v>
      </c>
      <c r="F120" s="55" t="s">
        <v>2467</v>
      </c>
      <c r="G120" s="56" t="s">
        <v>2470</v>
      </c>
      <c r="H120" s="59"/>
      <c r="I120" s="55" t="s">
        <v>2573</v>
      </c>
      <c r="J120" s="55" t="s">
        <v>280</v>
      </c>
      <c r="K120" s="55" t="s">
        <v>502</v>
      </c>
      <c r="L120" s="60" t="s">
        <v>2472</v>
      </c>
      <c r="M120" s="56"/>
    </row>
    <row r="121" customFormat="false" ht="25.5" hidden="false" customHeight="true" outlineLevel="0" collapsed="false">
      <c r="A121" s="55" t="n">
        <v>117</v>
      </c>
      <c r="B121" s="55" t="s">
        <v>751</v>
      </c>
      <c r="C121" s="56" t="s">
        <v>793</v>
      </c>
      <c r="D121" s="55" t="s">
        <v>2584</v>
      </c>
      <c r="E121" s="57" t="n">
        <v>8316</v>
      </c>
      <c r="F121" s="55" t="s">
        <v>2467</v>
      </c>
      <c r="G121" s="56" t="s">
        <v>2470</v>
      </c>
      <c r="H121" s="59"/>
      <c r="I121" s="55" t="s">
        <v>2573</v>
      </c>
      <c r="J121" s="55" t="s">
        <v>280</v>
      </c>
      <c r="K121" s="55" t="s">
        <v>502</v>
      </c>
      <c r="L121" s="60" t="s">
        <v>2472</v>
      </c>
      <c r="M121" s="56"/>
    </row>
    <row r="122" customFormat="false" ht="25.5" hidden="false" customHeight="true" outlineLevel="0" collapsed="false">
      <c r="A122" s="55" t="n">
        <v>118</v>
      </c>
      <c r="B122" s="55" t="s">
        <v>751</v>
      </c>
      <c r="C122" s="56" t="s">
        <v>795</v>
      </c>
      <c r="D122" s="55" t="s">
        <v>796</v>
      </c>
      <c r="E122" s="57" t="n">
        <v>22682</v>
      </c>
      <c r="F122" s="55" t="s">
        <v>2467</v>
      </c>
      <c r="G122" s="56" t="s">
        <v>2470</v>
      </c>
      <c r="H122" s="59"/>
      <c r="I122" s="55" t="s">
        <v>2574</v>
      </c>
      <c r="J122" s="55" t="s">
        <v>280</v>
      </c>
      <c r="K122" s="55" t="s">
        <v>502</v>
      </c>
      <c r="L122" s="60" t="s">
        <v>2472</v>
      </c>
      <c r="M122" s="56"/>
    </row>
    <row r="123" customFormat="false" ht="25.5" hidden="false" customHeight="true" outlineLevel="0" collapsed="false">
      <c r="A123" s="55" t="n">
        <v>119</v>
      </c>
      <c r="B123" s="55" t="s">
        <v>751</v>
      </c>
      <c r="C123" s="56" t="s">
        <v>799</v>
      </c>
      <c r="D123" s="55" t="s">
        <v>800</v>
      </c>
      <c r="E123" s="57" t="n">
        <v>5785</v>
      </c>
      <c r="F123" s="55" t="s">
        <v>2467</v>
      </c>
      <c r="G123" s="56" t="s">
        <v>2470</v>
      </c>
      <c r="H123" s="59"/>
      <c r="I123" s="55" t="s">
        <v>2575</v>
      </c>
      <c r="J123" s="55" t="s">
        <v>280</v>
      </c>
      <c r="K123" s="55" t="s">
        <v>502</v>
      </c>
      <c r="L123" s="60" t="s">
        <v>2472</v>
      </c>
      <c r="M123" s="56"/>
    </row>
    <row r="124" customFormat="false" ht="38.25" hidden="false" customHeight="true" outlineLevel="0" collapsed="false">
      <c r="A124" s="55" t="n">
        <v>120</v>
      </c>
      <c r="B124" s="55" t="s">
        <v>751</v>
      </c>
      <c r="C124" s="56" t="s">
        <v>2585</v>
      </c>
      <c r="D124" s="55"/>
      <c r="E124" s="57" t="n">
        <v>1513</v>
      </c>
      <c r="F124" s="55" t="s">
        <v>2467</v>
      </c>
      <c r="G124" s="56" t="s">
        <v>2470</v>
      </c>
      <c r="H124" s="59"/>
      <c r="I124" s="55" t="s">
        <v>2579</v>
      </c>
      <c r="J124" s="55" t="s">
        <v>276</v>
      </c>
      <c r="K124" s="55" t="s">
        <v>513</v>
      </c>
      <c r="L124" s="60" t="s">
        <v>2479</v>
      </c>
      <c r="M124" s="56"/>
    </row>
    <row r="125" customFormat="false" ht="38.25" hidden="false" customHeight="true" outlineLevel="0" collapsed="false">
      <c r="A125" s="55" t="n">
        <v>121</v>
      </c>
      <c r="B125" s="55" t="s">
        <v>751</v>
      </c>
      <c r="C125" s="56" t="s">
        <v>802</v>
      </c>
      <c r="D125" s="55" t="s">
        <v>2586</v>
      </c>
      <c r="E125" s="57" t="n">
        <v>52577</v>
      </c>
      <c r="F125" s="55" t="s">
        <v>2467</v>
      </c>
      <c r="G125" s="56" t="s">
        <v>2587</v>
      </c>
      <c r="H125" s="55"/>
      <c r="I125" s="55" t="s">
        <v>2587</v>
      </c>
      <c r="J125" s="55" t="s">
        <v>280</v>
      </c>
      <c r="K125" s="55" t="s">
        <v>502</v>
      </c>
      <c r="L125" s="58" t="s">
        <v>2469</v>
      </c>
      <c r="M125" s="56"/>
    </row>
    <row r="126" customFormat="false" ht="51" hidden="false" customHeight="true" outlineLevel="0" collapsed="false">
      <c r="A126" s="55" t="n">
        <v>122</v>
      </c>
      <c r="B126" s="55" t="s">
        <v>751</v>
      </c>
      <c r="C126" s="56" t="s">
        <v>805</v>
      </c>
      <c r="D126" s="55" t="s">
        <v>806</v>
      </c>
      <c r="E126" s="57" t="n">
        <v>79776</v>
      </c>
      <c r="F126" s="55" t="s">
        <v>2467</v>
      </c>
      <c r="G126" s="56" t="s">
        <v>2579</v>
      </c>
      <c r="H126" s="55"/>
      <c r="I126" s="55" t="s">
        <v>2579</v>
      </c>
      <c r="J126" s="55" t="s">
        <v>276</v>
      </c>
      <c r="K126" s="55" t="s">
        <v>513</v>
      </c>
      <c r="L126" s="58" t="s">
        <v>2469</v>
      </c>
      <c r="M126" s="56"/>
    </row>
    <row r="127" customFormat="false" ht="38.25" hidden="false" customHeight="true" outlineLevel="0" collapsed="false">
      <c r="A127" s="55" t="n">
        <v>123</v>
      </c>
      <c r="B127" s="55" t="s">
        <v>751</v>
      </c>
      <c r="C127" s="56" t="s">
        <v>807</v>
      </c>
      <c r="D127" s="55" t="s">
        <v>2588</v>
      </c>
      <c r="E127" s="57" t="n">
        <v>23512</v>
      </c>
      <c r="F127" s="55" t="s">
        <v>2467</v>
      </c>
      <c r="G127" s="56" t="s">
        <v>2589</v>
      </c>
      <c r="H127" s="55"/>
      <c r="I127" s="55" t="s">
        <v>2589</v>
      </c>
      <c r="J127" s="55" t="s">
        <v>280</v>
      </c>
      <c r="K127" s="55" t="s">
        <v>502</v>
      </c>
      <c r="L127" s="58" t="s">
        <v>2469</v>
      </c>
      <c r="M127" s="56"/>
    </row>
    <row r="128" customFormat="false" ht="38.25" hidden="false" customHeight="true" outlineLevel="0" collapsed="false">
      <c r="A128" s="55" t="n">
        <v>124</v>
      </c>
      <c r="B128" s="55" t="s">
        <v>751</v>
      </c>
      <c r="C128" s="56" t="s">
        <v>817</v>
      </c>
      <c r="D128" s="55" t="s">
        <v>818</v>
      </c>
      <c r="E128" s="57" t="n">
        <v>162170</v>
      </c>
      <c r="F128" s="55" t="s">
        <v>2467</v>
      </c>
      <c r="G128" s="56" t="s">
        <v>2574</v>
      </c>
      <c r="H128" s="55"/>
      <c r="I128" s="55" t="s">
        <v>2574</v>
      </c>
      <c r="J128" s="55" t="s">
        <v>280</v>
      </c>
      <c r="K128" s="55" t="s">
        <v>502</v>
      </c>
      <c r="L128" s="58" t="s">
        <v>2469</v>
      </c>
      <c r="M128" s="56"/>
    </row>
    <row r="129" customFormat="false" ht="38.25" hidden="false" customHeight="true" outlineLevel="0" collapsed="false">
      <c r="A129" s="55" t="n">
        <v>125</v>
      </c>
      <c r="B129" s="55" t="s">
        <v>751</v>
      </c>
      <c r="C129" s="56" t="s">
        <v>812</v>
      </c>
      <c r="D129" s="55" t="s">
        <v>813</v>
      </c>
      <c r="E129" s="57" t="n">
        <v>208619</v>
      </c>
      <c r="F129" s="55" t="s">
        <v>2467</v>
      </c>
      <c r="G129" s="56" t="s">
        <v>2575</v>
      </c>
      <c r="H129" s="55"/>
      <c r="I129" s="55" t="s">
        <v>2575</v>
      </c>
      <c r="J129" s="55" t="s">
        <v>280</v>
      </c>
      <c r="K129" s="55" t="s">
        <v>502</v>
      </c>
      <c r="L129" s="58" t="s">
        <v>2469</v>
      </c>
      <c r="M129" s="56"/>
    </row>
    <row r="130" customFormat="false" ht="63.75" hidden="false" customHeight="true" outlineLevel="0" collapsed="false">
      <c r="A130" s="55" t="n">
        <v>126</v>
      </c>
      <c r="B130" s="55" t="s">
        <v>751</v>
      </c>
      <c r="C130" s="56" t="s">
        <v>814</v>
      </c>
      <c r="D130" s="55" t="s">
        <v>2590</v>
      </c>
      <c r="E130" s="57" t="n">
        <v>204256</v>
      </c>
      <c r="F130" s="55" t="s">
        <v>2467</v>
      </c>
      <c r="G130" s="56" t="s">
        <v>2582</v>
      </c>
      <c r="H130" s="55"/>
      <c r="I130" s="55" t="s">
        <v>2582</v>
      </c>
      <c r="J130" s="55" t="s">
        <v>280</v>
      </c>
      <c r="K130" s="55" t="s">
        <v>502</v>
      </c>
      <c r="L130" s="58" t="s">
        <v>2469</v>
      </c>
      <c r="M130" s="56"/>
    </row>
    <row r="131" customFormat="false" ht="63.75" hidden="false" customHeight="true" outlineLevel="0" collapsed="false">
      <c r="A131" s="55" t="n">
        <v>127</v>
      </c>
      <c r="B131" s="55" t="s">
        <v>751</v>
      </c>
      <c r="C131" s="56" t="s">
        <v>837</v>
      </c>
      <c r="D131" s="55" t="s">
        <v>2591</v>
      </c>
      <c r="E131" s="57" t="n">
        <v>41455</v>
      </c>
      <c r="F131" s="55" t="s">
        <v>2467</v>
      </c>
      <c r="G131" s="56" t="s">
        <v>2572</v>
      </c>
      <c r="H131" s="55"/>
      <c r="I131" s="55" t="s">
        <v>2572</v>
      </c>
      <c r="J131" s="55" t="s">
        <v>280</v>
      </c>
      <c r="K131" s="55" t="s">
        <v>502</v>
      </c>
      <c r="L131" s="58" t="s">
        <v>2469</v>
      </c>
      <c r="M131" s="56"/>
    </row>
    <row r="132" customFormat="false" ht="38.25" hidden="false" customHeight="true" outlineLevel="0" collapsed="false">
      <c r="A132" s="55" t="n">
        <v>128</v>
      </c>
      <c r="B132" s="55" t="s">
        <v>751</v>
      </c>
      <c r="C132" s="56" t="s">
        <v>810</v>
      </c>
      <c r="D132" s="55" t="s">
        <v>2592</v>
      </c>
      <c r="E132" s="57" t="n">
        <v>42044</v>
      </c>
      <c r="F132" s="55" t="s">
        <v>2467</v>
      </c>
      <c r="G132" s="56" t="s">
        <v>2582</v>
      </c>
      <c r="H132" s="55"/>
      <c r="I132" s="55" t="s">
        <v>2582</v>
      </c>
      <c r="J132" s="55" t="s">
        <v>280</v>
      </c>
      <c r="K132" s="55" t="s">
        <v>502</v>
      </c>
      <c r="L132" s="58" t="s">
        <v>2469</v>
      </c>
      <c r="M132" s="56"/>
    </row>
    <row r="133" customFormat="false" ht="38.25" hidden="false" customHeight="true" outlineLevel="0" collapsed="false">
      <c r="A133" s="55" t="n">
        <v>129</v>
      </c>
      <c r="B133" s="55" t="s">
        <v>751</v>
      </c>
      <c r="C133" s="56" t="s">
        <v>822</v>
      </c>
      <c r="D133" s="55" t="s">
        <v>823</v>
      </c>
      <c r="E133" s="57" t="n">
        <v>293345</v>
      </c>
      <c r="F133" s="55" t="s">
        <v>2467</v>
      </c>
      <c r="G133" s="56" t="s">
        <v>2573</v>
      </c>
      <c r="H133" s="55"/>
      <c r="I133" s="55" t="s">
        <v>2573</v>
      </c>
      <c r="J133" s="55" t="s">
        <v>280</v>
      </c>
      <c r="K133" s="55" t="s">
        <v>502</v>
      </c>
      <c r="L133" s="58" t="s">
        <v>2469</v>
      </c>
      <c r="M133" s="56"/>
    </row>
    <row r="134" customFormat="false" ht="25.5" hidden="false" customHeight="true" outlineLevel="0" collapsed="false">
      <c r="A134" s="55" t="n">
        <v>130</v>
      </c>
      <c r="B134" s="55" t="s">
        <v>751</v>
      </c>
      <c r="C134" s="56" t="s">
        <v>824</v>
      </c>
      <c r="D134" s="55" t="s">
        <v>2593</v>
      </c>
      <c r="E134" s="57" t="n">
        <v>22750</v>
      </c>
      <c r="F134" s="55" t="s">
        <v>2467</v>
      </c>
      <c r="G134" s="56" t="s">
        <v>2594</v>
      </c>
      <c r="H134" s="55"/>
      <c r="I134" s="55" t="s">
        <v>2594</v>
      </c>
      <c r="J134" s="55" t="s">
        <v>280</v>
      </c>
      <c r="K134" s="55" t="s">
        <v>502</v>
      </c>
      <c r="L134" s="58" t="s">
        <v>2469</v>
      </c>
      <c r="M134" s="56"/>
    </row>
    <row r="135" customFormat="false" ht="25.5" hidden="false" customHeight="true" outlineLevel="0" collapsed="false">
      <c r="A135" s="55" t="n">
        <v>131</v>
      </c>
      <c r="B135" s="55" t="s">
        <v>751</v>
      </c>
      <c r="C135" s="56" t="s">
        <v>828</v>
      </c>
      <c r="D135" s="55" t="s">
        <v>2595</v>
      </c>
      <c r="E135" s="57" t="n">
        <v>26041</v>
      </c>
      <c r="F135" s="55" t="s">
        <v>2467</v>
      </c>
      <c r="G135" s="56" t="s">
        <v>2596</v>
      </c>
      <c r="H135" s="55"/>
      <c r="I135" s="55" t="s">
        <v>2596</v>
      </c>
      <c r="J135" s="55" t="s">
        <v>280</v>
      </c>
      <c r="K135" s="55" t="s">
        <v>502</v>
      </c>
      <c r="L135" s="58" t="s">
        <v>2469</v>
      </c>
      <c r="M135" s="56"/>
    </row>
    <row r="136" customFormat="false" ht="63.75" hidden="false" customHeight="true" outlineLevel="0" collapsed="false">
      <c r="A136" s="55" t="n">
        <v>132</v>
      </c>
      <c r="B136" s="55" t="s">
        <v>751</v>
      </c>
      <c r="C136" s="56" t="s">
        <v>832</v>
      </c>
      <c r="D136" s="55" t="s">
        <v>833</v>
      </c>
      <c r="E136" s="57" t="n">
        <v>116462</v>
      </c>
      <c r="F136" s="55" t="s">
        <v>2467</v>
      </c>
      <c r="G136" s="56" t="s">
        <v>2572</v>
      </c>
      <c r="H136" s="55"/>
      <c r="I136" s="55" t="s">
        <v>2572</v>
      </c>
      <c r="J136" s="55" t="s">
        <v>280</v>
      </c>
      <c r="K136" s="55" t="s">
        <v>502</v>
      </c>
      <c r="L136" s="58" t="s">
        <v>2469</v>
      </c>
      <c r="M136" s="56"/>
    </row>
    <row r="137" customFormat="false" ht="38.25" hidden="false" customHeight="true" outlineLevel="0" collapsed="false">
      <c r="A137" s="55" t="n">
        <v>133</v>
      </c>
      <c r="B137" s="55" t="s">
        <v>751</v>
      </c>
      <c r="C137" s="56" t="s">
        <v>2597</v>
      </c>
      <c r="D137" s="55"/>
      <c r="E137" s="57" t="n">
        <v>3827</v>
      </c>
      <c r="F137" s="55" t="s">
        <v>2467</v>
      </c>
      <c r="G137" s="56" t="s">
        <v>2470</v>
      </c>
      <c r="H137" s="59"/>
      <c r="I137" s="55" t="s">
        <v>2579</v>
      </c>
      <c r="J137" s="55" t="s">
        <v>276</v>
      </c>
      <c r="K137" s="55" t="s">
        <v>513</v>
      </c>
      <c r="L137" s="60" t="s">
        <v>2479</v>
      </c>
      <c r="M137" s="56"/>
    </row>
    <row r="138" customFormat="false" ht="38.25" hidden="false" customHeight="true" outlineLevel="0" collapsed="false">
      <c r="A138" s="55" t="n">
        <v>134</v>
      </c>
      <c r="B138" s="55" t="s">
        <v>751</v>
      </c>
      <c r="C138" s="56" t="s">
        <v>834</v>
      </c>
      <c r="D138" s="55" t="s">
        <v>835</v>
      </c>
      <c r="E138" s="57" t="n">
        <v>10327</v>
      </c>
      <c r="F138" s="55" t="s">
        <v>2467</v>
      </c>
      <c r="G138" s="56" t="s">
        <v>2470</v>
      </c>
      <c r="H138" s="59"/>
      <c r="I138" s="55" t="s">
        <v>2582</v>
      </c>
      <c r="J138" s="55" t="s">
        <v>280</v>
      </c>
      <c r="K138" s="55" t="s">
        <v>502</v>
      </c>
      <c r="L138" s="60" t="s">
        <v>2472</v>
      </c>
      <c r="M138" s="56"/>
    </row>
    <row r="139" customFormat="false" ht="25.5" hidden="false" customHeight="true" outlineLevel="0" collapsed="false">
      <c r="A139" s="55" t="n">
        <v>135</v>
      </c>
      <c r="B139" s="55" t="s">
        <v>751</v>
      </c>
      <c r="C139" s="56" t="s">
        <v>797</v>
      </c>
      <c r="D139" s="55" t="s">
        <v>798</v>
      </c>
      <c r="E139" s="57" t="n">
        <v>4274</v>
      </c>
      <c r="F139" s="55" t="s">
        <v>2467</v>
      </c>
      <c r="G139" s="56" t="s">
        <v>2470</v>
      </c>
      <c r="H139" s="59"/>
      <c r="I139" s="55" t="s">
        <v>2573</v>
      </c>
      <c r="J139" s="55" t="s">
        <v>280</v>
      </c>
      <c r="K139" s="55" t="s">
        <v>502</v>
      </c>
      <c r="L139" s="60" t="s">
        <v>2472</v>
      </c>
      <c r="M139" s="56"/>
    </row>
    <row r="140" customFormat="false" ht="38.25" hidden="false" customHeight="true" outlineLevel="0" collapsed="false">
      <c r="A140" s="55" t="n">
        <v>136</v>
      </c>
      <c r="B140" s="55" t="s">
        <v>751</v>
      </c>
      <c r="C140" s="56" t="s">
        <v>819</v>
      </c>
      <c r="D140" s="55" t="s">
        <v>2598</v>
      </c>
      <c r="E140" s="57" t="n">
        <v>77530</v>
      </c>
      <c r="F140" s="55" t="s">
        <v>2467</v>
      </c>
      <c r="G140" s="56" t="s">
        <v>2574</v>
      </c>
      <c r="H140" s="55"/>
      <c r="I140" s="55" t="s">
        <v>2574</v>
      </c>
      <c r="J140" s="55" t="s">
        <v>280</v>
      </c>
      <c r="K140" s="55" t="s">
        <v>502</v>
      </c>
      <c r="L140" s="58" t="s">
        <v>2469</v>
      </c>
      <c r="M140" s="56"/>
    </row>
    <row r="141" customFormat="false" ht="25.5" hidden="false" customHeight="true" outlineLevel="0" collapsed="false">
      <c r="A141" s="55" t="n">
        <v>137</v>
      </c>
      <c r="B141" s="55" t="s">
        <v>840</v>
      </c>
      <c r="C141" s="56" t="s">
        <v>841</v>
      </c>
      <c r="D141" s="55" t="s">
        <v>842</v>
      </c>
      <c r="E141" s="57" t="n">
        <v>5320</v>
      </c>
      <c r="F141" s="55" t="s">
        <v>24</v>
      </c>
      <c r="G141" s="56" t="s">
        <v>24</v>
      </c>
      <c r="H141" s="55"/>
      <c r="I141" s="55" t="s">
        <v>2599</v>
      </c>
      <c r="J141" s="55" t="s">
        <v>483</v>
      </c>
      <c r="K141" s="55" t="s">
        <v>513</v>
      </c>
      <c r="L141" s="58" t="s">
        <v>2600</v>
      </c>
      <c r="M141" s="56"/>
    </row>
    <row r="142" customFormat="false" ht="25.5" hidden="false" customHeight="true" outlineLevel="0" collapsed="false">
      <c r="A142" s="55" t="n">
        <v>138</v>
      </c>
      <c r="B142" s="55" t="s">
        <v>840</v>
      </c>
      <c r="C142" s="56" t="s">
        <v>844</v>
      </c>
      <c r="D142" s="55" t="s">
        <v>845</v>
      </c>
      <c r="E142" s="57" t="n">
        <v>7911</v>
      </c>
      <c r="F142" s="55" t="s">
        <v>24</v>
      </c>
      <c r="G142" s="56" t="s">
        <v>24</v>
      </c>
      <c r="H142" s="55"/>
      <c r="I142" s="55" t="s">
        <v>2599</v>
      </c>
      <c r="J142" s="55" t="s">
        <v>483</v>
      </c>
      <c r="K142" s="55" t="s">
        <v>513</v>
      </c>
      <c r="L142" s="58" t="s">
        <v>2600</v>
      </c>
      <c r="M142" s="56"/>
    </row>
    <row r="143" customFormat="false" ht="25.5" hidden="false" customHeight="true" outlineLevel="0" collapsed="false">
      <c r="A143" s="55" t="n">
        <v>139</v>
      </c>
      <c r="B143" s="55" t="s">
        <v>840</v>
      </c>
      <c r="C143" s="56" t="s">
        <v>847</v>
      </c>
      <c r="D143" s="55" t="s">
        <v>848</v>
      </c>
      <c r="E143" s="57" t="n">
        <v>7234</v>
      </c>
      <c r="F143" s="55" t="s">
        <v>24</v>
      </c>
      <c r="G143" s="56" t="s">
        <v>24</v>
      </c>
      <c r="H143" s="55"/>
      <c r="I143" s="55" t="s">
        <v>2599</v>
      </c>
      <c r="J143" s="55" t="s">
        <v>483</v>
      </c>
      <c r="K143" s="55" t="s">
        <v>513</v>
      </c>
      <c r="L143" s="58" t="s">
        <v>2600</v>
      </c>
      <c r="M143" s="56"/>
    </row>
    <row r="144" customFormat="false" ht="25.5" hidden="false" customHeight="true" outlineLevel="0" collapsed="false">
      <c r="A144" s="55" t="n">
        <v>140</v>
      </c>
      <c r="B144" s="55" t="s">
        <v>840</v>
      </c>
      <c r="C144" s="56" t="s">
        <v>849</v>
      </c>
      <c r="D144" s="55" t="s">
        <v>850</v>
      </c>
      <c r="E144" s="57" t="n">
        <v>13704</v>
      </c>
      <c r="F144" s="55" t="s">
        <v>24</v>
      </c>
      <c r="G144" s="56" t="s">
        <v>24</v>
      </c>
      <c r="H144" s="55"/>
      <c r="I144" s="55" t="s">
        <v>2599</v>
      </c>
      <c r="J144" s="55" t="s">
        <v>483</v>
      </c>
      <c r="K144" s="55" t="s">
        <v>513</v>
      </c>
      <c r="L144" s="58" t="s">
        <v>2600</v>
      </c>
      <c r="M144" s="56"/>
    </row>
    <row r="145" customFormat="false" ht="25.5" hidden="false" customHeight="true" outlineLevel="0" collapsed="false">
      <c r="A145" s="55" t="n">
        <v>141</v>
      </c>
      <c r="B145" s="55" t="s">
        <v>840</v>
      </c>
      <c r="C145" s="56" t="s">
        <v>851</v>
      </c>
      <c r="D145" s="55" t="s">
        <v>2601</v>
      </c>
      <c r="E145" s="57" t="n">
        <v>24730</v>
      </c>
      <c r="F145" s="55" t="s">
        <v>24</v>
      </c>
      <c r="G145" s="56" t="s">
        <v>24</v>
      </c>
      <c r="H145" s="55"/>
      <c r="I145" s="55" t="s">
        <v>2599</v>
      </c>
      <c r="J145" s="55" t="s">
        <v>483</v>
      </c>
      <c r="K145" s="55" t="s">
        <v>513</v>
      </c>
      <c r="L145" s="58" t="s">
        <v>2600</v>
      </c>
      <c r="M145" s="56"/>
    </row>
    <row r="146" customFormat="false" ht="25.5" hidden="false" customHeight="true" outlineLevel="0" collapsed="false">
      <c r="A146" s="55" t="n">
        <v>142</v>
      </c>
      <c r="B146" s="55" t="s">
        <v>840</v>
      </c>
      <c r="C146" s="56" t="s">
        <v>854</v>
      </c>
      <c r="D146" s="55" t="s">
        <v>855</v>
      </c>
      <c r="E146" s="57" t="n">
        <v>11946</v>
      </c>
      <c r="F146" s="55" t="s">
        <v>24</v>
      </c>
      <c r="G146" s="56" t="s">
        <v>24</v>
      </c>
      <c r="H146" s="55"/>
      <c r="I146" s="55" t="s">
        <v>2599</v>
      </c>
      <c r="J146" s="55" t="s">
        <v>483</v>
      </c>
      <c r="K146" s="55" t="s">
        <v>513</v>
      </c>
      <c r="L146" s="58" t="s">
        <v>2600</v>
      </c>
      <c r="M146" s="56"/>
    </row>
    <row r="147" customFormat="false" ht="25.5" hidden="false" customHeight="true" outlineLevel="0" collapsed="false">
      <c r="A147" s="55" t="n">
        <v>143</v>
      </c>
      <c r="B147" s="55" t="s">
        <v>840</v>
      </c>
      <c r="C147" s="56" t="s">
        <v>760</v>
      </c>
      <c r="D147" s="55" t="s">
        <v>761</v>
      </c>
      <c r="E147" s="57" t="n">
        <v>10059</v>
      </c>
      <c r="F147" s="55" t="s">
        <v>24</v>
      </c>
      <c r="G147" s="56" t="s">
        <v>24</v>
      </c>
      <c r="H147" s="55"/>
      <c r="I147" s="55" t="s">
        <v>2599</v>
      </c>
      <c r="J147" s="55" t="s">
        <v>483</v>
      </c>
      <c r="K147" s="55" t="s">
        <v>513</v>
      </c>
      <c r="L147" s="58" t="s">
        <v>2600</v>
      </c>
      <c r="M147" s="56"/>
    </row>
    <row r="148" customFormat="false" ht="51" hidden="false" customHeight="true" outlineLevel="0" collapsed="false">
      <c r="A148" s="55" t="n">
        <v>144</v>
      </c>
      <c r="B148" s="55" t="s">
        <v>840</v>
      </c>
      <c r="C148" s="56" t="s">
        <v>857</v>
      </c>
      <c r="D148" s="55" t="s">
        <v>858</v>
      </c>
      <c r="E148" s="57" t="n">
        <v>19958</v>
      </c>
      <c r="F148" s="55" t="s">
        <v>24</v>
      </c>
      <c r="G148" s="56" t="s">
        <v>24</v>
      </c>
      <c r="H148" s="55"/>
      <c r="I148" s="55" t="s">
        <v>2599</v>
      </c>
      <c r="J148" s="55" t="s">
        <v>483</v>
      </c>
      <c r="K148" s="55" t="s">
        <v>513</v>
      </c>
      <c r="L148" s="58" t="s">
        <v>2600</v>
      </c>
      <c r="M148" s="56"/>
    </row>
    <row r="149" customFormat="false" ht="25.5" hidden="false" customHeight="true" outlineLevel="0" collapsed="false">
      <c r="A149" s="55" t="n">
        <v>145</v>
      </c>
      <c r="B149" s="55" t="s">
        <v>840</v>
      </c>
      <c r="C149" s="56" t="s">
        <v>860</v>
      </c>
      <c r="D149" s="55" t="s">
        <v>861</v>
      </c>
      <c r="E149" s="57" t="n">
        <v>10598</v>
      </c>
      <c r="F149" s="55" t="s">
        <v>24</v>
      </c>
      <c r="G149" s="56" t="s">
        <v>24</v>
      </c>
      <c r="H149" s="55"/>
      <c r="I149" s="55" t="s">
        <v>2599</v>
      </c>
      <c r="J149" s="55" t="s">
        <v>483</v>
      </c>
      <c r="K149" s="55" t="s">
        <v>513</v>
      </c>
      <c r="L149" s="58" t="s">
        <v>2600</v>
      </c>
      <c r="M149" s="56"/>
    </row>
    <row r="150" customFormat="false" ht="25.5" hidden="false" customHeight="true" outlineLevel="0" collapsed="false">
      <c r="A150" s="55" t="n">
        <v>146</v>
      </c>
      <c r="B150" s="55" t="s">
        <v>840</v>
      </c>
      <c r="C150" s="56" t="s">
        <v>862</v>
      </c>
      <c r="D150" s="55" t="s">
        <v>863</v>
      </c>
      <c r="E150" s="57" t="n">
        <v>36641</v>
      </c>
      <c r="F150" s="55" t="s">
        <v>24</v>
      </c>
      <c r="G150" s="56" t="s">
        <v>24</v>
      </c>
      <c r="H150" s="55"/>
      <c r="I150" s="55" t="s">
        <v>2599</v>
      </c>
      <c r="J150" s="55" t="s">
        <v>483</v>
      </c>
      <c r="K150" s="55" t="s">
        <v>513</v>
      </c>
      <c r="L150" s="58" t="s">
        <v>2600</v>
      </c>
      <c r="M150" s="56"/>
    </row>
    <row r="151" customFormat="false" ht="25.5" hidden="false" customHeight="true" outlineLevel="0" collapsed="false">
      <c r="A151" s="55" t="n">
        <v>147</v>
      </c>
      <c r="B151" s="55" t="s">
        <v>840</v>
      </c>
      <c r="C151" s="56" t="s">
        <v>925</v>
      </c>
      <c r="D151" s="55" t="s">
        <v>926</v>
      </c>
      <c r="E151" s="57" t="n">
        <v>15488</v>
      </c>
      <c r="F151" s="55" t="s">
        <v>24</v>
      </c>
      <c r="G151" s="56" t="s">
        <v>24</v>
      </c>
      <c r="H151" s="55"/>
      <c r="I151" s="55" t="s">
        <v>2599</v>
      </c>
      <c r="J151" s="55" t="s">
        <v>483</v>
      </c>
      <c r="K151" s="55" t="s">
        <v>513</v>
      </c>
      <c r="L151" s="58" t="s">
        <v>2600</v>
      </c>
      <c r="M151" s="56"/>
    </row>
    <row r="152" customFormat="false" ht="25.5" hidden="false" customHeight="true" outlineLevel="0" collapsed="false">
      <c r="A152" s="55" t="n">
        <v>148</v>
      </c>
      <c r="B152" s="55" t="s">
        <v>840</v>
      </c>
      <c r="C152" s="56" t="s">
        <v>865</v>
      </c>
      <c r="D152" s="55" t="s">
        <v>866</v>
      </c>
      <c r="E152" s="57" t="n">
        <v>23234</v>
      </c>
      <c r="F152" s="55" t="s">
        <v>24</v>
      </c>
      <c r="G152" s="56" t="s">
        <v>24</v>
      </c>
      <c r="H152" s="55"/>
      <c r="I152" s="55" t="s">
        <v>2599</v>
      </c>
      <c r="J152" s="55" t="s">
        <v>483</v>
      </c>
      <c r="K152" s="55" t="s">
        <v>513</v>
      </c>
      <c r="L152" s="58" t="s">
        <v>2600</v>
      </c>
      <c r="M152" s="56"/>
    </row>
    <row r="153" customFormat="false" ht="25.5" hidden="false" customHeight="true" outlineLevel="0" collapsed="false">
      <c r="A153" s="55" t="n">
        <v>149</v>
      </c>
      <c r="B153" s="55" t="s">
        <v>840</v>
      </c>
      <c r="C153" s="56" t="s">
        <v>867</v>
      </c>
      <c r="D153" s="55" t="s">
        <v>868</v>
      </c>
      <c r="E153" s="57" t="n">
        <v>4756</v>
      </c>
      <c r="F153" s="55" t="s">
        <v>24</v>
      </c>
      <c r="G153" s="56" t="s">
        <v>24</v>
      </c>
      <c r="H153" s="55"/>
      <c r="I153" s="55" t="s">
        <v>2599</v>
      </c>
      <c r="J153" s="55" t="s">
        <v>483</v>
      </c>
      <c r="K153" s="55" t="s">
        <v>513</v>
      </c>
      <c r="L153" s="58" t="s">
        <v>2600</v>
      </c>
      <c r="M153" s="56"/>
    </row>
    <row r="154" customFormat="false" ht="25.5" hidden="false" customHeight="true" outlineLevel="0" collapsed="false">
      <c r="A154" s="55" t="n">
        <v>150</v>
      </c>
      <c r="B154" s="55" t="s">
        <v>840</v>
      </c>
      <c r="C154" s="56" t="s">
        <v>869</v>
      </c>
      <c r="D154" s="55" t="s">
        <v>870</v>
      </c>
      <c r="E154" s="57" t="n">
        <v>2086</v>
      </c>
      <c r="F154" s="55" t="s">
        <v>24</v>
      </c>
      <c r="G154" s="56" t="s">
        <v>24</v>
      </c>
      <c r="H154" s="55"/>
      <c r="I154" s="55" t="s">
        <v>2599</v>
      </c>
      <c r="J154" s="55" t="s">
        <v>483</v>
      </c>
      <c r="K154" s="55" t="s">
        <v>513</v>
      </c>
      <c r="L154" s="58" t="s">
        <v>2600</v>
      </c>
      <c r="M154" s="56"/>
    </row>
    <row r="155" customFormat="false" ht="25.5" hidden="false" customHeight="true" outlineLevel="0" collapsed="false">
      <c r="A155" s="55" t="n">
        <v>151</v>
      </c>
      <c r="B155" s="55" t="s">
        <v>840</v>
      </c>
      <c r="C155" s="56" t="s">
        <v>871</v>
      </c>
      <c r="D155" s="55" t="s">
        <v>872</v>
      </c>
      <c r="E155" s="57" t="n">
        <v>17572</v>
      </c>
      <c r="F155" s="55" t="s">
        <v>24</v>
      </c>
      <c r="G155" s="56" t="s">
        <v>24</v>
      </c>
      <c r="H155" s="55"/>
      <c r="I155" s="55" t="s">
        <v>2599</v>
      </c>
      <c r="J155" s="55" t="s">
        <v>483</v>
      </c>
      <c r="K155" s="55" t="s">
        <v>513</v>
      </c>
      <c r="L155" s="58" t="s">
        <v>2600</v>
      </c>
      <c r="M155" s="56"/>
    </row>
    <row r="156" customFormat="false" ht="25.5" hidden="false" customHeight="true" outlineLevel="0" collapsed="false">
      <c r="A156" s="55" t="n">
        <v>152</v>
      </c>
      <c r="B156" s="55" t="s">
        <v>840</v>
      </c>
      <c r="C156" s="56" t="s">
        <v>2602</v>
      </c>
      <c r="D156" s="55"/>
      <c r="E156" s="57" t="n">
        <v>19800</v>
      </c>
      <c r="F156" s="55" t="s">
        <v>24</v>
      </c>
      <c r="G156" s="56" t="s">
        <v>24</v>
      </c>
      <c r="H156" s="55"/>
      <c r="I156" s="55" t="s">
        <v>2599</v>
      </c>
      <c r="J156" s="55" t="s">
        <v>483</v>
      </c>
      <c r="K156" s="55" t="s">
        <v>513</v>
      </c>
      <c r="L156" s="58" t="s">
        <v>2600</v>
      </c>
      <c r="M156" s="56"/>
    </row>
    <row r="157" customFormat="false" ht="25.5" hidden="false" customHeight="true" outlineLevel="0" collapsed="false">
      <c r="A157" s="55" t="n">
        <v>153</v>
      </c>
      <c r="B157" s="55" t="s">
        <v>840</v>
      </c>
      <c r="C157" s="56" t="s">
        <v>879</v>
      </c>
      <c r="D157" s="55" t="s">
        <v>880</v>
      </c>
      <c r="E157" s="57" t="n">
        <v>6591</v>
      </c>
      <c r="F157" s="55" t="s">
        <v>24</v>
      </c>
      <c r="G157" s="56" t="s">
        <v>24</v>
      </c>
      <c r="H157" s="55"/>
      <c r="I157" s="55" t="s">
        <v>2599</v>
      </c>
      <c r="J157" s="55" t="s">
        <v>483</v>
      </c>
      <c r="K157" s="55" t="s">
        <v>513</v>
      </c>
      <c r="L157" s="58" t="s">
        <v>2600</v>
      </c>
      <c r="M157" s="56"/>
    </row>
    <row r="158" customFormat="false" ht="25.5" hidden="false" customHeight="true" outlineLevel="0" collapsed="false">
      <c r="A158" s="55" t="n">
        <v>154</v>
      </c>
      <c r="B158" s="55" t="s">
        <v>840</v>
      </c>
      <c r="C158" s="56" t="s">
        <v>873</v>
      </c>
      <c r="D158" s="55" t="s">
        <v>2603</v>
      </c>
      <c r="E158" s="57" t="n">
        <v>64039</v>
      </c>
      <c r="F158" s="55" t="s">
        <v>24</v>
      </c>
      <c r="G158" s="56" t="s">
        <v>24</v>
      </c>
      <c r="H158" s="55"/>
      <c r="I158" s="55" t="s">
        <v>2599</v>
      </c>
      <c r="J158" s="55" t="s">
        <v>483</v>
      </c>
      <c r="K158" s="55" t="s">
        <v>513</v>
      </c>
      <c r="L158" s="58" t="s">
        <v>2600</v>
      </c>
      <c r="M158" s="56"/>
    </row>
    <row r="159" customFormat="false" ht="25.5" hidden="false" customHeight="true" outlineLevel="0" collapsed="false">
      <c r="A159" s="55" t="n">
        <v>155</v>
      </c>
      <c r="B159" s="55" t="s">
        <v>840</v>
      </c>
      <c r="C159" s="56" t="s">
        <v>884</v>
      </c>
      <c r="D159" s="55" t="s">
        <v>885</v>
      </c>
      <c r="E159" s="57" t="n">
        <v>18022</v>
      </c>
      <c r="F159" s="55" t="s">
        <v>24</v>
      </c>
      <c r="G159" s="56" t="s">
        <v>24</v>
      </c>
      <c r="H159" s="55"/>
      <c r="I159" s="55" t="s">
        <v>2599</v>
      </c>
      <c r="J159" s="55" t="s">
        <v>483</v>
      </c>
      <c r="K159" s="55" t="s">
        <v>513</v>
      </c>
      <c r="L159" s="58" t="s">
        <v>2600</v>
      </c>
      <c r="M159" s="56"/>
    </row>
    <row r="160" customFormat="false" ht="25.5" hidden="false" customHeight="true" outlineLevel="0" collapsed="false">
      <c r="A160" s="55" t="n">
        <v>156</v>
      </c>
      <c r="B160" s="55" t="s">
        <v>840</v>
      </c>
      <c r="C160" s="56" t="s">
        <v>903</v>
      </c>
      <c r="D160" s="55" t="s">
        <v>2604</v>
      </c>
      <c r="E160" s="57" t="n">
        <v>49952</v>
      </c>
      <c r="F160" s="55" t="s">
        <v>24</v>
      </c>
      <c r="G160" s="56" t="s">
        <v>24</v>
      </c>
      <c r="H160" s="55"/>
      <c r="I160" s="55" t="s">
        <v>2599</v>
      </c>
      <c r="J160" s="55" t="s">
        <v>483</v>
      </c>
      <c r="K160" s="55" t="s">
        <v>513</v>
      </c>
      <c r="L160" s="58" t="s">
        <v>2600</v>
      </c>
      <c r="M160" s="56"/>
    </row>
    <row r="161" customFormat="false" ht="25.5" hidden="false" customHeight="true" outlineLevel="0" collapsed="false">
      <c r="A161" s="55" t="n">
        <v>157</v>
      </c>
      <c r="B161" s="55" t="s">
        <v>840</v>
      </c>
      <c r="C161" s="56" t="s">
        <v>877</v>
      </c>
      <c r="D161" s="55" t="s">
        <v>878</v>
      </c>
      <c r="E161" s="57" t="n">
        <v>14169</v>
      </c>
      <c r="F161" s="55" t="s">
        <v>24</v>
      </c>
      <c r="G161" s="56" t="s">
        <v>24</v>
      </c>
      <c r="H161" s="55"/>
      <c r="I161" s="55" t="s">
        <v>2599</v>
      </c>
      <c r="J161" s="55" t="s">
        <v>483</v>
      </c>
      <c r="K161" s="55" t="s">
        <v>513</v>
      </c>
      <c r="L161" s="58" t="s">
        <v>2600</v>
      </c>
      <c r="M161" s="56"/>
    </row>
    <row r="162" customFormat="false" ht="25.5" hidden="false" customHeight="true" outlineLevel="0" collapsed="false">
      <c r="A162" s="55" t="n">
        <v>158</v>
      </c>
      <c r="B162" s="55" t="s">
        <v>840</v>
      </c>
      <c r="C162" s="56" t="s">
        <v>891</v>
      </c>
      <c r="D162" s="55" t="s">
        <v>2605</v>
      </c>
      <c r="E162" s="57" t="n">
        <v>40145</v>
      </c>
      <c r="F162" s="55" t="s">
        <v>24</v>
      </c>
      <c r="G162" s="56" t="s">
        <v>24</v>
      </c>
      <c r="H162" s="55"/>
      <c r="I162" s="55" t="s">
        <v>2599</v>
      </c>
      <c r="J162" s="55" t="s">
        <v>483</v>
      </c>
      <c r="K162" s="55" t="s">
        <v>513</v>
      </c>
      <c r="L162" s="58" t="s">
        <v>2600</v>
      </c>
      <c r="M162" s="56"/>
    </row>
    <row r="163" customFormat="false" ht="25.5" hidden="false" customHeight="true" outlineLevel="0" collapsed="false">
      <c r="A163" s="55" t="n">
        <v>159</v>
      </c>
      <c r="B163" s="55" t="s">
        <v>840</v>
      </c>
      <c r="C163" s="56" t="s">
        <v>893</v>
      </c>
      <c r="D163" s="55" t="s">
        <v>2606</v>
      </c>
      <c r="E163" s="57" t="n">
        <v>18667</v>
      </c>
      <c r="F163" s="55" t="s">
        <v>24</v>
      </c>
      <c r="G163" s="56" t="s">
        <v>24</v>
      </c>
      <c r="H163" s="55"/>
      <c r="I163" s="55" t="s">
        <v>2599</v>
      </c>
      <c r="J163" s="55" t="s">
        <v>483</v>
      </c>
      <c r="K163" s="55" t="s">
        <v>513</v>
      </c>
      <c r="L163" s="58" t="s">
        <v>2600</v>
      </c>
      <c r="M163" s="56"/>
    </row>
    <row r="164" customFormat="false" ht="25.5" hidden="false" customHeight="true" outlineLevel="0" collapsed="false">
      <c r="A164" s="55" t="n">
        <v>160</v>
      </c>
      <c r="B164" s="55" t="s">
        <v>840</v>
      </c>
      <c r="C164" s="56" t="s">
        <v>895</v>
      </c>
      <c r="D164" s="55" t="s">
        <v>896</v>
      </c>
      <c r="E164" s="57" t="n">
        <v>4203</v>
      </c>
      <c r="F164" s="55" t="s">
        <v>24</v>
      </c>
      <c r="G164" s="56" t="s">
        <v>24</v>
      </c>
      <c r="H164" s="55"/>
      <c r="I164" s="55" t="s">
        <v>2599</v>
      </c>
      <c r="J164" s="55" t="s">
        <v>483</v>
      </c>
      <c r="K164" s="55" t="s">
        <v>513</v>
      </c>
      <c r="L164" s="58" t="s">
        <v>2600</v>
      </c>
      <c r="M164" s="56"/>
    </row>
    <row r="165" customFormat="false" ht="25.5" hidden="false" customHeight="true" outlineLevel="0" collapsed="false">
      <c r="A165" s="55" t="n">
        <v>161</v>
      </c>
      <c r="B165" s="55" t="s">
        <v>840</v>
      </c>
      <c r="C165" s="56" t="s">
        <v>897</v>
      </c>
      <c r="D165" s="55" t="s">
        <v>898</v>
      </c>
      <c r="E165" s="57" t="n">
        <v>4766</v>
      </c>
      <c r="F165" s="55" t="s">
        <v>24</v>
      </c>
      <c r="G165" s="56" t="s">
        <v>24</v>
      </c>
      <c r="H165" s="55"/>
      <c r="I165" s="55" t="s">
        <v>2599</v>
      </c>
      <c r="J165" s="55" t="s">
        <v>483</v>
      </c>
      <c r="K165" s="55" t="s">
        <v>513</v>
      </c>
      <c r="L165" s="58" t="s">
        <v>2600</v>
      </c>
      <c r="M165" s="56"/>
    </row>
    <row r="166" customFormat="false" ht="25.5" hidden="false" customHeight="true" outlineLevel="0" collapsed="false">
      <c r="A166" s="55" t="n">
        <v>162</v>
      </c>
      <c r="B166" s="55" t="s">
        <v>840</v>
      </c>
      <c r="C166" s="56" t="s">
        <v>899</v>
      </c>
      <c r="D166" s="55" t="s">
        <v>900</v>
      </c>
      <c r="E166" s="57" t="n">
        <v>11996</v>
      </c>
      <c r="F166" s="55" t="s">
        <v>24</v>
      </c>
      <c r="G166" s="56" t="s">
        <v>24</v>
      </c>
      <c r="H166" s="55"/>
      <c r="I166" s="55" t="s">
        <v>2599</v>
      </c>
      <c r="J166" s="55" t="s">
        <v>483</v>
      </c>
      <c r="K166" s="55" t="s">
        <v>513</v>
      </c>
      <c r="L166" s="58" t="s">
        <v>2600</v>
      </c>
      <c r="M166" s="56"/>
    </row>
    <row r="167" customFormat="false" ht="25.5" hidden="false" customHeight="true" outlineLevel="0" collapsed="false">
      <c r="A167" s="55" t="n">
        <v>163</v>
      </c>
      <c r="B167" s="55" t="s">
        <v>840</v>
      </c>
      <c r="C167" s="56" t="s">
        <v>901</v>
      </c>
      <c r="D167" s="55" t="s">
        <v>902</v>
      </c>
      <c r="E167" s="57" t="n">
        <v>15985</v>
      </c>
      <c r="F167" s="55" t="s">
        <v>24</v>
      </c>
      <c r="G167" s="56" t="s">
        <v>24</v>
      </c>
      <c r="H167" s="55"/>
      <c r="I167" s="55" t="s">
        <v>2599</v>
      </c>
      <c r="J167" s="55" t="s">
        <v>483</v>
      </c>
      <c r="K167" s="55" t="s">
        <v>513</v>
      </c>
      <c r="L167" s="58" t="s">
        <v>2600</v>
      </c>
      <c r="M167" s="56"/>
    </row>
    <row r="168" customFormat="false" ht="25.5" hidden="false" customHeight="true" outlineLevel="0" collapsed="false">
      <c r="A168" s="55" t="n">
        <v>164</v>
      </c>
      <c r="B168" s="55" t="s">
        <v>840</v>
      </c>
      <c r="C168" s="56" t="s">
        <v>905</v>
      </c>
      <c r="D168" s="55" t="s">
        <v>906</v>
      </c>
      <c r="E168" s="57" t="n">
        <v>10194</v>
      </c>
      <c r="F168" s="55" t="s">
        <v>24</v>
      </c>
      <c r="G168" s="56" t="s">
        <v>24</v>
      </c>
      <c r="H168" s="55"/>
      <c r="I168" s="55" t="s">
        <v>2599</v>
      </c>
      <c r="J168" s="55" t="s">
        <v>483</v>
      </c>
      <c r="K168" s="55" t="s">
        <v>513</v>
      </c>
      <c r="L168" s="58" t="s">
        <v>2600</v>
      </c>
      <c r="M168" s="56"/>
    </row>
    <row r="169" customFormat="false" ht="25.5" hidden="false" customHeight="true" outlineLevel="0" collapsed="false">
      <c r="A169" s="55" t="n">
        <v>165</v>
      </c>
      <c r="B169" s="55" t="s">
        <v>840</v>
      </c>
      <c r="C169" s="56" t="s">
        <v>921</v>
      </c>
      <c r="D169" s="55" t="s">
        <v>2607</v>
      </c>
      <c r="E169" s="57" t="n">
        <v>11837</v>
      </c>
      <c r="F169" s="55" t="s">
        <v>24</v>
      </c>
      <c r="G169" s="56" t="s">
        <v>24</v>
      </c>
      <c r="H169" s="55"/>
      <c r="I169" s="55" t="s">
        <v>2599</v>
      </c>
      <c r="J169" s="55" t="s">
        <v>483</v>
      </c>
      <c r="K169" s="55" t="s">
        <v>513</v>
      </c>
      <c r="L169" s="58" t="s">
        <v>2600</v>
      </c>
      <c r="M169" s="56"/>
    </row>
    <row r="170" customFormat="false" ht="25.5" hidden="false" customHeight="true" outlineLevel="0" collapsed="false">
      <c r="A170" s="55" t="n">
        <v>166</v>
      </c>
      <c r="B170" s="55" t="s">
        <v>840</v>
      </c>
      <c r="C170" s="56" t="s">
        <v>907</v>
      </c>
      <c r="D170" s="55" t="s">
        <v>2608</v>
      </c>
      <c r="E170" s="57" t="n">
        <v>18589</v>
      </c>
      <c r="F170" s="55" t="s">
        <v>24</v>
      </c>
      <c r="G170" s="56" t="s">
        <v>24</v>
      </c>
      <c r="H170" s="55"/>
      <c r="I170" s="55" t="s">
        <v>2599</v>
      </c>
      <c r="J170" s="55" t="s">
        <v>483</v>
      </c>
      <c r="K170" s="55" t="s">
        <v>513</v>
      </c>
      <c r="L170" s="58" t="s">
        <v>2600</v>
      </c>
      <c r="M170" s="56"/>
    </row>
    <row r="171" customFormat="false" ht="25.5" hidden="false" customHeight="true" outlineLevel="0" collapsed="false">
      <c r="A171" s="55" t="n">
        <v>167</v>
      </c>
      <c r="B171" s="55" t="s">
        <v>840</v>
      </c>
      <c r="C171" s="56" t="s">
        <v>909</v>
      </c>
      <c r="D171" s="55" t="s">
        <v>2609</v>
      </c>
      <c r="E171" s="57" t="n">
        <v>12562</v>
      </c>
      <c r="F171" s="55" t="s">
        <v>24</v>
      </c>
      <c r="G171" s="56" t="s">
        <v>24</v>
      </c>
      <c r="H171" s="55"/>
      <c r="I171" s="55" t="s">
        <v>2599</v>
      </c>
      <c r="J171" s="55" t="s">
        <v>483</v>
      </c>
      <c r="K171" s="55" t="s">
        <v>513</v>
      </c>
      <c r="L171" s="58" t="s">
        <v>2600</v>
      </c>
      <c r="M171" s="56"/>
    </row>
    <row r="172" customFormat="false" ht="25.5" hidden="false" customHeight="true" outlineLevel="0" collapsed="false">
      <c r="A172" s="55" t="n">
        <v>168</v>
      </c>
      <c r="B172" s="55" t="s">
        <v>840</v>
      </c>
      <c r="C172" s="56" t="s">
        <v>911</v>
      </c>
      <c r="D172" s="55" t="s">
        <v>2610</v>
      </c>
      <c r="E172" s="57" t="n">
        <v>27435</v>
      </c>
      <c r="F172" s="55" t="s">
        <v>24</v>
      </c>
      <c r="G172" s="56" t="s">
        <v>24</v>
      </c>
      <c r="H172" s="55"/>
      <c r="I172" s="55" t="s">
        <v>2599</v>
      </c>
      <c r="J172" s="55" t="s">
        <v>483</v>
      </c>
      <c r="K172" s="55" t="s">
        <v>513</v>
      </c>
      <c r="L172" s="58" t="s">
        <v>2600</v>
      </c>
      <c r="M172" s="56"/>
    </row>
    <row r="173" customFormat="false" ht="25.5" hidden="false" customHeight="true" outlineLevel="0" collapsed="false">
      <c r="A173" s="55" t="n">
        <v>169</v>
      </c>
      <c r="B173" s="55" t="s">
        <v>840</v>
      </c>
      <c r="C173" s="56" t="s">
        <v>913</v>
      </c>
      <c r="D173" s="55" t="s">
        <v>914</v>
      </c>
      <c r="E173" s="57" t="n">
        <v>6823</v>
      </c>
      <c r="F173" s="55" t="s">
        <v>24</v>
      </c>
      <c r="G173" s="56" t="s">
        <v>24</v>
      </c>
      <c r="H173" s="55"/>
      <c r="I173" s="55" t="s">
        <v>2599</v>
      </c>
      <c r="J173" s="55" t="s">
        <v>483</v>
      </c>
      <c r="K173" s="55" t="s">
        <v>513</v>
      </c>
      <c r="L173" s="58" t="s">
        <v>2600</v>
      </c>
      <c r="M173" s="56"/>
    </row>
    <row r="174" customFormat="false" ht="25.5" hidden="false" customHeight="true" outlineLevel="0" collapsed="false">
      <c r="A174" s="55" t="n">
        <v>170</v>
      </c>
      <c r="B174" s="55" t="s">
        <v>840</v>
      </c>
      <c r="C174" s="56" t="s">
        <v>915</v>
      </c>
      <c r="D174" s="55" t="s">
        <v>916</v>
      </c>
      <c r="E174" s="57" t="n">
        <v>14250</v>
      </c>
      <c r="F174" s="55" t="s">
        <v>24</v>
      </c>
      <c r="G174" s="56" t="s">
        <v>24</v>
      </c>
      <c r="H174" s="55"/>
      <c r="I174" s="55" t="s">
        <v>2599</v>
      </c>
      <c r="J174" s="55" t="s">
        <v>483</v>
      </c>
      <c r="K174" s="55" t="s">
        <v>513</v>
      </c>
      <c r="L174" s="58" t="s">
        <v>2600</v>
      </c>
      <c r="M174" s="56"/>
    </row>
    <row r="175" customFormat="false" ht="25.5" hidden="false" customHeight="true" outlineLevel="0" collapsed="false">
      <c r="A175" s="55" t="n">
        <v>171</v>
      </c>
      <c r="B175" s="55" t="s">
        <v>840</v>
      </c>
      <c r="C175" s="56" t="s">
        <v>917</v>
      </c>
      <c r="D175" s="55" t="s">
        <v>918</v>
      </c>
      <c r="E175" s="57" t="n">
        <v>8938</v>
      </c>
      <c r="F175" s="55" t="s">
        <v>24</v>
      </c>
      <c r="G175" s="56" t="s">
        <v>24</v>
      </c>
      <c r="H175" s="55"/>
      <c r="I175" s="55" t="s">
        <v>2599</v>
      </c>
      <c r="J175" s="55" t="s">
        <v>483</v>
      </c>
      <c r="K175" s="55" t="s">
        <v>513</v>
      </c>
      <c r="L175" s="58" t="s">
        <v>2600</v>
      </c>
      <c r="M175" s="56"/>
    </row>
    <row r="176" customFormat="false" ht="25.5" hidden="false" customHeight="true" outlineLevel="0" collapsed="false">
      <c r="A176" s="55" t="n">
        <v>172</v>
      </c>
      <c r="B176" s="55" t="s">
        <v>840</v>
      </c>
      <c r="C176" s="56" t="s">
        <v>919</v>
      </c>
      <c r="D176" s="55" t="s">
        <v>920</v>
      </c>
      <c r="E176" s="57" t="n">
        <v>19424</v>
      </c>
      <c r="F176" s="55" t="s">
        <v>24</v>
      </c>
      <c r="G176" s="56" t="s">
        <v>24</v>
      </c>
      <c r="H176" s="55"/>
      <c r="I176" s="55" t="s">
        <v>2599</v>
      </c>
      <c r="J176" s="55" t="s">
        <v>483</v>
      </c>
      <c r="K176" s="55" t="s">
        <v>513</v>
      </c>
      <c r="L176" s="58" t="s">
        <v>2600</v>
      </c>
      <c r="M176" s="56"/>
    </row>
    <row r="177" customFormat="false" ht="25.5" hidden="false" customHeight="true" outlineLevel="0" collapsed="false">
      <c r="A177" s="55" t="n">
        <v>173</v>
      </c>
      <c r="B177" s="55" t="s">
        <v>840</v>
      </c>
      <c r="C177" s="56" t="s">
        <v>887</v>
      </c>
      <c r="D177" s="55" t="s">
        <v>888</v>
      </c>
      <c r="E177" s="57" t="n">
        <v>13428</v>
      </c>
      <c r="F177" s="55" t="s">
        <v>24</v>
      </c>
      <c r="G177" s="56" t="s">
        <v>24</v>
      </c>
      <c r="H177" s="55"/>
      <c r="I177" s="55" t="s">
        <v>2599</v>
      </c>
      <c r="J177" s="55" t="s">
        <v>483</v>
      </c>
      <c r="K177" s="55" t="s">
        <v>513</v>
      </c>
      <c r="L177" s="58" t="s">
        <v>2600</v>
      </c>
      <c r="M177" s="56"/>
    </row>
    <row r="178" customFormat="false" ht="25.5" hidden="false" customHeight="true" outlineLevel="0" collapsed="false">
      <c r="A178" s="55" t="n">
        <v>174</v>
      </c>
      <c r="B178" s="55" t="s">
        <v>840</v>
      </c>
      <c r="C178" s="56" t="s">
        <v>881</v>
      </c>
      <c r="D178" s="55" t="s">
        <v>882</v>
      </c>
      <c r="E178" s="57" t="n">
        <v>11682</v>
      </c>
      <c r="F178" s="55" t="s">
        <v>24</v>
      </c>
      <c r="G178" s="56" t="s">
        <v>24</v>
      </c>
      <c r="H178" s="55"/>
      <c r="I178" s="55" t="s">
        <v>2599</v>
      </c>
      <c r="J178" s="55" t="s">
        <v>483</v>
      </c>
      <c r="K178" s="55" t="s">
        <v>513</v>
      </c>
      <c r="L178" s="58" t="s">
        <v>2600</v>
      </c>
      <c r="M178" s="56"/>
    </row>
    <row r="179" customFormat="false" ht="63.75" hidden="false" customHeight="true" outlineLevel="0" collapsed="false">
      <c r="A179" s="55" t="n">
        <v>175</v>
      </c>
      <c r="B179" s="55" t="s">
        <v>840</v>
      </c>
      <c r="C179" s="56" t="s">
        <v>889</v>
      </c>
      <c r="D179" s="55" t="s">
        <v>2611</v>
      </c>
      <c r="E179" s="57" t="n">
        <v>25722</v>
      </c>
      <c r="F179" s="55" t="s">
        <v>24</v>
      </c>
      <c r="G179" s="56" t="s">
        <v>24</v>
      </c>
      <c r="H179" s="55"/>
      <c r="I179" s="55" t="s">
        <v>2599</v>
      </c>
      <c r="J179" s="55" t="s">
        <v>483</v>
      </c>
      <c r="K179" s="55" t="s">
        <v>513</v>
      </c>
      <c r="L179" s="58" t="s">
        <v>2600</v>
      </c>
      <c r="M179" s="56"/>
    </row>
    <row r="180" customFormat="false" ht="25.5" hidden="false" customHeight="true" outlineLevel="0" collapsed="false">
      <c r="A180" s="55" t="n">
        <v>176</v>
      </c>
      <c r="B180" s="55" t="s">
        <v>840</v>
      </c>
      <c r="C180" s="56" t="s">
        <v>2612</v>
      </c>
      <c r="D180" s="55"/>
      <c r="E180" s="57" t="n">
        <v>2897</v>
      </c>
      <c r="F180" s="55" t="s">
        <v>24</v>
      </c>
      <c r="G180" s="56" t="s">
        <v>24</v>
      </c>
      <c r="H180" s="55"/>
      <c r="I180" s="55" t="s">
        <v>2599</v>
      </c>
      <c r="J180" s="55" t="s">
        <v>483</v>
      </c>
      <c r="K180" s="55" t="s">
        <v>513</v>
      </c>
      <c r="L180" s="58" t="s">
        <v>2600</v>
      </c>
      <c r="M180" s="56"/>
    </row>
    <row r="181" customFormat="false" ht="51" hidden="false" customHeight="true" outlineLevel="0" collapsed="false">
      <c r="A181" s="55" t="n">
        <v>177</v>
      </c>
      <c r="B181" s="55" t="s">
        <v>840</v>
      </c>
      <c r="C181" s="56" t="s">
        <v>965</v>
      </c>
      <c r="D181" s="55" t="s">
        <v>966</v>
      </c>
      <c r="E181" s="57" t="n">
        <v>15369</v>
      </c>
      <c r="F181" s="55" t="s">
        <v>24</v>
      </c>
      <c r="G181" s="56" t="s">
        <v>24</v>
      </c>
      <c r="H181" s="55"/>
      <c r="I181" s="55" t="s">
        <v>2599</v>
      </c>
      <c r="J181" s="55" t="s">
        <v>483</v>
      </c>
      <c r="K181" s="55" t="s">
        <v>513</v>
      </c>
      <c r="L181" s="58" t="s">
        <v>2600</v>
      </c>
      <c r="M181" s="56"/>
    </row>
    <row r="182" customFormat="false" ht="51" hidden="false" customHeight="true" outlineLevel="0" collapsed="false">
      <c r="A182" s="55" t="n">
        <v>178</v>
      </c>
      <c r="B182" s="55" t="s">
        <v>840</v>
      </c>
      <c r="C182" s="56" t="s">
        <v>943</v>
      </c>
      <c r="D182" s="55" t="s">
        <v>944</v>
      </c>
      <c r="E182" s="57" t="n">
        <v>81412</v>
      </c>
      <c r="F182" s="55" t="s">
        <v>24</v>
      </c>
      <c r="G182" s="56" t="s">
        <v>24</v>
      </c>
      <c r="H182" s="55"/>
      <c r="I182" s="55" t="s">
        <v>2599</v>
      </c>
      <c r="J182" s="55" t="s">
        <v>483</v>
      </c>
      <c r="K182" s="55" t="s">
        <v>513</v>
      </c>
      <c r="L182" s="58" t="s">
        <v>2600</v>
      </c>
      <c r="M182" s="56"/>
    </row>
    <row r="183" customFormat="false" ht="51" hidden="false" customHeight="true" outlineLevel="0" collapsed="false">
      <c r="A183" s="55" t="n">
        <v>179</v>
      </c>
      <c r="B183" s="55" t="s">
        <v>840</v>
      </c>
      <c r="C183" s="56" t="s">
        <v>929</v>
      </c>
      <c r="D183" s="55" t="s">
        <v>930</v>
      </c>
      <c r="E183" s="57" t="n">
        <v>61486</v>
      </c>
      <c r="F183" s="55" t="s">
        <v>24</v>
      </c>
      <c r="G183" s="56" t="s">
        <v>24</v>
      </c>
      <c r="H183" s="55"/>
      <c r="I183" s="55" t="s">
        <v>2599</v>
      </c>
      <c r="J183" s="55" t="s">
        <v>483</v>
      </c>
      <c r="K183" s="55" t="s">
        <v>513</v>
      </c>
      <c r="L183" s="58" t="s">
        <v>2600</v>
      </c>
      <c r="M183" s="56"/>
    </row>
    <row r="184" customFormat="false" ht="51" hidden="false" customHeight="true" outlineLevel="0" collapsed="false">
      <c r="A184" s="55" t="n">
        <v>180</v>
      </c>
      <c r="B184" s="55" t="s">
        <v>840</v>
      </c>
      <c r="C184" s="56" t="s">
        <v>931</v>
      </c>
      <c r="D184" s="55" t="s">
        <v>2613</v>
      </c>
      <c r="E184" s="57" t="n">
        <v>33716</v>
      </c>
      <c r="F184" s="55" t="s">
        <v>24</v>
      </c>
      <c r="G184" s="56" t="s">
        <v>24</v>
      </c>
      <c r="H184" s="55"/>
      <c r="I184" s="55" t="s">
        <v>2599</v>
      </c>
      <c r="J184" s="55" t="s">
        <v>483</v>
      </c>
      <c r="K184" s="55" t="s">
        <v>513</v>
      </c>
      <c r="L184" s="58" t="s">
        <v>2600</v>
      </c>
      <c r="M184" s="56"/>
    </row>
    <row r="185" customFormat="false" ht="51" hidden="false" customHeight="true" outlineLevel="0" collapsed="false">
      <c r="A185" s="55" t="n">
        <v>181</v>
      </c>
      <c r="B185" s="55" t="s">
        <v>840</v>
      </c>
      <c r="C185" s="56" t="s">
        <v>933</v>
      </c>
      <c r="D185" s="55" t="s">
        <v>934</v>
      </c>
      <c r="E185" s="57" t="n">
        <v>62387</v>
      </c>
      <c r="F185" s="55" t="s">
        <v>24</v>
      </c>
      <c r="G185" s="56" t="s">
        <v>24</v>
      </c>
      <c r="H185" s="55"/>
      <c r="I185" s="55" t="s">
        <v>2599</v>
      </c>
      <c r="J185" s="55" t="s">
        <v>483</v>
      </c>
      <c r="K185" s="55" t="s">
        <v>513</v>
      </c>
      <c r="L185" s="58" t="s">
        <v>2600</v>
      </c>
      <c r="M185" s="56"/>
    </row>
    <row r="186" customFormat="false" ht="51" hidden="false" customHeight="true" outlineLevel="0" collapsed="false">
      <c r="A186" s="55" t="n">
        <v>182</v>
      </c>
      <c r="B186" s="55" t="s">
        <v>840</v>
      </c>
      <c r="C186" s="56" t="s">
        <v>935</v>
      </c>
      <c r="D186" s="55" t="s">
        <v>936</v>
      </c>
      <c r="E186" s="57" t="n">
        <v>35980</v>
      </c>
      <c r="F186" s="55" t="s">
        <v>24</v>
      </c>
      <c r="G186" s="56" t="s">
        <v>24</v>
      </c>
      <c r="H186" s="55"/>
      <c r="I186" s="55" t="s">
        <v>2599</v>
      </c>
      <c r="J186" s="55" t="s">
        <v>483</v>
      </c>
      <c r="K186" s="55" t="s">
        <v>513</v>
      </c>
      <c r="L186" s="58" t="s">
        <v>2600</v>
      </c>
      <c r="M186" s="56"/>
    </row>
    <row r="187" customFormat="false" ht="51" hidden="false" customHeight="true" outlineLevel="0" collapsed="false">
      <c r="A187" s="55" t="n">
        <v>183</v>
      </c>
      <c r="B187" s="55" t="s">
        <v>840</v>
      </c>
      <c r="C187" s="56" t="s">
        <v>937</v>
      </c>
      <c r="D187" s="55" t="s">
        <v>938</v>
      </c>
      <c r="E187" s="57" t="n">
        <v>31853</v>
      </c>
      <c r="F187" s="55" t="s">
        <v>24</v>
      </c>
      <c r="G187" s="56" t="s">
        <v>24</v>
      </c>
      <c r="H187" s="55"/>
      <c r="I187" s="55" t="s">
        <v>2599</v>
      </c>
      <c r="J187" s="55" t="s">
        <v>483</v>
      </c>
      <c r="K187" s="55" t="s">
        <v>513</v>
      </c>
      <c r="L187" s="58" t="s">
        <v>2600</v>
      </c>
      <c r="M187" s="56"/>
    </row>
    <row r="188" customFormat="false" ht="51" hidden="false" customHeight="true" outlineLevel="0" collapsed="false">
      <c r="A188" s="55" t="n">
        <v>184</v>
      </c>
      <c r="B188" s="55" t="s">
        <v>840</v>
      </c>
      <c r="C188" s="56" t="s">
        <v>939</v>
      </c>
      <c r="D188" s="55" t="s">
        <v>940</v>
      </c>
      <c r="E188" s="57" t="n">
        <v>56487</v>
      </c>
      <c r="F188" s="55" t="s">
        <v>24</v>
      </c>
      <c r="G188" s="56" t="s">
        <v>24</v>
      </c>
      <c r="H188" s="55"/>
      <c r="I188" s="55" t="s">
        <v>2599</v>
      </c>
      <c r="J188" s="55" t="s">
        <v>483</v>
      </c>
      <c r="K188" s="55" t="s">
        <v>513</v>
      </c>
      <c r="L188" s="58" t="s">
        <v>2600</v>
      </c>
      <c r="M188" s="56"/>
    </row>
    <row r="189" customFormat="false" ht="51" hidden="false" customHeight="true" outlineLevel="0" collapsed="false">
      <c r="A189" s="55" t="n">
        <v>185</v>
      </c>
      <c r="B189" s="55" t="s">
        <v>840</v>
      </c>
      <c r="C189" s="56" t="s">
        <v>941</v>
      </c>
      <c r="D189" s="55" t="s">
        <v>942</v>
      </c>
      <c r="E189" s="57" t="n">
        <v>45612</v>
      </c>
      <c r="F189" s="55" t="s">
        <v>24</v>
      </c>
      <c r="G189" s="56" t="s">
        <v>24</v>
      </c>
      <c r="H189" s="55"/>
      <c r="I189" s="55" t="s">
        <v>2599</v>
      </c>
      <c r="J189" s="55" t="s">
        <v>483</v>
      </c>
      <c r="K189" s="55" t="s">
        <v>513</v>
      </c>
      <c r="L189" s="58" t="s">
        <v>2600</v>
      </c>
      <c r="M189" s="56"/>
    </row>
    <row r="190" customFormat="false" ht="51" hidden="false" customHeight="true" outlineLevel="0" collapsed="false">
      <c r="A190" s="55" t="n">
        <v>186</v>
      </c>
      <c r="B190" s="55" t="s">
        <v>840</v>
      </c>
      <c r="C190" s="56" t="s">
        <v>945</v>
      </c>
      <c r="D190" s="55" t="s">
        <v>2614</v>
      </c>
      <c r="E190" s="57" t="n">
        <v>29825</v>
      </c>
      <c r="F190" s="55" t="s">
        <v>24</v>
      </c>
      <c r="G190" s="56" t="s">
        <v>24</v>
      </c>
      <c r="H190" s="55"/>
      <c r="I190" s="55" t="s">
        <v>2599</v>
      </c>
      <c r="J190" s="55" t="s">
        <v>483</v>
      </c>
      <c r="K190" s="55" t="s">
        <v>513</v>
      </c>
      <c r="L190" s="58" t="s">
        <v>2600</v>
      </c>
      <c r="M190" s="56"/>
    </row>
    <row r="191" customFormat="false" ht="51" hidden="false" customHeight="true" outlineLevel="0" collapsed="false">
      <c r="A191" s="55" t="n">
        <v>187</v>
      </c>
      <c r="B191" s="55" t="s">
        <v>840</v>
      </c>
      <c r="C191" s="56" t="s">
        <v>961</v>
      </c>
      <c r="D191" s="55" t="s">
        <v>962</v>
      </c>
      <c r="E191" s="57" t="n">
        <v>61709</v>
      </c>
      <c r="F191" s="55" t="s">
        <v>24</v>
      </c>
      <c r="G191" s="56" t="s">
        <v>24</v>
      </c>
      <c r="H191" s="55"/>
      <c r="I191" s="55" t="s">
        <v>2599</v>
      </c>
      <c r="J191" s="55" t="s">
        <v>483</v>
      </c>
      <c r="K191" s="55" t="s">
        <v>513</v>
      </c>
      <c r="L191" s="58" t="s">
        <v>2600</v>
      </c>
      <c r="M191" s="56"/>
    </row>
    <row r="192" customFormat="false" ht="51" hidden="false" customHeight="true" outlineLevel="0" collapsed="false">
      <c r="A192" s="55" t="n">
        <v>188</v>
      </c>
      <c r="B192" s="55" t="s">
        <v>840</v>
      </c>
      <c r="C192" s="56" t="s">
        <v>947</v>
      </c>
      <c r="D192" s="55" t="s">
        <v>948</v>
      </c>
      <c r="E192" s="57" t="n">
        <v>66503</v>
      </c>
      <c r="F192" s="55" t="s">
        <v>24</v>
      </c>
      <c r="G192" s="56" t="s">
        <v>24</v>
      </c>
      <c r="H192" s="55"/>
      <c r="I192" s="55" t="s">
        <v>2599</v>
      </c>
      <c r="J192" s="55" t="s">
        <v>483</v>
      </c>
      <c r="K192" s="55" t="s">
        <v>513</v>
      </c>
      <c r="L192" s="58" t="s">
        <v>2600</v>
      </c>
      <c r="M192" s="56"/>
    </row>
    <row r="193" customFormat="false" ht="51" hidden="false" customHeight="true" outlineLevel="0" collapsed="false">
      <c r="A193" s="55" t="n">
        <v>189</v>
      </c>
      <c r="B193" s="55" t="s">
        <v>840</v>
      </c>
      <c r="C193" s="56" t="s">
        <v>949</v>
      </c>
      <c r="D193" s="55" t="s">
        <v>950</v>
      </c>
      <c r="E193" s="57" t="n">
        <v>59425</v>
      </c>
      <c r="F193" s="55" t="s">
        <v>24</v>
      </c>
      <c r="G193" s="56" t="s">
        <v>24</v>
      </c>
      <c r="H193" s="55"/>
      <c r="I193" s="55" t="s">
        <v>2599</v>
      </c>
      <c r="J193" s="55" t="s">
        <v>483</v>
      </c>
      <c r="K193" s="55" t="s">
        <v>513</v>
      </c>
      <c r="L193" s="58" t="s">
        <v>2600</v>
      </c>
      <c r="M193" s="56"/>
    </row>
    <row r="194" customFormat="false" ht="51" hidden="false" customHeight="true" outlineLevel="0" collapsed="false">
      <c r="A194" s="55" t="n">
        <v>190</v>
      </c>
      <c r="B194" s="55" t="s">
        <v>840</v>
      </c>
      <c r="C194" s="56" t="s">
        <v>951</v>
      </c>
      <c r="D194" s="55" t="s">
        <v>952</v>
      </c>
      <c r="E194" s="57" t="n">
        <v>54003</v>
      </c>
      <c r="F194" s="55" t="s">
        <v>24</v>
      </c>
      <c r="G194" s="56" t="s">
        <v>24</v>
      </c>
      <c r="H194" s="55"/>
      <c r="I194" s="55" t="s">
        <v>2599</v>
      </c>
      <c r="J194" s="55" t="s">
        <v>483</v>
      </c>
      <c r="K194" s="55" t="s">
        <v>513</v>
      </c>
      <c r="L194" s="58" t="s">
        <v>2600</v>
      </c>
      <c r="M194" s="56"/>
    </row>
    <row r="195" customFormat="false" ht="51" hidden="false" customHeight="true" outlineLevel="0" collapsed="false">
      <c r="A195" s="55" t="n">
        <v>191</v>
      </c>
      <c r="B195" s="55" t="s">
        <v>840</v>
      </c>
      <c r="C195" s="56" t="s">
        <v>953</v>
      </c>
      <c r="D195" s="55" t="s">
        <v>954</v>
      </c>
      <c r="E195" s="57" t="n">
        <v>31662</v>
      </c>
      <c r="F195" s="55" t="s">
        <v>24</v>
      </c>
      <c r="G195" s="56" t="s">
        <v>24</v>
      </c>
      <c r="H195" s="55"/>
      <c r="I195" s="55" t="s">
        <v>2599</v>
      </c>
      <c r="J195" s="55" t="s">
        <v>483</v>
      </c>
      <c r="K195" s="55" t="s">
        <v>513</v>
      </c>
      <c r="L195" s="58" t="s">
        <v>2600</v>
      </c>
      <c r="M195" s="56"/>
    </row>
    <row r="196" customFormat="false" ht="51" hidden="false" customHeight="true" outlineLevel="0" collapsed="false">
      <c r="A196" s="55" t="n">
        <v>192</v>
      </c>
      <c r="B196" s="55" t="s">
        <v>840</v>
      </c>
      <c r="C196" s="56" t="s">
        <v>955</v>
      </c>
      <c r="D196" s="55" t="s">
        <v>956</v>
      </c>
      <c r="E196" s="57" t="n">
        <v>63113</v>
      </c>
      <c r="F196" s="55" t="s">
        <v>24</v>
      </c>
      <c r="G196" s="56" t="s">
        <v>24</v>
      </c>
      <c r="H196" s="55"/>
      <c r="I196" s="55" t="s">
        <v>2599</v>
      </c>
      <c r="J196" s="55" t="s">
        <v>483</v>
      </c>
      <c r="K196" s="55" t="s">
        <v>513</v>
      </c>
      <c r="L196" s="58" t="s">
        <v>2600</v>
      </c>
      <c r="M196" s="56"/>
    </row>
    <row r="197" customFormat="false" ht="51" hidden="false" customHeight="true" outlineLevel="0" collapsed="false">
      <c r="A197" s="55" t="n">
        <v>193</v>
      </c>
      <c r="B197" s="55" t="s">
        <v>840</v>
      </c>
      <c r="C197" s="56" t="s">
        <v>957</v>
      </c>
      <c r="D197" s="55" t="s">
        <v>958</v>
      </c>
      <c r="E197" s="57" t="n">
        <v>10556</v>
      </c>
      <c r="F197" s="55" t="s">
        <v>24</v>
      </c>
      <c r="G197" s="56" t="s">
        <v>24</v>
      </c>
      <c r="H197" s="55"/>
      <c r="I197" s="55" t="s">
        <v>2599</v>
      </c>
      <c r="J197" s="55" t="s">
        <v>483</v>
      </c>
      <c r="K197" s="55" t="s">
        <v>513</v>
      </c>
      <c r="L197" s="58" t="s">
        <v>2600</v>
      </c>
      <c r="M197" s="56"/>
    </row>
    <row r="198" customFormat="false" ht="25.5" hidden="false" customHeight="true" outlineLevel="0" collapsed="false">
      <c r="A198" s="55" t="n">
        <v>194</v>
      </c>
      <c r="B198" s="55" t="s">
        <v>840</v>
      </c>
      <c r="C198" s="56" t="s">
        <v>959</v>
      </c>
      <c r="D198" s="55" t="s">
        <v>960</v>
      </c>
      <c r="E198" s="57" t="n">
        <v>43891</v>
      </c>
      <c r="F198" s="55" t="s">
        <v>24</v>
      </c>
      <c r="G198" s="56" t="s">
        <v>24</v>
      </c>
      <c r="H198" s="55"/>
      <c r="I198" s="55" t="s">
        <v>2599</v>
      </c>
      <c r="J198" s="55" t="s">
        <v>483</v>
      </c>
      <c r="K198" s="55" t="s">
        <v>513</v>
      </c>
      <c r="L198" s="58" t="s">
        <v>2600</v>
      </c>
      <c r="M198" s="56"/>
    </row>
    <row r="199" customFormat="false" ht="51" hidden="false" customHeight="true" outlineLevel="0" collapsed="false">
      <c r="A199" s="55" t="n">
        <v>195</v>
      </c>
      <c r="B199" s="55" t="s">
        <v>840</v>
      </c>
      <c r="C199" s="56" t="s">
        <v>963</v>
      </c>
      <c r="D199" s="55" t="s">
        <v>964</v>
      </c>
      <c r="E199" s="57" t="n">
        <v>49447</v>
      </c>
      <c r="F199" s="55" t="s">
        <v>24</v>
      </c>
      <c r="G199" s="56" t="s">
        <v>24</v>
      </c>
      <c r="H199" s="55"/>
      <c r="I199" s="55" t="s">
        <v>2599</v>
      </c>
      <c r="J199" s="55" t="s">
        <v>483</v>
      </c>
      <c r="K199" s="55" t="s">
        <v>513</v>
      </c>
      <c r="L199" s="58" t="s">
        <v>2600</v>
      </c>
      <c r="M199" s="56"/>
    </row>
    <row r="200" customFormat="false" ht="51" hidden="false" customHeight="true" outlineLevel="0" collapsed="false">
      <c r="A200" s="55" t="n">
        <v>196</v>
      </c>
      <c r="B200" s="55" t="s">
        <v>840</v>
      </c>
      <c r="C200" s="56" t="s">
        <v>969</v>
      </c>
      <c r="D200" s="55" t="s">
        <v>970</v>
      </c>
      <c r="E200" s="57" t="n">
        <v>41575</v>
      </c>
      <c r="F200" s="55" t="s">
        <v>24</v>
      </c>
      <c r="G200" s="56" t="s">
        <v>24</v>
      </c>
      <c r="H200" s="55"/>
      <c r="I200" s="55" t="s">
        <v>2599</v>
      </c>
      <c r="J200" s="55" t="s">
        <v>483</v>
      </c>
      <c r="K200" s="55" t="s">
        <v>513</v>
      </c>
      <c r="L200" s="58" t="s">
        <v>2600</v>
      </c>
      <c r="M200" s="56"/>
    </row>
    <row r="201" customFormat="false" ht="51" hidden="false" customHeight="true" outlineLevel="0" collapsed="false">
      <c r="A201" s="55" t="n">
        <v>197</v>
      </c>
      <c r="B201" s="55" t="s">
        <v>840</v>
      </c>
      <c r="C201" s="56" t="s">
        <v>923</v>
      </c>
      <c r="D201" s="55" t="s">
        <v>2615</v>
      </c>
      <c r="E201" s="57" t="n">
        <v>15455</v>
      </c>
      <c r="F201" s="55" t="s">
        <v>24</v>
      </c>
      <c r="G201" s="56" t="s">
        <v>24</v>
      </c>
      <c r="H201" s="55"/>
      <c r="I201" s="55" t="s">
        <v>2599</v>
      </c>
      <c r="J201" s="55" t="s">
        <v>483</v>
      </c>
      <c r="K201" s="55" t="s">
        <v>513</v>
      </c>
      <c r="L201" s="58" t="s">
        <v>2600</v>
      </c>
      <c r="M201" s="56"/>
    </row>
    <row r="202" customFormat="false" ht="51" hidden="false" customHeight="true" outlineLevel="0" collapsed="false">
      <c r="A202" s="55" t="n">
        <v>198</v>
      </c>
      <c r="B202" s="55" t="s">
        <v>840</v>
      </c>
      <c r="C202" s="56" t="s">
        <v>1001</v>
      </c>
      <c r="D202" s="55" t="s">
        <v>1002</v>
      </c>
      <c r="E202" s="57" t="n">
        <v>35097</v>
      </c>
      <c r="F202" s="55" t="s">
        <v>24</v>
      </c>
      <c r="G202" s="56" t="s">
        <v>24</v>
      </c>
      <c r="H202" s="55"/>
      <c r="I202" s="55" t="s">
        <v>2599</v>
      </c>
      <c r="J202" s="55" t="s">
        <v>483</v>
      </c>
      <c r="K202" s="55" t="s">
        <v>513</v>
      </c>
      <c r="L202" s="58" t="s">
        <v>2600</v>
      </c>
      <c r="M202" s="56"/>
    </row>
    <row r="203" customFormat="false" ht="51" hidden="false" customHeight="true" outlineLevel="0" collapsed="false">
      <c r="A203" s="55" t="n">
        <v>199</v>
      </c>
      <c r="B203" s="55" t="s">
        <v>840</v>
      </c>
      <c r="C203" s="56" t="s">
        <v>967</v>
      </c>
      <c r="D203" s="55" t="s">
        <v>968</v>
      </c>
      <c r="E203" s="57" t="n">
        <v>40712</v>
      </c>
      <c r="F203" s="55" t="s">
        <v>24</v>
      </c>
      <c r="G203" s="56" t="s">
        <v>24</v>
      </c>
      <c r="H203" s="55"/>
      <c r="I203" s="55" t="s">
        <v>2599</v>
      </c>
      <c r="J203" s="55" t="s">
        <v>483</v>
      </c>
      <c r="K203" s="55" t="s">
        <v>513</v>
      </c>
      <c r="L203" s="58" t="s">
        <v>2600</v>
      </c>
      <c r="M203" s="56"/>
    </row>
    <row r="204" customFormat="false" ht="51" hidden="false" customHeight="true" outlineLevel="0" collapsed="false">
      <c r="A204" s="55" t="n">
        <v>200</v>
      </c>
      <c r="B204" s="55" t="s">
        <v>840</v>
      </c>
      <c r="C204" s="56" t="s">
        <v>927</v>
      </c>
      <c r="D204" s="55" t="s">
        <v>928</v>
      </c>
      <c r="E204" s="57" t="n">
        <v>25597</v>
      </c>
      <c r="F204" s="55" t="s">
        <v>24</v>
      </c>
      <c r="G204" s="56" t="s">
        <v>24</v>
      </c>
      <c r="H204" s="55"/>
      <c r="I204" s="55" t="s">
        <v>2599</v>
      </c>
      <c r="J204" s="55" t="s">
        <v>483</v>
      </c>
      <c r="K204" s="55" t="s">
        <v>513</v>
      </c>
      <c r="L204" s="58" t="s">
        <v>2600</v>
      </c>
      <c r="M204" s="56"/>
    </row>
    <row r="205" customFormat="false" ht="51" hidden="false" customHeight="true" outlineLevel="0" collapsed="false">
      <c r="A205" s="55" t="n">
        <v>201</v>
      </c>
      <c r="B205" s="55" t="s">
        <v>840</v>
      </c>
      <c r="C205" s="56" t="s">
        <v>971</v>
      </c>
      <c r="D205" s="55" t="s">
        <v>972</v>
      </c>
      <c r="E205" s="57" t="n">
        <v>41965</v>
      </c>
      <c r="F205" s="55" t="s">
        <v>24</v>
      </c>
      <c r="G205" s="56" t="s">
        <v>24</v>
      </c>
      <c r="H205" s="55"/>
      <c r="I205" s="55" t="s">
        <v>2599</v>
      </c>
      <c r="J205" s="55" t="s">
        <v>483</v>
      </c>
      <c r="K205" s="55" t="s">
        <v>513</v>
      </c>
      <c r="L205" s="58" t="s">
        <v>2600</v>
      </c>
      <c r="M205" s="56"/>
    </row>
    <row r="206" customFormat="false" ht="51" hidden="false" customHeight="true" outlineLevel="0" collapsed="false">
      <c r="A206" s="55" t="n">
        <v>202</v>
      </c>
      <c r="B206" s="55" t="s">
        <v>840</v>
      </c>
      <c r="C206" s="56" t="s">
        <v>973</v>
      </c>
      <c r="D206" s="55" t="s">
        <v>2616</v>
      </c>
      <c r="E206" s="57" t="n">
        <v>55682</v>
      </c>
      <c r="F206" s="55" t="s">
        <v>24</v>
      </c>
      <c r="G206" s="56" t="s">
        <v>24</v>
      </c>
      <c r="H206" s="55"/>
      <c r="I206" s="55" t="s">
        <v>2599</v>
      </c>
      <c r="J206" s="55" t="s">
        <v>483</v>
      </c>
      <c r="K206" s="55" t="s">
        <v>513</v>
      </c>
      <c r="L206" s="58" t="s">
        <v>2600</v>
      </c>
      <c r="M206" s="56"/>
    </row>
    <row r="207" customFormat="false" ht="51" hidden="false" customHeight="true" outlineLevel="0" collapsed="false">
      <c r="A207" s="55" t="n">
        <v>203</v>
      </c>
      <c r="B207" s="55" t="s">
        <v>840</v>
      </c>
      <c r="C207" s="56" t="s">
        <v>977</v>
      </c>
      <c r="D207" s="55" t="s">
        <v>2617</v>
      </c>
      <c r="E207" s="57" t="n">
        <v>28841</v>
      </c>
      <c r="F207" s="55" t="s">
        <v>24</v>
      </c>
      <c r="G207" s="56" t="s">
        <v>24</v>
      </c>
      <c r="H207" s="55"/>
      <c r="I207" s="55" t="s">
        <v>2599</v>
      </c>
      <c r="J207" s="55" t="s">
        <v>483</v>
      </c>
      <c r="K207" s="55" t="s">
        <v>513</v>
      </c>
      <c r="L207" s="58" t="s">
        <v>2600</v>
      </c>
      <c r="M207" s="56"/>
    </row>
    <row r="208" customFormat="false" ht="51" hidden="false" customHeight="true" outlineLevel="0" collapsed="false">
      <c r="A208" s="55" t="n">
        <v>204</v>
      </c>
      <c r="B208" s="55" t="s">
        <v>840</v>
      </c>
      <c r="C208" s="56" t="s">
        <v>985</v>
      </c>
      <c r="D208" s="55" t="s">
        <v>986</v>
      </c>
      <c r="E208" s="57" t="n">
        <v>68684</v>
      </c>
      <c r="F208" s="55" t="s">
        <v>24</v>
      </c>
      <c r="G208" s="56" t="s">
        <v>24</v>
      </c>
      <c r="H208" s="55"/>
      <c r="I208" s="55" t="s">
        <v>2599</v>
      </c>
      <c r="J208" s="55" t="s">
        <v>483</v>
      </c>
      <c r="K208" s="55" t="s">
        <v>513</v>
      </c>
      <c r="L208" s="58" t="s">
        <v>2600</v>
      </c>
      <c r="M208" s="56"/>
    </row>
    <row r="209" customFormat="false" ht="51" hidden="false" customHeight="true" outlineLevel="0" collapsed="false">
      <c r="A209" s="55" t="n">
        <v>205</v>
      </c>
      <c r="B209" s="55" t="s">
        <v>840</v>
      </c>
      <c r="C209" s="56" t="s">
        <v>979</v>
      </c>
      <c r="D209" s="55" t="s">
        <v>980</v>
      </c>
      <c r="E209" s="57" t="n">
        <v>41655</v>
      </c>
      <c r="F209" s="55" t="s">
        <v>24</v>
      </c>
      <c r="G209" s="56" t="s">
        <v>24</v>
      </c>
      <c r="H209" s="55"/>
      <c r="I209" s="55" t="s">
        <v>2599</v>
      </c>
      <c r="J209" s="55" t="s">
        <v>483</v>
      </c>
      <c r="K209" s="55" t="s">
        <v>513</v>
      </c>
      <c r="L209" s="58" t="s">
        <v>2600</v>
      </c>
      <c r="M209" s="56"/>
    </row>
    <row r="210" customFormat="false" ht="51" hidden="false" customHeight="true" outlineLevel="0" collapsed="false">
      <c r="A210" s="55" t="n">
        <v>206</v>
      </c>
      <c r="B210" s="55" t="s">
        <v>840</v>
      </c>
      <c r="C210" s="56" t="s">
        <v>981</v>
      </c>
      <c r="D210" s="55" t="s">
        <v>982</v>
      </c>
      <c r="E210" s="57" t="n">
        <v>17590</v>
      </c>
      <c r="F210" s="55" t="s">
        <v>24</v>
      </c>
      <c r="G210" s="56" t="s">
        <v>24</v>
      </c>
      <c r="H210" s="55"/>
      <c r="I210" s="55" t="s">
        <v>2599</v>
      </c>
      <c r="J210" s="55" t="s">
        <v>483</v>
      </c>
      <c r="K210" s="55" t="s">
        <v>513</v>
      </c>
      <c r="L210" s="58" t="s">
        <v>2600</v>
      </c>
      <c r="M210" s="56"/>
    </row>
    <row r="211" customFormat="false" ht="51" hidden="false" customHeight="true" outlineLevel="0" collapsed="false">
      <c r="A211" s="55" t="n">
        <v>207</v>
      </c>
      <c r="B211" s="55" t="s">
        <v>840</v>
      </c>
      <c r="C211" s="56" t="s">
        <v>975</v>
      </c>
      <c r="D211" s="55" t="s">
        <v>2618</v>
      </c>
      <c r="E211" s="57" t="n">
        <v>34687</v>
      </c>
      <c r="F211" s="55" t="s">
        <v>24</v>
      </c>
      <c r="G211" s="56" t="s">
        <v>24</v>
      </c>
      <c r="H211" s="55"/>
      <c r="I211" s="55" t="s">
        <v>2599</v>
      </c>
      <c r="J211" s="55" t="s">
        <v>483</v>
      </c>
      <c r="K211" s="55" t="s">
        <v>513</v>
      </c>
      <c r="L211" s="58" t="s">
        <v>2600</v>
      </c>
      <c r="M211" s="56"/>
    </row>
    <row r="212" customFormat="false" ht="51" hidden="false" customHeight="true" outlineLevel="0" collapsed="false">
      <c r="A212" s="55" t="n">
        <v>208</v>
      </c>
      <c r="B212" s="55" t="s">
        <v>840</v>
      </c>
      <c r="C212" s="56" t="s">
        <v>999</v>
      </c>
      <c r="D212" s="55" t="s">
        <v>1000</v>
      </c>
      <c r="E212" s="57" t="n">
        <v>45681</v>
      </c>
      <c r="F212" s="55" t="s">
        <v>24</v>
      </c>
      <c r="G212" s="56" t="s">
        <v>24</v>
      </c>
      <c r="H212" s="55"/>
      <c r="I212" s="55" t="s">
        <v>2599</v>
      </c>
      <c r="J212" s="55" t="s">
        <v>483</v>
      </c>
      <c r="K212" s="55" t="s">
        <v>513</v>
      </c>
      <c r="L212" s="58" t="s">
        <v>2600</v>
      </c>
      <c r="M212" s="56"/>
    </row>
    <row r="213" customFormat="false" ht="51" hidden="false" customHeight="true" outlineLevel="0" collapsed="false">
      <c r="A213" s="55" t="n">
        <v>209</v>
      </c>
      <c r="B213" s="55" t="s">
        <v>840</v>
      </c>
      <c r="C213" s="56" t="s">
        <v>987</v>
      </c>
      <c r="D213" s="55" t="s">
        <v>988</v>
      </c>
      <c r="E213" s="57" t="n">
        <v>44235</v>
      </c>
      <c r="F213" s="55" t="s">
        <v>24</v>
      </c>
      <c r="G213" s="56" t="s">
        <v>24</v>
      </c>
      <c r="H213" s="55"/>
      <c r="I213" s="55" t="s">
        <v>2599</v>
      </c>
      <c r="J213" s="55" t="s">
        <v>483</v>
      </c>
      <c r="K213" s="55" t="s">
        <v>513</v>
      </c>
      <c r="L213" s="58" t="s">
        <v>2600</v>
      </c>
      <c r="M213" s="56"/>
    </row>
    <row r="214" customFormat="false" ht="51" hidden="false" customHeight="true" outlineLevel="0" collapsed="false">
      <c r="A214" s="55" t="n">
        <v>210</v>
      </c>
      <c r="B214" s="55" t="s">
        <v>840</v>
      </c>
      <c r="C214" s="56" t="s">
        <v>989</v>
      </c>
      <c r="D214" s="55" t="s">
        <v>990</v>
      </c>
      <c r="E214" s="57" t="n">
        <v>29103</v>
      </c>
      <c r="F214" s="55" t="s">
        <v>24</v>
      </c>
      <c r="G214" s="56" t="s">
        <v>24</v>
      </c>
      <c r="H214" s="55"/>
      <c r="I214" s="55" t="s">
        <v>2599</v>
      </c>
      <c r="J214" s="55" t="s">
        <v>483</v>
      </c>
      <c r="K214" s="55" t="s">
        <v>513</v>
      </c>
      <c r="L214" s="58" t="s">
        <v>2600</v>
      </c>
      <c r="M214" s="56"/>
    </row>
    <row r="215" customFormat="false" ht="51" hidden="false" customHeight="true" outlineLevel="0" collapsed="false">
      <c r="A215" s="55" t="n">
        <v>211</v>
      </c>
      <c r="B215" s="55" t="s">
        <v>840</v>
      </c>
      <c r="C215" s="56" t="s">
        <v>991</v>
      </c>
      <c r="D215" s="55" t="s">
        <v>2619</v>
      </c>
      <c r="E215" s="57" t="n">
        <v>36555</v>
      </c>
      <c r="F215" s="55" t="s">
        <v>24</v>
      </c>
      <c r="G215" s="56" t="s">
        <v>24</v>
      </c>
      <c r="H215" s="55"/>
      <c r="I215" s="55" t="s">
        <v>2599</v>
      </c>
      <c r="J215" s="55" t="s">
        <v>483</v>
      </c>
      <c r="K215" s="55" t="s">
        <v>513</v>
      </c>
      <c r="L215" s="58" t="s">
        <v>2600</v>
      </c>
      <c r="M215" s="56"/>
    </row>
    <row r="216" customFormat="false" ht="51" hidden="false" customHeight="true" outlineLevel="0" collapsed="false">
      <c r="A216" s="55" t="n">
        <v>212</v>
      </c>
      <c r="B216" s="55" t="s">
        <v>840</v>
      </c>
      <c r="C216" s="56" t="s">
        <v>993</v>
      </c>
      <c r="D216" s="55" t="s">
        <v>994</v>
      </c>
      <c r="E216" s="57" t="n">
        <v>67419</v>
      </c>
      <c r="F216" s="55" t="s">
        <v>24</v>
      </c>
      <c r="G216" s="56" t="s">
        <v>24</v>
      </c>
      <c r="H216" s="55"/>
      <c r="I216" s="55" t="s">
        <v>2599</v>
      </c>
      <c r="J216" s="55" t="s">
        <v>483</v>
      </c>
      <c r="K216" s="55" t="s">
        <v>513</v>
      </c>
      <c r="L216" s="58" t="s">
        <v>2600</v>
      </c>
      <c r="M216" s="56"/>
    </row>
    <row r="217" customFormat="false" ht="51" hidden="false" customHeight="true" outlineLevel="0" collapsed="false">
      <c r="A217" s="55" t="n">
        <v>213</v>
      </c>
      <c r="B217" s="55" t="s">
        <v>840</v>
      </c>
      <c r="C217" s="56" t="s">
        <v>995</v>
      </c>
      <c r="D217" s="55" t="s">
        <v>2620</v>
      </c>
      <c r="E217" s="57" t="n">
        <v>34591</v>
      </c>
      <c r="F217" s="55" t="s">
        <v>24</v>
      </c>
      <c r="G217" s="56" t="s">
        <v>24</v>
      </c>
      <c r="H217" s="55"/>
      <c r="I217" s="55" t="s">
        <v>2599</v>
      </c>
      <c r="J217" s="55" t="s">
        <v>483</v>
      </c>
      <c r="K217" s="55" t="s">
        <v>513</v>
      </c>
      <c r="L217" s="58" t="s">
        <v>2600</v>
      </c>
      <c r="M217" s="56"/>
    </row>
    <row r="218" customFormat="false" ht="51" hidden="false" customHeight="true" outlineLevel="0" collapsed="false">
      <c r="A218" s="55" t="n">
        <v>214</v>
      </c>
      <c r="B218" s="55" t="s">
        <v>840</v>
      </c>
      <c r="C218" s="56" t="s">
        <v>983</v>
      </c>
      <c r="D218" s="55" t="s">
        <v>984</v>
      </c>
      <c r="E218" s="57" t="n">
        <v>46905</v>
      </c>
      <c r="F218" s="55" t="s">
        <v>24</v>
      </c>
      <c r="G218" s="56" t="s">
        <v>24</v>
      </c>
      <c r="H218" s="55"/>
      <c r="I218" s="55" t="s">
        <v>2599</v>
      </c>
      <c r="J218" s="55" t="s">
        <v>483</v>
      </c>
      <c r="K218" s="55" t="s">
        <v>513</v>
      </c>
      <c r="L218" s="58" t="s">
        <v>2600</v>
      </c>
      <c r="M218" s="56"/>
    </row>
    <row r="219" customFormat="false" ht="51" hidden="false" customHeight="true" outlineLevel="0" collapsed="false">
      <c r="A219" s="55" t="n">
        <v>215</v>
      </c>
      <c r="B219" s="55" t="s">
        <v>840</v>
      </c>
      <c r="C219" s="56" t="s">
        <v>997</v>
      </c>
      <c r="D219" s="55" t="s">
        <v>998</v>
      </c>
      <c r="E219" s="57" t="n">
        <v>87399</v>
      </c>
      <c r="F219" s="55" t="s">
        <v>24</v>
      </c>
      <c r="G219" s="56" t="s">
        <v>24</v>
      </c>
      <c r="H219" s="55"/>
      <c r="I219" s="55" t="s">
        <v>2599</v>
      </c>
      <c r="J219" s="55" t="s">
        <v>483</v>
      </c>
      <c r="K219" s="55" t="s">
        <v>513</v>
      </c>
      <c r="L219" s="58" t="s">
        <v>2600</v>
      </c>
      <c r="M219" s="56"/>
    </row>
    <row r="220" customFormat="false" ht="25.5" hidden="false" customHeight="true" outlineLevel="0" collapsed="false">
      <c r="A220" s="55" t="n">
        <v>216</v>
      </c>
      <c r="B220" s="55" t="s">
        <v>1003</v>
      </c>
      <c r="C220" s="56" t="s">
        <v>1004</v>
      </c>
      <c r="D220" s="55" t="s">
        <v>1005</v>
      </c>
      <c r="E220" s="57" t="n">
        <v>42788</v>
      </c>
      <c r="F220" s="55" t="s">
        <v>25</v>
      </c>
      <c r="G220" s="56" t="s">
        <v>25</v>
      </c>
      <c r="H220" s="55"/>
      <c r="I220" s="55" t="s">
        <v>2621</v>
      </c>
      <c r="J220" s="55" t="s">
        <v>483</v>
      </c>
      <c r="K220" s="55" t="s">
        <v>513</v>
      </c>
      <c r="L220" s="58" t="s">
        <v>2600</v>
      </c>
      <c r="M220" s="56"/>
    </row>
    <row r="221" customFormat="false" ht="25.5" hidden="false" customHeight="true" outlineLevel="0" collapsed="false">
      <c r="A221" s="55" t="n">
        <v>217</v>
      </c>
      <c r="B221" s="55" t="s">
        <v>1003</v>
      </c>
      <c r="C221" s="56" t="s">
        <v>1007</v>
      </c>
      <c r="D221" s="55" t="s">
        <v>1008</v>
      </c>
      <c r="E221" s="57" t="n">
        <v>12166</v>
      </c>
      <c r="F221" s="55" t="s">
        <v>25</v>
      </c>
      <c r="G221" s="56" t="s">
        <v>25</v>
      </c>
      <c r="H221" s="55"/>
      <c r="I221" s="55" t="s">
        <v>2621</v>
      </c>
      <c r="J221" s="55" t="s">
        <v>483</v>
      </c>
      <c r="K221" s="55" t="s">
        <v>513</v>
      </c>
      <c r="L221" s="58" t="s">
        <v>2600</v>
      </c>
      <c r="M221" s="56"/>
    </row>
    <row r="222" customFormat="false" ht="25.5" hidden="false" customHeight="true" outlineLevel="0" collapsed="false">
      <c r="A222" s="55" t="n">
        <v>218</v>
      </c>
      <c r="B222" s="55" t="s">
        <v>1003</v>
      </c>
      <c r="C222" s="56" t="s">
        <v>1009</v>
      </c>
      <c r="D222" s="55" t="s">
        <v>1010</v>
      </c>
      <c r="E222" s="57" t="n">
        <v>21397</v>
      </c>
      <c r="F222" s="55" t="s">
        <v>25</v>
      </c>
      <c r="G222" s="56" t="s">
        <v>25</v>
      </c>
      <c r="H222" s="55"/>
      <c r="I222" s="55" t="s">
        <v>2621</v>
      </c>
      <c r="J222" s="55" t="s">
        <v>483</v>
      </c>
      <c r="K222" s="55" t="s">
        <v>513</v>
      </c>
      <c r="L222" s="58" t="s">
        <v>2600</v>
      </c>
      <c r="M222" s="56"/>
    </row>
    <row r="223" customFormat="false" ht="25.5" hidden="false" customHeight="true" outlineLevel="0" collapsed="false">
      <c r="A223" s="55" t="n">
        <v>219</v>
      </c>
      <c r="B223" s="55" t="s">
        <v>1003</v>
      </c>
      <c r="C223" s="56" t="s">
        <v>1012</v>
      </c>
      <c r="D223" s="55" t="s">
        <v>1013</v>
      </c>
      <c r="E223" s="57" t="n">
        <v>10939</v>
      </c>
      <c r="F223" s="55" t="s">
        <v>25</v>
      </c>
      <c r="G223" s="56" t="s">
        <v>25</v>
      </c>
      <c r="H223" s="55"/>
      <c r="I223" s="55" t="s">
        <v>2621</v>
      </c>
      <c r="J223" s="55" t="s">
        <v>483</v>
      </c>
      <c r="K223" s="55" t="s">
        <v>513</v>
      </c>
      <c r="L223" s="58" t="s">
        <v>2600</v>
      </c>
      <c r="M223" s="56"/>
    </row>
    <row r="224" customFormat="false" ht="25.5" hidden="false" customHeight="true" outlineLevel="0" collapsed="false">
      <c r="A224" s="55" t="n">
        <v>220</v>
      </c>
      <c r="B224" s="55" t="s">
        <v>1003</v>
      </c>
      <c r="C224" s="56" t="s">
        <v>1014</v>
      </c>
      <c r="D224" s="55" t="s">
        <v>2622</v>
      </c>
      <c r="E224" s="57" t="n">
        <v>13377</v>
      </c>
      <c r="F224" s="55" t="s">
        <v>25</v>
      </c>
      <c r="G224" s="56" t="s">
        <v>25</v>
      </c>
      <c r="H224" s="55"/>
      <c r="I224" s="55" t="s">
        <v>2621</v>
      </c>
      <c r="J224" s="55" t="s">
        <v>483</v>
      </c>
      <c r="K224" s="55" t="s">
        <v>513</v>
      </c>
      <c r="L224" s="58" t="s">
        <v>2600</v>
      </c>
      <c r="M224" s="56"/>
    </row>
    <row r="225" customFormat="false" ht="25.5" hidden="false" customHeight="true" outlineLevel="0" collapsed="false">
      <c r="A225" s="55" t="n">
        <v>221</v>
      </c>
      <c r="B225" s="55" t="s">
        <v>1003</v>
      </c>
      <c r="C225" s="56" t="s">
        <v>1019</v>
      </c>
      <c r="D225" s="55" t="s">
        <v>1020</v>
      </c>
      <c r="E225" s="57" t="n">
        <v>7833</v>
      </c>
      <c r="F225" s="55" t="s">
        <v>25</v>
      </c>
      <c r="G225" s="56" t="s">
        <v>25</v>
      </c>
      <c r="H225" s="55"/>
      <c r="I225" s="55" t="s">
        <v>2621</v>
      </c>
      <c r="J225" s="55" t="s">
        <v>483</v>
      </c>
      <c r="K225" s="55" t="s">
        <v>513</v>
      </c>
      <c r="L225" s="58" t="s">
        <v>2600</v>
      </c>
      <c r="M225" s="56"/>
    </row>
    <row r="226" customFormat="false" ht="25.5" hidden="false" customHeight="true" outlineLevel="0" collapsed="false">
      <c r="A226" s="55" t="n">
        <v>222</v>
      </c>
      <c r="B226" s="55" t="s">
        <v>1003</v>
      </c>
      <c r="C226" s="56" t="s">
        <v>1016</v>
      </c>
      <c r="D226" s="55" t="s">
        <v>2623</v>
      </c>
      <c r="E226" s="57" t="n">
        <v>12745</v>
      </c>
      <c r="F226" s="55" t="s">
        <v>25</v>
      </c>
      <c r="G226" s="56" t="s">
        <v>25</v>
      </c>
      <c r="H226" s="55"/>
      <c r="I226" s="55" t="s">
        <v>2621</v>
      </c>
      <c r="J226" s="55" t="s">
        <v>483</v>
      </c>
      <c r="K226" s="55" t="s">
        <v>513</v>
      </c>
      <c r="L226" s="58" t="s">
        <v>2600</v>
      </c>
      <c r="M226" s="56"/>
    </row>
    <row r="227" customFormat="false" ht="25.5" hidden="false" customHeight="true" outlineLevel="0" collapsed="false">
      <c r="A227" s="55" t="n">
        <v>223</v>
      </c>
      <c r="B227" s="55" t="s">
        <v>1003</v>
      </c>
      <c r="C227" s="56" t="s">
        <v>1021</v>
      </c>
      <c r="D227" s="55" t="s">
        <v>1022</v>
      </c>
      <c r="E227" s="57" t="n">
        <v>3498</v>
      </c>
      <c r="F227" s="55" t="s">
        <v>25</v>
      </c>
      <c r="G227" s="56" t="s">
        <v>25</v>
      </c>
      <c r="H227" s="55"/>
      <c r="I227" s="55" t="s">
        <v>2621</v>
      </c>
      <c r="J227" s="55" t="s">
        <v>483</v>
      </c>
      <c r="K227" s="55" t="s">
        <v>513</v>
      </c>
      <c r="L227" s="58" t="s">
        <v>2600</v>
      </c>
      <c r="M227" s="56"/>
    </row>
    <row r="228" customFormat="false" ht="25.5" hidden="false" customHeight="true" outlineLevel="0" collapsed="false">
      <c r="A228" s="55" t="n">
        <v>224</v>
      </c>
      <c r="B228" s="55" t="s">
        <v>1003</v>
      </c>
      <c r="C228" s="56" t="s">
        <v>1023</v>
      </c>
      <c r="D228" s="55" t="s">
        <v>1024</v>
      </c>
      <c r="E228" s="57" t="n">
        <v>24373</v>
      </c>
      <c r="F228" s="55" t="s">
        <v>25</v>
      </c>
      <c r="G228" s="56" t="s">
        <v>25</v>
      </c>
      <c r="H228" s="55"/>
      <c r="I228" s="55" t="s">
        <v>2621</v>
      </c>
      <c r="J228" s="55" t="s">
        <v>483</v>
      </c>
      <c r="K228" s="55" t="s">
        <v>513</v>
      </c>
      <c r="L228" s="58" t="s">
        <v>2600</v>
      </c>
      <c r="M228" s="56"/>
    </row>
    <row r="229" customFormat="false" ht="25.5" hidden="false" customHeight="true" outlineLevel="0" collapsed="false">
      <c r="A229" s="55" t="n">
        <v>225</v>
      </c>
      <c r="B229" s="55" t="s">
        <v>1003</v>
      </c>
      <c r="C229" s="56" t="s">
        <v>1025</v>
      </c>
      <c r="D229" s="55" t="s">
        <v>1026</v>
      </c>
      <c r="E229" s="57" t="n">
        <v>100593</v>
      </c>
      <c r="F229" s="55" t="s">
        <v>25</v>
      </c>
      <c r="G229" s="56" t="s">
        <v>25</v>
      </c>
      <c r="H229" s="55"/>
      <c r="I229" s="55" t="s">
        <v>2621</v>
      </c>
      <c r="J229" s="55" t="s">
        <v>483</v>
      </c>
      <c r="K229" s="55" t="s">
        <v>513</v>
      </c>
      <c r="L229" s="58" t="s">
        <v>2600</v>
      </c>
      <c r="M229" s="56"/>
    </row>
    <row r="230" customFormat="false" ht="25.5" hidden="false" customHeight="true" outlineLevel="0" collapsed="false">
      <c r="A230" s="55" t="n">
        <v>226</v>
      </c>
      <c r="B230" s="55" t="s">
        <v>1003</v>
      </c>
      <c r="C230" s="56" t="s">
        <v>1027</v>
      </c>
      <c r="D230" s="55" t="s">
        <v>1028</v>
      </c>
      <c r="E230" s="57" t="n">
        <v>19989</v>
      </c>
      <c r="F230" s="55" t="s">
        <v>25</v>
      </c>
      <c r="G230" s="56" t="s">
        <v>25</v>
      </c>
      <c r="H230" s="55"/>
      <c r="I230" s="55" t="s">
        <v>2621</v>
      </c>
      <c r="J230" s="55" t="s">
        <v>483</v>
      </c>
      <c r="K230" s="55" t="s">
        <v>513</v>
      </c>
      <c r="L230" s="58" t="s">
        <v>2600</v>
      </c>
      <c r="M230" s="56"/>
    </row>
    <row r="231" customFormat="false" ht="25.5" hidden="false" customHeight="true" outlineLevel="0" collapsed="false">
      <c r="A231" s="55" t="n">
        <v>227</v>
      </c>
      <c r="B231" s="55" t="s">
        <v>1003</v>
      </c>
      <c r="C231" s="56" t="s">
        <v>1030</v>
      </c>
      <c r="D231" s="55" t="s">
        <v>1031</v>
      </c>
      <c r="E231" s="57" t="n">
        <v>11912</v>
      </c>
      <c r="F231" s="55" t="s">
        <v>25</v>
      </c>
      <c r="G231" s="56" t="s">
        <v>25</v>
      </c>
      <c r="H231" s="55"/>
      <c r="I231" s="55" t="s">
        <v>2621</v>
      </c>
      <c r="J231" s="55" t="s">
        <v>483</v>
      </c>
      <c r="K231" s="55" t="s">
        <v>513</v>
      </c>
      <c r="L231" s="58" t="s">
        <v>2600</v>
      </c>
      <c r="M231" s="56"/>
    </row>
    <row r="232" customFormat="false" ht="25.5" hidden="false" customHeight="true" outlineLevel="0" collapsed="false">
      <c r="A232" s="55" t="n">
        <v>228</v>
      </c>
      <c r="B232" s="55" t="s">
        <v>1003</v>
      </c>
      <c r="C232" s="56" t="s">
        <v>1032</v>
      </c>
      <c r="D232" s="55" t="s">
        <v>1033</v>
      </c>
      <c r="E232" s="57" t="n">
        <v>4336</v>
      </c>
      <c r="F232" s="55" t="s">
        <v>25</v>
      </c>
      <c r="G232" s="56" t="s">
        <v>25</v>
      </c>
      <c r="H232" s="55"/>
      <c r="I232" s="55" t="s">
        <v>2621</v>
      </c>
      <c r="J232" s="55" t="s">
        <v>483</v>
      </c>
      <c r="K232" s="55" t="s">
        <v>513</v>
      </c>
      <c r="L232" s="58" t="s">
        <v>2600</v>
      </c>
      <c r="M232" s="56"/>
    </row>
    <row r="233" customFormat="false" ht="25.5" hidden="false" customHeight="true" outlineLevel="0" collapsed="false">
      <c r="A233" s="55" t="n">
        <v>229</v>
      </c>
      <c r="B233" s="55" t="s">
        <v>1003</v>
      </c>
      <c r="C233" s="56" t="s">
        <v>1034</v>
      </c>
      <c r="D233" s="55" t="s">
        <v>1035</v>
      </c>
      <c r="E233" s="57" t="n">
        <v>28621</v>
      </c>
      <c r="F233" s="55" t="s">
        <v>25</v>
      </c>
      <c r="G233" s="56" t="s">
        <v>25</v>
      </c>
      <c r="H233" s="55"/>
      <c r="I233" s="55" t="s">
        <v>2621</v>
      </c>
      <c r="J233" s="55" t="s">
        <v>483</v>
      </c>
      <c r="K233" s="55" t="s">
        <v>513</v>
      </c>
      <c r="L233" s="58" t="s">
        <v>2600</v>
      </c>
      <c r="M233" s="56"/>
    </row>
    <row r="234" customFormat="false" ht="25.5" hidden="false" customHeight="true" outlineLevel="0" collapsed="false">
      <c r="A234" s="55" t="n">
        <v>230</v>
      </c>
      <c r="B234" s="55" t="s">
        <v>1003</v>
      </c>
      <c r="C234" s="56" t="s">
        <v>1036</v>
      </c>
      <c r="D234" s="55" t="s">
        <v>1037</v>
      </c>
      <c r="E234" s="57" t="n">
        <v>106474</v>
      </c>
      <c r="F234" s="55" t="s">
        <v>25</v>
      </c>
      <c r="G234" s="56" t="s">
        <v>25</v>
      </c>
      <c r="H234" s="55"/>
      <c r="I234" s="55" t="s">
        <v>2621</v>
      </c>
      <c r="J234" s="55" t="s">
        <v>483</v>
      </c>
      <c r="K234" s="55" t="s">
        <v>513</v>
      </c>
      <c r="L234" s="58" t="s">
        <v>2600</v>
      </c>
      <c r="M234" s="56"/>
    </row>
    <row r="235" customFormat="false" ht="25.5" hidden="false" customHeight="true" outlineLevel="0" collapsed="false">
      <c r="A235" s="55" t="n">
        <v>231</v>
      </c>
      <c r="B235" s="55" t="s">
        <v>1003</v>
      </c>
      <c r="C235" s="56" t="s">
        <v>1038</v>
      </c>
      <c r="D235" s="55" t="s">
        <v>1039</v>
      </c>
      <c r="E235" s="57" t="n">
        <v>21349</v>
      </c>
      <c r="F235" s="55" t="s">
        <v>25</v>
      </c>
      <c r="G235" s="56" t="s">
        <v>25</v>
      </c>
      <c r="H235" s="55"/>
      <c r="I235" s="55" t="s">
        <v>2621</v>
      </c>
      <c r="J235" s="55" t="s">
        <v>483</v>
      </c>
      <c r="K235" s="55" t="s">
        <v>513</v>
      </c>
      <c r="L235" s="58" t="s">
        <v>2600</v>
      </c>
      <c r="M235" s="56"/>
    </row>
    <row r="236" customFormat="false" ht="25.5" hidden="false" customHeight="true" outlineLevel="0" collapsed="false">
      <c r="A236" s="55" t="n">
        <v>232</v>
      </c>
      <c r="B236" s="55" t="s">
        <v>1003</v>
      </c>
      <c r="C236" s="56" t="s">
        <v>1040</v>
      </c>
      <c r="D236" s="55" t="s">
        <v>1041</v>
      </c>
      <c r="E236" s="57" t="n">
        <v>6374</v>
      </c>
      <c r="F236" s="55" t="s">
        <v>25</v>
      </c>
      <c r="G236" s="56" t="s">
        <v>25</v>
      </c>
      <c r="H236" s="55"/>
      <c r="I236" s="55" t="s">
        <v>2621</v>
      </c>
      <c r="J236" s="55" t="s">
        <v>483</v>
      </c>
      <c r="K236" s="55" t="s">
        <v>513</v>
      </c>
      <c r="L236" s="58" t="s">
        <v>2600</v>
      </c>
      <c r="M236" s="56"/>
    </row>
    <row r="237" customFormat="false" ht="25.5" hidden="false" customHeight="true" outlineLevel="0" collapsed="false">
      <c r="A237" s="55" t="n">
        <v>233</v>
      </c>
      <c r="B237" s="55" t="s">
        <v>1003</v>
      </c>
      <c r="C237" s="56" t="s">
        <v>1042</v>
      </c>
      <c r="D237" s="55" t="s">
        <v>1043</v>
      </c>
      <c r="E237" s="57" t="n">
        <v>119513</v>
      </c>
      <c r="F237" s="55" t="s">
        <v>25</v>
      </c>
      <c r="G237" s="56" t="s">
        <v>25</v>
      </c>
      <c r="H237" s="55"/>
      <c r="I237" s="55" t="s">
        <v>2621</v>
      </c>
      <c r="J237" s="55" t="s">
        <v>483</v>
      </c>
      <c r="K237" s="55" t="s">
        <v>513</v>
      </c>
      <c r="L237" s="58" t="s">
        <v>2600</v>
      </c>
      <c r="M237" s="56"/>
    </row>
    <row r="238" customFormat="false" ht="25.5" hidden="false" customHeight="true" outlineLevel="0" collapsed="false">
      <c r="A238" s="55" t="n">
        <v>234</v>
      </c>
      <c r="B238" s="55" t="s">
        <v>1003</v>
      </c>
      <c r="C238" s="56" t="s">
        <v>1044</v>
      </c>
      <c r="D238" s="55" t="s">
        <v>1045</v>
      </c>
      <c r="E238" s="57" t="n">
        <v>10264</v>
      </c>
      <c r="F238" s="55" t="s">
        <v>25</v>
      </c>
      <c r="G238" s="56" t="s">
        <v>25</v>
      </c>
      <c r="H238" s="55"/>
      <c r="I238" s="55" t="s">
        <v>2621</v>
      </c>
      <c r="J238" s="55" t="s">
        <v>483</v>
      </c>
      <c r="K238" s="55" t="s">
        <v>513</v>
      </c>
      <c r="L238" s="58" t="s">
        <v>2600</v>
      </c>
      <c r="M238" s="56"/>
    </row>
    <row r="239" customFormat="false" ht="25.5" hidden="false" customHeight="true" outlineLevel="0" collapsed="false">
      <c r="A239" s="55" t="n">
        <v>235</v>
      </c>
      <c r="B239" s="55" t="s">
        <v>1003</v>
      </c>
      <c r="C239" s="56" t="s">
        <v>1046</v>
      </c>
      <c r="D239" s="55" t="s">
        <v>1047</v>
      </c>
      <c r="E239" s="57" t="n">
        <v>81365</v>
      </c>
      <c r="F239" s="55" t="s">
        <v>25</v>
      </c>
      <c r="G239" s="56" t="s">
        <v>25</v>
      </c>
      <c r="H239" s="55"/>
      <c r="I239" s="55" t="s">
        <v>2621</v>
      </c>
      <c r="J239" s="55" t="s">
        <v>483</v>
      </c>
      <c r="K239" s="55" t="s">
        <v>513</v>
      </c>
      <c r="L239" s="58" t="s">
        <v>2600</v>
      </c>
      <c r="M239" s="56"/>
    </row>
    <row r="240" customFormat="false" ht="25.5" hidden="false" customHeight="true" outlineLevel="0" collapsed="false">
      <c r="A240" s="55" t="n">
        <v>236</v>
      </c>
      <c r="B240" s="55" t="s">
        <v>1003</v>
      </c>
      <c r="C240" s="56" t="s">
        <v>1048</v>
      </c>
      <c r="D240" s="55" t="s">
        <v>1049</v>
      </c>
      <c r="E240" s="57" t="n">
        <v>18408</v>
      </c>
      <c r="F240" s="55" t="s">
        <v>25</v>
      </c>
      <c r="G240" s="56" t="s">
        <v>25</v>
      </c>
      <c r="H240" s="55"/>
      <c r="I240" s="55" t="s">
        <v>2621</v>
      </c>
      <c r="J240" s="55" t="s">
        <v>483</v>
      </c>
      <c r="K240" s="55" t="s">
        <v>513</v>
      </c>
      <c r="L240" s="58" t="s">
        <v>2600</v>
      </c>
      <c r="M240" s="56"/>
    </row>
    <row r="241" customFormat="false" ht="25.5" hidden="false" customHeight="true" outlineLevel="0" collapsed="false">
      <c r="A241" s="55" t="n">
        <v>237</v>
      </c>
      <c r="B241" s="55" t="s">
        <v>1003</v>
      </c>
      <c r="C241" s="56" t="s">
        <v>1050</v>
      </c>
      <c r="D241" s="55" t="s">
        <v>1051</v>
      </c>
      <c r="E241" s="57" t="n">
        <v>77072</v>
      </c>
      <c r="F241" s="55" t="s">
        <v>25</v>
      </c>
      <c r="G241" s="56" t="s">
        <v>25</v>
      </c>
      <c r="H241" s="55"/>
      <c r="I241" s="55" t="s">
        <v>2621</v>
      </c>
      <c r="J241" s="55" t="s">
        <v>483</v>
      </c>
      <c r="K241" s="55" t="s">
        <v>513</v>
      </c>
      <c r="L241" s="58" t="s">
        <v>2600</v>
      </c>
      <c r="M241" s="56"/>
    </row>
    <row r="242" customFormat="false" ht="25.5" hidden="false" customHeight="true" outlineLevel="0" collapsed="false">
      <c r="A242" s="55" t="n">
        <v>238</v>
      </c>
      <c r="B242" s="55" t="s">
        <v>1003</v>
      </c>
      <c r="C242" s="56" t="s">
        <v>700</v>
      </c>
      <c r="D242" s="55" t="s">
        <v>1052</v>
      </c>
      <c r="E242" s="57" t="n">
        <v>7049</v>
      </c>
      <c r="F242" s="55" t="s">
        <v>25</v>
      </c>
      <c r="G242" s="56" t="s">
        <v>25</v>
      </c>
      <c r="H242" s="55"/>
      <c r="I242" s="55" t="s">
        <v>2621</v>
      </c>
      <c r="J242" s="55" t="s">
        <v>483</v>
      </c>
      <c r="K242" s="55" t="s">
        <v>513</v>
      </c>
      <c r="L242" s="58" t="s">
        <v>2600</v>
      </c>
      <c r="M242" s="56"/>
    </row>
    <row r="243" customFormat="false" ht="25.5" hidden="false" customHeight="true" outlineLevel="0" collapsed="false">
      <c r="A243" s="55" t="n">
        <v>239</v>
      </c>
      <c r="B243" s="55" t="s">
        <v>1003</v>
      </c>
      <c r="C243" s="56" t="s">
        <v>1053</v>
      </c>
      <c r="D243" s="55" t="s">
        <v>1054</v>
      </c>
      <c r="E243" s="57" t="n">
        <v>42562</v>
      </c>
      <c r="F243" s="55" t="s">
        <v>25</v>
      </c>
      <c r="G243" s="56" t="s">
        <v>25</v>
      </c>
      <c r="H243" s="55"/>
      <c r="I243" s="55" t="s">
        <v>2621</v>
      </c>
      <c r="J243" s="55" t="s">
        <v>483</v>
      </c>
      <c r="K243" s="55" t="s">
        <v>513</v>
      </c>
      <c r="L243" s="58" t="s">
        <v>2600</v>
      </c>
      <c r="M243" s="56"/>
    </row>
    <row r="244" customFormat="false" ht="25.5" hidden="false" customHeight="true" outlineLevel="0" collapsed="false">
      <c r="A244" s="55" t="n">
        <v>240</v>
      </c>
      <c r="B244" s="55" t="s">
        <v>1003</v>
      </c>
      <c r="C244" s="56" t="s">
        <v>1055</v>
      </c>
      <c r="D244" s="55" t="s">
        <v>2624</v>
      </c>
      <c r="E244" s="57" t="n">
        <v>52644</v>
      </c>
      <c r="F244" s="55" t="s">
        <v>25</v>
      </c>
      <c r="G244" s="56" t="s">
        <v>25</v>
      </c>
      <c r="H244" s="55"/>
      <c r="I244" s="55" t="s">
        <v>2621</v>
      </c>
      <c r="J244" s="55" t="s">
        <v>483</v>
      </c>
      <c r="K244" s="55" t="s">
        <v>513</v>
      </c>
      <c r="L244" s="58" t="s">
        <v>2600</v>
      </c>
      <c r="M244" s="56"/>
    </row>
    <row r="245" customFormat="false" ht="25.5" hidden="false" customHeight="true" outlineLevel="0" collapsed="false">
      <c r="A245" s="55" t="n">
        <v>241</v>
      </c>
      <c r="B245" s="55" t="s">
        <v>1003</v>
      </c>
      <c r="C245" s="56" t="s">
        <v>1057</v>
      </c>
      <c r="D245" s="55" t="s">
        <v>1058</v>
      </c>
      <c r="E245" s="57" t="n">
        <v>57192</v>
      </c>
      <c r="F245" s="55" t="s">
        <v>25</v>
      </c>
      <c r="G245" s="56" t="s">
        <v>25</v>
      </c>
      <c r="H245" s="55"/>
      <c r="I245" s="55" t="s">
        <v>2621</v>
      </c>
      <c r="J245" s="55" t="s">
        <v>483</v>
      </c>
      <c r="K245" s="55" t="s">
        <v>513</v>
      </c>
      <c r="L245" s="58" t="s">
        <v>2600</v>
      </c>
      <c r="M245" s="56"/>
    </row>
    <row r="246" customFormat="false" ht="25.5" hidden="false" customHeight="true" outlineLevel="0" collapsed="false">
      <c r="A246" s="55" t="n">
        <v>242</v>
      </c>
      <c r="B246" s="55" t="s">
        <v>1003</v>
      </c>
      <c r="C246" s="56" t="s">
        <v>1059</v>
      </c>
      <c r="D246" s="55" t="s">
        <v>2625</v>
      </c>
      <c r="E246" s="57" t="n">
        <v>85128</v>
      </c>
      <c r="F246" s="55" t="s">
        <v>25</v>
      </c>
      <c r="G246" s="56" t="s">
        <v>25</v>
      </c>
      <c r="H246" s="55"/>
      <c r="I246" s="55" t="s">
        <v>2621</v>
      </c>
      <c r="J246" s="55" t="s">
        <v>483</v>
      </c>
      <c r="K246" s="55" t="s">
        <v>513</v>
      </c>
      <c r="L246" s="58" t="s">
        <v>2600</v>
      </c>
      <c r="M246" s="56"/>
    </row>
    <row r="247" customFormat="false" ht="25.5" hidden="false" customHeight="true" outlineLevel="0" collapsed="false">
      <c r="A247" s="55" t="n">
        <v>243</v>
      </c>
      <c r="B247" s="55" t="s">
        <v>1003</v>
      </c>
      <c r="C247" s="56" t="s">
        <v>1061</v>
      </c>
      <c r="D247" s="55" t="s">
        <v>1062</v>
      </c>
      <c r="E247" s="57" t="n">
        <v>44826</v>
      </c>
      <c r="F247" s="55" t="s">
        <v>25</v>
      </c>
      <c r="G247" s="56" t="s">
        <v>25</v>
      </c>
      <c r="H247" s="55"/>
      <c r="I247" s="55" t="s">
        <v>2621</v>
      </c>
      <c r="J247" s="55" t="s">
        <v>483</v>
      </c>
      <c r="K247" s="55" t="s">
        <v>513</v>
      </c>
      <c r="L247" s="58" t="s">
        <v>2600</v>
      </c>
      <c r="M247" s="56"/>
    </row>
    <row r="248" customFormat="false" ht="25.5" hidden="false" customHeight="true" outlineLevel="0" collapsed="false">
      <c r="A248" s="55" t="n">
        <v>244</v>
      </c>
      <c r="B248" s="55" t="s">
        <v>1003</v>
      </c>
      <c r="C248" s="56" t="s">
        <v>1063</v>
      </c>
      <c r="D248" s="55" t="s">
        <v>2626</v>
      </c>
      <c r="E248" s="57" t="n">
        <v>82692</v>
      </c>
      <c r="F248" s="55" t="s">
        <v>25</v>
      </c>
      <c r="G248" s="56" t="s">
        <v>25</v>
      </c>
      <c r="H248" s="55"/>
      <c r="I248" s="55" t="s">
        <v>2621</v>
      </c>
      <c r="J248" s="55" t="s">
        <v>483</v>
      </c>
      <c r="K248" s="55" t="s">
        <v>513</v>
      </c>
      <c r="L248" s="58" t="s">
        <v>2600</v>
      </c>
      <c r="M248" s="56"/>
    </row>
    <row r="249" customFormat="false" ht="25.5" hidden="false" customHeight="true" outlineLevel="0" collapsed="false">
      <c r="A249" s="55" t="n">
        <v>245</v>
      </c>
      <c r="B249" s="55" t="s">
        <v>1003</v>
      </c>
      <c r="C249" s="56" t="s">
        <v>1065</v>
      </c>
      <c r="D249" s="55" t="s">
        <v>1066</v>
      </c>
      <c r="E249" s="57" t="n">
        <v>97635</v>
      </c>
      <c r="F249" s="55" t="s">
        <v>25</v>
      </c>
      <c r="G249" s="56" t="s">
        <v>25</v>
      </c>
      <c r="H249" s="55"/>
      <c r="I249" s="55" t="s">
        <v>2621</v>
      </c>
      <c r="J249" s="55" t="s">
        <v>483</v>
      </c>
      <c r="K249" s="55" t="s">
        <v>513</v>
      </c>
      <c r="L249" s="58" t="s">
        <v>2600</v>
      </c>
      <c r="M249" s="56"/>
    </row>
    <row r="250" customFormat="false" ht="25.5" hidden="false" customHeight="true" outlineLevel="0" collapsed="false">
      <c r="A250" s="55" t="n">
        <v>246</v>
      </c>
      <c r="B250" s="55" t="s">
        <v>1003</v>
      </c>
      <c r="C250" s="56" t="s">
        <v>1067</v>
      </c>
      <c r="D250" s="55" t="s">
        <v>1068</v>
      </c>
      <c r="E250" s="57" t="n">
        <v>39871</v>
      </c>
      <c r="F250" s="55" t="s">
        <v>25</v>
      </c>
      <c r="G250" s="56" t="s">
        <v>25</v>
      </c>
      <c r="H250" s="55"/>
      <c r="I250" s="55" t="s">
        <v>2621</v>
      </c>
      <c r="J250" s="55" t="s">
        <v>483</v>
      </c>
      <c r="K250" s="55" t="s">
        <v>513</v>
      </c>
      <c r="L250" s="58" t="s">
        <v>2600</v>
      </c>
      <c r="M250" s="56"/>
    </row>
    <row r="251" customFormat="false" ht="25.5" hidden="false" customHeight="true" outlineLevel="0" collapsed="false">
      <c r="A251" s="55" t="n">
        <v>247</v>
      </c>
      <c r="B251" s="55" t="s">
        <v>1003</v>
      </c>
      <c r="C251" s="56" t="s">
        <v>1070</v>
      </c>
      <c r="D251" s="55" t="s">
        <v>2627</v>
      </c>
      <c r="E251" s="57" t="n">
        <v>55593</v>
      </c>
      <c r="F251" s="55" t="s">
        <v>25</v>
      </c>
      <c r="G251" s="56" t="s">
        <v>25</v>
      </c>
      <c r="H251" s="55"/>
      <c r="I251" s="55" t="s">
        <v>2621</v>
      </c>
      <c r="J251" s="55" t="s">
        <v>483</v>
      </c>
      <c r="K251" s="55" t="s">
        <v>513</v>
      </c>
      <c r="L251" s="58" t="s">
        <v>2600</v>
      </c>
      <c r="M251" s="56"/>
    </row>
    <row r="252" customFormat="false" ht="25.5" hidden="false" customHeight="true" outlineLevel="0" collapsed="false">
      <c r="A252" s="55" t="n">
        <v>248</v>
      </c>
      <c r="B252" s="55" t="s">
        <v>1003</v>
      </c>
      <c r="C252" s="56" t="s">
        <v>1072</v>
      </c>
      <c r="D252" s="55" t="s">
        <v>1073</v>
      </c>
      <c r="E252" s="57" t="n">
        <v>97242</v>
      </c>
      <c r="F252" s="55" t="s">
        <v>25</v>
      </c>
      <c r="G252" s="56" t="s">
        <v>25</v>
      </c>
      <c r="H252" s="55"/>
      <c r="I252" s="55" t="s">
        <v>2621</v>
      </c>
      <c r="J252" s="55" t="s">
        <v>483</v>
      </c>
      <c r="K252" s="55" t="s">
        <v>513</v>
      </c>
      <c r="L252" s="58" t="s">
        <v>2600</v>
      </c>
      <c r="M252" s="56"/>
    </row>
    <row r="253" customFormat="false" ht="25.5" hidden="false" customHeight="true" outlineLevel="0" collapsed="false">
      <c r="A253" s="55" t="n">
        <v>249</v>
      </c>
      <c r="B253" s="55" t="s">
        <v>1003</v>
      </c>
      <c r="C253" s="56" t="s">
        <v>1074</v>
      </c>
      <c r="D253" s="55" t="s">
        <v>1075</v>
      </c>
      <c r="E253" s="57" t="n">
        <v>35636</v>
      </c>
      <c r="F253" s="55" t="s">
        <v>25</v>
      </c>
      <c r="G253" s="56" t="s">
        <v>25</v>
      </c>
      <c r="H253" s="55"/>
      <c r="I253" s="55" t="s">
        <v>2621</v>
      </c>
      <c r="J253" s="55" t="s">
        <v>483</v>
      </c>
      <c r="K253" s="55" t="s">
        <v>513</v>
      </c>
      <c r="L253" s="58" t="s">
        <v>2600</v>
      </c>
      <c r="M253" s="56"/>
    </row>
    <row r="254" customFormat="false" ht="25.5" hidden="false" customHeight="true" outlineLevel="0" collapsed="false">
      <c r="A254" s="55" t="n">
        <v>250</v>
      </c>
      <c r="B254" s="55" t="s">
        <v>1003</v>
      </c>
      <c r="C254" s="56" t="s">
        <v>1076</v>
      </c>
      <c r="D254" s="55" t="s">
        <v>1077</v>
      </c>
      <c r="E254" s="57" t="n">
        <v>53108</v>
      </c>
      <c r="F254" s="55" t="s">
        <v>25</v>
      </c>
      <c r="G254" s="56" t="s">
        <v>25</v>
      </c>
      <c r="H254" s="55"/>
      <c r="I254" s="55" t="s">
        <v>2621</v>
      </c>
      <c r="J254" s="55" t="s">
        <v>483</v>
      </c>
      <c r="K254" s="55" t="s">
        <v>513</v>
      </c>
      <c r="L254" s="58" t="s">
        <v>2600</v>
      </c>
      <c r="M254" s="56"/>
    </row>
    <row r="255" customFormat="false" ht="25.5" hidden="false" customHeight="true" outlineLevel="0" collapsed="false">
      <c r="A255" s="55" t="n">
        <v>251</v>
      </c>
      <c r="B255" s="55" t="s">
        <v>1003</v>
      </c>
      <c r="C255" s="56" t="s">
        <v>1078</v>
      </c>
      <c r="D255" s="55"/>
      <c r="E255" s="57" t="n">
        <v>9062</v>
      </c>
      <c r="F255" s="55" t="s">
        <v>25</v>
      </c>
      <c r="G255" s="56" t="s">
        <v>25</v>
      </c>
      <c r="H255" s="55"/>
      <c r="I255" s="55" t="s">
        <v>2621</v>
      </c>
      <c r="J255" s="55" t="s">
        <v>483</v>
      </c>
      <c r="K255" s="55" t="s">
        <v>513</v>
      </c>
      <c r="L255" s="58" t="s">
        <v>2600</v>
      </c>
      <c r="M255" s="56"/>
    </row>
    <row r="256" customFormat="false" ht="25.5" hidden="false" customHeight="true" outlineLevel="0" collapsed="false">
      <c r="A256" s="55" t="n">
        <v>252</v>
      </c>
      <c r="B256" s="55" t="s">
        <v>1003</v>
      </c>
      <c r="C256" s="56" t="s">
        <v>1080</v>
      </c>
      <c r="D256" s="55" t="s">
        <v>1081</v>
      </c>
      <c r="E256" s="57" t="n">
        <v>4696</v>
      </c>
      <c r="F256" s="55" t="s">
        <v>25</v>
      </c>
      <c r="G256" s="56" t="s">
        <v>25</v>
      </c>
      <c r="H256" s="55"/>
      <c r="I256" s="55" t="s">
        <v>2621</v>
      </c>
      <c r="J256" s="55" t="s">
        <v>483</v>
      </c>
      <c r="K256" s="55" t="s">
        <v>513</v>
      </c>
      <c r="L256" s="58" t="s">
        <v>2600</v>
      </c>
      <c r="M256" s="56"/>
    </row>
    <row r="257" customFormat="false" ht="25.5" hidden="false" customHeight="true" outlineLevel="0" collapsed="false">
      <c r="A257" s="55" t="n">
        <v>253</v>
      </c>
      <c r="B257" s="55" t="s">
        <v>1003</v>
      </c>
      <c r="C257" s="56" t="s">
        <v>1082</v>
      </c>
      <c r="D257" s="55" t="s">
        <v>2628</v>
      </c>
      <c r="E257" s="57" t="n">
        <v>84128</v>
      </c>
      <c r="F257" s="55" t="s">
        <v>25</v>
      </c>
      <c r="G257" s="56" t="s">
        <v>25</v>
      </c>
      <c r="H257" s="55"/>
      <c r="I257" s="55" t="s">
        <v>2621</v>
      </c>
      <c r="J257" s="55" t="s">
        <v>483</v>
      </c>
      <c r="K257" s="55" t="s">
        <v>513</v>
      </c>
      <c r="L257" s="58" t="s">
        <v>2600</v>
      </c>
      <c r="M257" s="56"/>
    </row>
    <row r="258" customFormat="false" ht="25.5" hidden="false" customHeight="true" outlineLevel="0" collapsed="false">
      <c r="A258" s="55" t="n">
        <v>254</v>
      </c>
      <c r="B258" s="55" t="s">
        <v>1003</v>
      </c>
      <c r="C258" s="56" t="s">
        <v>1084</v>
      </c>
      <c r="D258" s="55" t="s">
        <v>2629</v>
      </c>
      <c r="E258" s="57" t="n">
        <v>4536</v>
      </c>
      <c r="F258" s="55" t="s">
        <v>25</v>
      </c>
      <c r="G258" s="56" t="s">
        <v>25</v>
      </c>
      <c r="H258" s="55"/>
      <c r="I258" s="55" t="s">
        <v>2621</v>
      </c>
      <c r="J258" s="55" t="s">
        <v>483</v>
      </c>
      <c r="K258" s="55" t="s">
        <v>513</v>
      </c>
      <c r="L258" s="58" t="s">
        <v>2600</v>
      </c>
      <c r="M258" s="56"/>
    </row>
    <row r="259" customFormat="false" ht="38.25" hidden="false" customHeight="true" outlineLevel="0" collapsed="false">
      <c r="A259" s="55" t="n">
        <v>255</v>
      </c>
      <c r="B259" s="55" t="s">
        <v>1003</v>
      </c>
      <c r="C259" s="56" t="s">
        <v>1086</v>
      </c>
      <c r="D259" s="55" t="s">
        <v>1087</v>
      </c>
      <c r="E259" s="57" t="n">
        <v>30177</v>
      </c>
      <c r="F259" s="55" t="s">
        <v>25</v>
      </c>
      <c r="G259" s="56" t="s">
        <v>25</v>
      </c>
      <c r="H259" s="55"/>
      <c r="I259" s="55" t="s">
        <v>2621</v>
      </c>
      <c r="J259" s="55" t="s">
        <v>483</v>
      </c>
      <c r="K259" s="55" t="s">
        <v>513</v>
      </c>
      <c r="L259" s="58" t="s">
        <v>2600</v>
      </c>
      <c r="M259" s="56"/>
    </row>
    <row r="260" customFormat="false" ht="25.5" hidden="false" customHeight="true" outlineLevel="0" collapsed="false">
      <c r="A260" s="55" t="n">
        <v>256</v>
      </c>
      <c r="B260" s="55" t="s">
        <v>1003</v>
      </c>
      <c r="C260" s="56" t="s">
        <v>1088</v>
      </c>
      <c r="D260" s="55" t="s">
        <v>1089</v>
      </c>
      <c r="E260" s="57" t="n">
        <v>30607</v>
      </c>
      <c r="F260" s="55" t="s">
        <v>25</v>
      </c>
      <c r="G260" s="56" t="s">
        <v>25</v>
      </c>
      <c r="H260" s="55"/>
      <c r="I260" s="55" t="s">
        <v>2621</v>
      </c>
      <c r="J260" s="55" t="s">
        <v>483</v>
      </c>
      <c r="K260" s="55" t="s">
        <v>513</v>
      </c>
      <c r="L260" s="58" t="s">
        <v>2600</v>
      </c>
      <c r="M260" s="56"/>
    </row>
    <row r="261" customFormat="false" ht="25.5" hidden="false" customHeight="true" outlineLevel="0" collapsed="false">
      <c r="A261" s="55" t="n">
        <v>257</v>
      </c>
      <c r="B261" s="55" t="s">
        <v>1003</v>
      </c>
      <c r="C261" s="56" t="s">
        <v>1090</v>
      </c>
      <c r="D261" s="55" t="s">
        <v>1091</v>
      </c>
      <c r="E261" s="57" t="n">
        <v>12549</v>
      </c>
      <c r="F261" s="55" t="s">
        <v>25</v>
      </c>
      <c r="G261" s="56" t="s">
        <v>25</v>
      </c>
      <c r="H261" s="55"/>
      <c r="I261" s="55" t="s">
        <v>2621</v>
      </c>
      <c r="J261" s="55" t="s">
        <v>483</v>
      </c>
      <c r="K261" s="55" t="s">
        <v>513</v>
      </c>
      <c r="L261" s="58" t="s">
        <v>2600</v>
      </c>
      <c r="M261" s="56"/>
    </row>
    <row r="262" customFormat="false" ht="51" hidden="false" customHeight="true" outlineLevel="0" collapsed="false">
      <c r="A262" s="55" t="n">
        <v>258</v>
      </c>
      <c r="B262" s="55" t="s">
        <v>1092</v>
      </c>
      <c r="C262" s="56" t="s">
        <v>1093</v>
      </c>
      <c r="D262" s="55" t="s">
        <v>1094</v>
      </c>
      <c r="E262" s="57" t="n">
        <v>38036</v>
      </c>
      <c r="F262" s="55" t="s">
        <v>2467</v>
      </c>
      <c r="G262" s="56" t="s">
        <v>2630</v>
      </c>
      <c r="H262" s="55"/>
      <c r="I262" s="55" t="s">
        <v>2630</v>
      </c>
      <c r="J262" s="55" t="s">
        <v>276</v>
      </c>
      <c r="K262" s="55" t="s">
        <v>513</v>
      </c>
      <c r="L262" s="58" t="s">
        <v>2469</v>
      </c>
      <c r="M262" s="56"/>
    </row>
    <row r="263" customFormat="false" ht="25.5" hidden="false" customHeight="true" outlineLevel="0" collapsed="false">
      <c r="A263" s="55" t="n">
        <v>259</v>
      </c>
      <c r="B263" s="55" t="s">
        <v>1092</v>
      </c>
      <c r="C263" s="56" t="s">
        <v>1096</v>
      </c>
      <c r="D263" s="55" t="s">
        <v>1097</v>
      </c>
      <c r="E263" s="57" t="n">
        <v>13582</v>
      </c>
      <c r="F263" s="55" t="s">
        <v>2467</v>
      </c>
      <c r="G263" s="56" t="s">
        <v>2470</v>
      </c>
      <c r="H263" s="59"/>
      <c r="I263" s="55" t="s">
        <v>2630</v>
      </c>
      <c r="J263" s="55" t="s">
        <v>276</v>
      </c>
      <c r="K263" s="55" t="s">
        <v>513</v>
      </c>
      <c r="L263" s="61" t="s">
        <v>2476</v>
      </c>
      <c r="M263" s="56"/>
    </row>
    <row r="264" customFormat="false" ht="25.5" hidden="false" customHeight="true" outlineLevel="0" collapsed="false">
      <c r="A264" s="55" t="n">
        <v>260</v>
      </c>
      <c r="B264" s="55" t="s">
        <v>1092</v>
      </c>
      <c r="C264" s="56" t="s">
        <v>1099</v>
      </c>
      <c r="D264" s="55" t="s">
        <v>2631</v>
      </c>
      <c r="E264" s="57" t="n">
        <v>10902</v>
      </c>
      <c r="F264" s="55" t="s">
        <v>2467</v>
      </c>
      <c r="G264" s="56" t="s">
        <v>2470</v>
      </c>
      <c r="H264" s="59"/>
      <c r="I264" s="55" t="s">
        <v>2630</v>
      </c>
      <c r="J264" s="55" t="s">
        <v>276</v>
      </c>
      <c r="K264" s="55" t="s">
        <v>513</v>
      </c>
      <c r="L264" s="61" t="s">
        <v>2476</v>
      </c>
      <c r="M264" s="56"/>
    </row>
    <row r="265" customFormat="false" ht="25.5" hidden="false" customHeight="true" outlineLevel="0" collapsed="false">
      <c r="A265" s="55" t="n">
        <v>261</v>
      </c>
      <c r="B265" s="55" t="s">
        <v>1092</v>
      </c>
      <c r="C265" s="56" t="s">
        <v>1101</v>
      </c>
      <c r="D265" s="55" t="s">
        <v>2632</v>
      </c>
      <c r="E265" s="57" t="n">
        <v>25157</v>
      </c>
      <c r="F265" s="55" t="s">
        <v>2467</v>
      </c>
      <c r="G265" s="56" t="s">
        <v>2470</v>
      </c>
      <c r="H265" s="59"/>
      <c r="I265" s="55" t="s">
        <v>2630</v>
      </c>
      <c r="J265" s="55" t="s">
        <v>276</v>
      </c>
      <c r="K265" s="55" t="s">
        <v>513</v>
      </c>
      <c r="L265" s="61" t="s">
        <v>2476</v>
      </c>
      <c r="M265" s="56"/>
    </row>
    <row r="266" customFormat="false" ht="25.5" hidden="false" customHeight="true" outlineLevel="0" collapsed="false">
      <c r="A266" s="55" t="n">
        <v>262</v>
      </c>
      <c r="B266" s="55" t="s">
        <v>1092</v>
      </c>
      <c r="C266" s="56" t="s">
        <v>1103</v>
      </c>
      <c r="D266" s="55" t="s">
        <v>2633</v>
      </c>
      <c r="E266" s="57" t="n">
        <v>27498</v>
      </c>
      <c r="F266" s="55" t="s">
        <v>2467</v>
      </c>
      <c r="G266" s="56" t="s">
        <v>2470</v>
      </c>
      <c r="H266" s="59"/>
      <c r="I266" s="55" t="s">
        <v>2630</v>
      </c>
      <c r="J266" s="55" t="s">
        <v>276</v>
      </c>
      <c r="K266" s="55" t="s">
        <v>513</v>
      </c>
      <c r="L266" s="61" t="s">
        <v>2476</v>
      </c>
      <c r="M266" s="56"/>
    </row>
    <row r="267" customFormat="false" ht="25.5" hidden="false" customHeight="true" outlineLevel="0" collapsed="false">
      <c r="A267" s="55" t="n">
        <v>263</v>
      </c>
      <c r="B267" s="55" t="s">
        <v>1092</v>
      </c>
      <c r="C267" s="56" t="s">
        <v>1105</v>
      </c>
      <c r="D267" s="55" t="s">
        <v>1106</v>
      </c>
      <c r="E267" s="57" t="n">
        <v>23174</v>
      </c>
      <c r="F267" s="55" t="s">
        <v>2467</v>
      </c>
      <c r="G267" s="56" t="s">
        <v>2470</v>
      </c>
      <c r="H267" s="59"/>
      <c r="I267" s="55" t="s">
        <v>2630</v>
      </c>
      <c r="J267" s="55" t="s">
        <v>276</v>
      </c>
      <c r="K267" s="55" t="s">
        <v>513</v>
      </c>
      <c r="L267" s="61" t="s">
        <v>2476</v>
      </c>
      <c r="M267" s="56"/>
    </row>
    <row r="268" customFormat="false" ht="25.5" hidden="false" customHeight="true" outlineLevel="0" collapsed="false">
      <c r="A268" s="55" t="n">
        <v>264</v>
      </c>
      <c r="B268" s="55" t="s">
        <v>1092</v>
      </c>
      <c r="C268" s="56" t="s">
        <v>1107</v>
      </c>
      <c r="D268" s="55" t="s">
        <v>1108</v>
      </c>
      <c r="E268" s="57" t="n">
        <v>8270</v>
      </c>
      <c r="F268" s="55" t="s">
        <v>2467</v>
      </c>
      <c r="G268" s="56" t="s">
        <v>2470</v>
      </c>
      <c r="H268" s="59"/>
      <c r="I268" s="55" t="s">
        <v>2630</v>
      </c>
      <c r="J268" s="55" t="s">
        <v>276</v>
      </c>
      <c r="K268" s="55" t="s">
        <v>513</v>
      </c>
      <c r="L268" s="61" t="s">
        <v>2476</v>
      </c>
      <c r="M268" s="56"/>
    </row>
    <row r="269" customFormat="false" ht="51" hidden="false" customHeight="true" outlineLevel="0" collapsed="false">
      <c r="A269" s="55" t="n">
        <v>265</v>
      </c>
      <c r="B269" s="55" t="s">
        <v>1092</v>
      </c>
      <c r="C269" s="56" t="s">
        <v>1109</v>
      </c>
      <c r="D269" s="55" t="s">
        <v>2634</v>
      </c>
      <c r="E269" s="57" t="n">
        <v>27335</v>
      </c>
      <c r="F269" s="55" t="s">
        <v>2467</v>
      </c>
      <c r="G269" s="56" t="s">
        <v>2635</v>
      </c>
      <c r="H269" s="55"/>
      <c r="I269" s="55" t="s">
        <v>2635</v>
      </c>
      <c r="J269" s="55" t="s">
        <v>280</v>
      </c>
      <c r="K269" s="55" t="s">
        <v>502</v>
      </c>
      <c r="L269" s="58" t="s">
        <v>2469</v>
      </c>
      <c r="M269" s="56"/>
    </row>
    <row r="270" customFormat="false" ht="51" hidden="false" customHeight="true" outlineLevel="0" collapsed="false">
      <c r="A270" s="55" t="n">
        <v>266</v>
      </c>
      <c r="B270" s="55" t="s">
        <v>1092</v>
      </c>
      <c r="C270" s="56" t="s">
        <v>1112</v>
      </c>
      <c r="D270" s="55" t="s">
        <v>1113</v>
      </c>
      <c r="E270" s="57" t="n">
        <v>25645</v>
      </c>
      <c r="F270" s="55" t="s">
        <v>2467</v>
      </c>
      <c r="G270" s="56" t="s">
        <v>2636</v>
      </c>
      <c r="H270" s="55"/>
      <c r="I270" s="55" t="s">
        <v>2636</v>
      </c>
      <c r="J270" s="55" t="s">
        <v>280</v>
      </c>
      <c r="K270" s="55" t="s">
        <v>502</v>
      </c>
      <c r="L270" s="58" t="s">
        <v>2469</v>
      </c>
      <c r="M270" s="56"/>
    </row>
    <row r="271" customFormat="false" ht="38.25" hidden="false" customHeight="true" outlineLevel="0" collapsed="false">
      <c r="A271" s="55" t="n">
        <v>267</v>
      </c>
      <c r="B271" s="55" t="s">
        <v>1092</v>
      </c>
      <c r="C271" s="56" t="s">
        <v>1115</v>
      </c>
      <c r="D271" s="55" t="s">
        <v>2637</v>
      </c>
      <c r="E271" s="57" t="n">
        <v>4154</v>
      </c>
      <c r="F271" s="55" t="s">
        <v>2467</v>
      </c>
      <c r="G271" s="56" t="s">
        <v>2630</v>
      </c>
      <c r="H271" s="55"/>
      <c r="I271" s="55" t="s">
        <v>2630</v>
      </c>
      <c r="J271" s="55" t="s">
        <v>276</v>
      </c>
      <c r="K271" s="55" t="s">
        <v>513</v>
      </c>
      <c r="L271" s="58" t="s">
        <v>2469</v>
      </c>
      <c r="M271" s="56"/>
    </row>
    <row r="272" customFormat="false" ht="51" hidden="false" customHeight="true" outlineLevel="0" collapsed="false">
      <c r="A272" s="55" t="n">
        <v>268</v>
      </c>
      <c r="B272" s="55" t="s">
        <v>1092</v>
      </c>
      <c r="C272" s="56" t="s">
        <v>1117</v>
      </c>
      <c r="D272" s="55" t="s">
        <v>2638</v>
      </c>
      <c r="E272" s="57" t="n">
        <v>38532</v>
      </c>
      <c r="F272" s="55" t="s">
        <v>2467</v>
      </c>
      <c r="G272" s="56" t="s">
        <v>2630</v>
      </c>
      <c r="H272" s="55"/>
      <c r="I272" s="55" t="s">
        <v>2630</v>
      </c>
      <c r="J272" s="55" t="s">
        <v>276</v>
      </c>
      <c r="K272" s="55" t="s">
        <v>513</v>
      </c>
      <c r="L272" s="58" t="s">
        <v>2469</v>
      </c>
      <c r="M272" s="56"/>
    </row>
    <row r="273" customFormat="false" ht="51" hidden="false" customHeight="true" outlineLevel="0" collapsed="false">
      <c r="A273" s="55" t="n">
        <v>269</v>
      </c>
      <c r="B273" s="55" t="s">
        <v>1092</v>
      </c>
      <c r="C273" s="56" t="s">
        <v>1119</v>
      </c>
      <c r="D273" s="55" t="s">
        <v>1120</v>
      </c>
      <c r="E273" s="57" t="n">
        <v>60885</v>
      </c>
      <c r="F273" s="55" t="s">
        <v>2467</v>
      </c>
      <c r="G273" s="56" t="s">
        <v>2630</v>
      </c>
      <c r="H273" s="55"/>
      <c r="I273" s="55" t="s">
        <v>2630</v>
      </c>
      <c r="J273" s="55" t="s">
        <v>276</v>
      </c>
      <c r="K273" s="55" t="s">
        <v>513</v>
      </c>
      <c r="L273" s="58" t="s">
        <v>2469</v>
      </c>
      <c r="M273" s="56"/>
    </row>
    <row r="274" customFormat="false" ht="51" hidden="false" customHeight="true" outlineLevel="0" collapsed="false">
      <c r="A274" s="55" t="n">
        <v>270</v>
      </c>
      <c r="B274" s="55" t="s">
        <v>1092</v>
      </c>
      <c r="C274" s="56" t="s">
        <v>1121</v>
      </c>
      <c r="D274" s="55" t="s">
        <v>2639</v>
      </c>
      <c r="E274" s="57" t="n">
        <v>53213</v>
      </c>
      <c r="F274" s="55" t="s">
        <v>2467</v>
      </c>
      <c r="G274" s="56" t="s">
        <v>2630</v>
      </c>
      <c r="H274" s="55"/>
      <c r="I274" s="55" t="s">
        <v>2630</v>
      </c>
      <c r="J274" s="55" t="s">
        <v>276</v>
      </c>
      <c r="K274" s="55" t="s">
        <v>513</v>
      </c>
      <c r="L274" s="58" t="s">
        <v>2469</v>
      </c>
      <c r="M274" s="56"/>
    </row>
    <row r="275" customFormat="false" ht="38.25" hidden="false" customHeight="true" outlineLevel="0" collapsed="false">
      <c r="A275" s="55" t="n">
        <v>271</v>
      </c>
      <c r="B275" s="55" t="s">
        <v>1092</v>
      </c>
      <c r="C275" s="56" t="s">
        <v>1123</v>
      </c>
      <c r="D275" s="55" t="s">
        <v>1124</v>
      </c>
      <c r="E275" s="57" t="n">
        <v>38474</v>
      </c>
      <c r="F275" s="55" t="s">
        <v>2467</v>
      </c>
      <c r="G275" s="56" t="s">
        <v>2630</v>
      </c>
      <c r="H275" s="55"/>
      <c r="I275" s="55" t="s">
        <v>2630</v>
      </c>
      <c r="J275" s="55" t="s">
        <v>276</v>
      </c>
      <c r="K275" s="55" t="s">
        <v>513</v>
      </c>
      <c r="L275" s="58" t="s">
        <v>2469</v>
      </c>
      <c r="M275" s="56"/>
    </row>
    <row r="276" customFormat="false" ht="25.5" hidden="false" customHeight="true" outlineLevel="0" collapsed="false">
      <c r="A276" s="55" t="n">
        <v>272</v>
      </c>
      <c r="B276" s="55" t="s">
        <v>1092</v>
      </c>
      <c r="C276" s="56" t="s">
        <v>1125</v>
      </c>
      <c r="D276" s="55" t="s">
        <v>2640</v>
      </c>
      <c r="E276" s="57" t="n">
        <v>25087</v>
      </c>
      <c r="F276" s="55" t="s">
        <v>2467</v>
      </c>
      <c r="G276" s="56" t="s">
        <v>2641</v>
      </c>
      <c r="H276" s="55"/>
      <c r="I276" s="55" t="s">
        <v>2641</v>
      </c>
      <c r="J276" s="55" t="s">
        <v>280</v>
      </c>
      <c r="K276" s="55" t="s">
        <v>502</v>
      </c>
      <c r="L276" s="58" t="s">
        <v>2469</v>
      </c>
      <c r="M276" s="56"/>
    </row>
    <row r="277" customFormat="false" ht="25.5" hidden="false" customHeight="true" outlineLevel="0" collapsed="false">
      <c r="A277" s="55" t="n">
        <v>273</v>
      </c>
      <c r="B277" s="55" t="s">
        <v>1092</v>
      </c>
      <c r="C277" s="56" t="s">
        <v>1128</v>
      </c>
      <c r="D277" s="55" t="s">
        <v>2642</v>
      </c>
      <c r="E277" s="57" t="n">
        <v>23077</v>
      </c>
      <c r="F277" s="55" t="s">
        <v>2467</v>
      </c>
      <c r="G277" s="56" t="s">
        <v>2643</v>
      </c>
      <c r="H277" s="55"/>
      <c r="I277" s="55" t="s">
        <v>2643</v>
      </c>
      <c r="J277" s="55" t="s">
        <v>280</v>
      </c>
      <c r="K277" s="55" t="s">
        <v>502</v>
      </c>
      <c r="L277" s="58" t="s">
        <v>2469</v>
      </c>
      <c r="M277" s="56"/>
    </row>
    <row r="278" customFormat="false" ht="38.25" hidden="false" customHeight="true" outlineLevel="0" collapsed="false">
      <c r="A278" s="55" t="n">
        <v>274</v>
      </c>
      <c r="B278" s="55" t="s">
        <v>1092</v>
      </c>
      <c r="C278" s="56" t="s">
        <v>1131</v>
      </c>
      <c r="D278" s="55" t="s">
        <v>2644</v>
      </c>
      <c r="E278" s="57" t="n">
        <v>15809</v>
      </c>
      <c r="F278" s="55" t="s">
        <v>2467</v>
      </c>
      <c r="G278" s="56" t="s">
        <v>2470</v>
      </c>
      <c r="H278" s="59"/>
      <c r="I278" s="55" t="s">
        <v>2630</v>
      </c>
      <c r="J278" s="55" t="s">
        <v>276</v>
      </c>
      <c r="K278" s="55" t="s">
        <v>513</v>
      </c>
      <c r="L278" s="61" t="s">
        <v>2476</v>
      </c>
      <c r="M278" s="56"/>
    </row>
    <row r="279" customFormat="false" ht="38.25" hidden="false" customHeight="true" outlineLevel="0" collapsed="false">
      <c r="A279" s="55" t="n">
        <v>275</v>
      </c>
      <c r="B279" s="55" t="s">
        <v>1092</v>
      </c>
      <c r="C279" s="56" t="s">
        <v>1133</v>
      </c>
      <c r="D279" s="55" t="s">
        <v>2645</v>
      </c>
      <c r="E279" s="57" t="n">
        <v>48087</v>
      </c>
      <c r="F279" s="55" t="s">
        <v>2467</v>
      </c>
      <c r="G279" s="56" t="s">
        <v>2646</v>
      </c>
      <c r="H279" s="55"/>
      <c r="I279" s="55" t="s">
        <v>2646</v>
      </c>
      <c r="J279" s="55" t="s">
        <v>280</v>
      </c>
      <c r="K279" s="55" t="s">
        <v>502</v>
      </c>
      <c r="L279" s="58" t="s">
        <v>2469</v>
      </c>
      <c r="M279" s="56"/>
    </row>
    <row r="280" customFormat="false" ht="38.25" hidden="false" customHeight="true" outlineLevel="0" collapsed="false">
      <c r="A280" s="55" t="n">
        <v>276</v>
      </c>
      <c r="B280" s="55" t="s">
        <v>1092</v>
      </c>
      <c r="C280" s="56" t="s">
        <v>1136</v>
      </c>
      <c r="D280" s="55" t="s">
        <v>2647</v>
      </c>
      <c r="E280" s="57" t="n">
        <v>29219</v>
      </c>
      <c r="F280" s="55" t="s">
        <v>2467</v>
      </c>
      <c r="G280" s="56" t="s">
        <v>2648</v>
      </c>
      <c r="H280" s="55"/>
      <c r="I280" s="55" t="s">
        <v>2648</v>
      </c>
      <c r="J280" s="55" t="s">
        <v>280</v>
      </c>
      <c r="K280" s="55" t="s">
        <v>502</v>
      </c>
      <c r="L280" s="58" t="s">
        <v>2469</v>
      </c>
      <c r="M280" s="56"/>
    </row>
    <row r="281" customFormat="false" ht="38.25" hidden="false" customHeight="true" outlineLevel="0" collapsed="false">
      <c r="A281" s="55" t="n">
        <v>277</v>
      </c>
      <c r="B281" s="55" t="s">
        <v>1092</v>
      </c>
      <c r="C281" s="56" t="s">
        <v>1139</v>
      </c>
      <c r="D281" s="55" t="s">
        <v>2649</v>
      </c>
      <c r="E281" s="57" t="n">
        <v>70414</v>
      </c>
      <c r="F281" s="55" t="s">
        <v>2467</v>
      </c>
      <c r="G281" s="56" t="s">
        <v>2650</v>
      </c>
      <c r="H281" s="55"/>
      <c r="I281" s="55" t="s">
        <v>2650</v>
      </c>
      <c r="J281" s="55" t="s">
        <v>280</v>
      </c>
      <c r="K281" s="55" t="s">
        <v>502</v>
      </c>
      <c r="L281" s="58" t="s">
        <v>2469</v>
      </c>
      <c r="M281" s="56"/>
    </row>
    <row r="282" customFormat="false" ht="25.5" hidden="false" customHeight="true" outlineLevel="0" collapsed="false">
      <c r="A282" s="55" t="n">
        <v>278</v>
      </c>
      <c r="B282" s="55" t="s">
        <v>1092</v>
      </c>
      <c r="C282" s="56" t="s">
        <v>1142</v>
      </c>
      <c r="D282" s="55" t="s">
        <v>1143</v>
      </c>
      <c r="E282" s="57" t="n">
        <v>55119</v>
      </c>
      <c r="F282" s="55" t="s">
        <v>2467</v>
      </c>
      <c r="G282" s="56" t="s">
        <v>2630</v>
      </c>
      <c r="H282" s="55"/>
      <c r="I282" s="55" t="s">
        <v>2630</v>
      </c>
      <c r="J282" s="55" t="s">
        <v>276</v>
      </c>
      <c r="K282" s="55" t="s">
        <v>513</v>
      </c>
      <c r="L282" s="58" t="s">
        <v>2469</v>
      </c>
      <c r="M282" s="56"/>
    </row>
    <row r="283" customFormat="false" ht="51" hidden="false" customHeight="true" outlineLevel="0" collapsed="false">
      <c r="A283" s="55" t="n">
        <v>279</v>
      </c>
      <c r="B283" s="55" t="s">
        <v>1092</v>
      </c>
      <c r="C283" s="56" t="s">
        <v>1144</v>
      </c>
      <c r="D283" s="55" t="s">
        <v>2651</v>
      </c>
      <c r="E283" s="57" t="n">
        <v>44137</v>
      </c>
      <c r="F283" s="55" t="s">
        <v>2467</v>
      </c>
      <c r="G283" s="56" t="s">
        <v>2630</v>
      </c>
      <c r="H283" s="55"/>
      <c r="I283" s="55" t="s">
        <v>2630</v>
      </c>
      <c r="J283" s="55" t="s">
        <v>276</v>
      </c>
      <c r="K283" s="55" t="s">
        <v>513</v>
      </c>
      <c r="L283" s="58" t="s">
        <v>2469</v>
      </c>
      <c r="M283" s="56"/>
    </row>
    <row r="284" customFormat="false" ht="25.5" hidden="false" customHeight="true" outlineLevel="0" collapsed="false">
      <c r="A284" s="55" t="n">
        <v>280</v>
      </c>
      <c r="B284" s="55" t="s">
        <v>1146</v>
      </c>
      <c r="C284" s="56" t="s">
        <v>1147</v>
      </c>
      <c r="D284" s="55" t="s">
        <v>1148</v>
      </c>
      <c r="E284" s="57" t="n">
        <v>2882</v>
      </c>
      <c r="F284" s="55" t="s">
        <v>2467</v>
      </c>
      <c r="G284" s="56" t="s">
        <v>2470</v>
      </c>
      <c r="H284" s="59"/>
      <c r="I284" s="55" t="s">
        <v>2652</v>
      </c>
      <c r="J284" s="55" t="s">
        <v>276</v>
      </c>
      <c r="K284" s="55" t="s">
        <v>513</v>
      </c>
      <c r="L284" s="61" t="s">
        <v>2476</v>
      </c>
      <c r="M284" s="56"/>
    </row>
    <row r="285" customFormat="false" ht="25.5" hidden="false" customHeight="true" outlineLevel="0" collapsed="false">
      <c r="A285" s="55" t="n">
        <v>281</v>
      </c>
      <c r="B285" s="55" t="s">
        <v>1146</v>
      </c>
      <c r="C285" s="56" t="s">
        <v>1150</v>
      </c>
      <c r="D285" s="55" t="s">
        <v>1151</v>
      </c>
      <c r="E285" s="57" t="n">
        <v>2526</v>
      </c>
      <c r="F285" s="55" t="s">
        <v>2467</v>
      </c>
      <c r="G285" s="56" t="s">
        <v>2470</v>
      </c>
      <c r="H285" s="59"/>
      <c r="I285" s="55" t="s">
        <v>2652</v>
      </c>
      <c r="J285" s="55" t="s">
        <v>276</v>
      </c>
      <c r="K285" s="55" t="s">
        <v>513</v>
      </c>
      <c r="L285" s="61" t="s">
        <v>2476</v>
      </c>
      <c r="M285" s="56"/>
    </row>
    <row r="286" customFormat="false" ht="25.5" hidden="false" customHeight="true" outlineLevel="0" collapsed="false">
      <c r="A286" s="55" t="n">
        <v>282</v>
      </c>
      <c r="B286" s="55" t="s">
        <v>1146</v>
      </c>
      <c r="C286" s="56" t="s">
        <v>1152</v>
      </c>
      <c r="D286" s="55" t="s">
        <v>1153</v>
      </c>
      <c r="E286" s="57" t="n">
        <v>12834</v>
      </c>
      <c r="F286" s="55" t="s">
        <v>2467</v>
      </c>
      <c r="G286" s="56" t="s">
        <v>2470</v>
      </c>
      <c r="H286" s="59"/>
      <c r="I286" s="55" t="s">
        <v>2652</v>
      </c>
      <c r="J286" s="55" t="s">
        <v>276</v>
      </c>
      <c r="K286" s="55" t="s">
        <v>513</v>
      </c>
      <c r="L286" s="61" t="s">
        <v>2476</v>
      </c>
      <c r="M286" s="56"/>
    </row>
    <row r="287" customFormat="false" ht="25.5" hidden="false" customHeight="true" outlineLevel="0" collapsed="false">
      <c r="A287" s="55" t="n">
        <v>283</v>
      </c>
      <c r="B287" s="55" t="s">
        <v>1146</v>
      </c>
      <c r="C287" s="56" t="s">
        <v>1154</v>
      </c>
      <c r="D287" s="55" t="s">
        <v>1155</v>
      </c>
      <c r="E287" s="57" t="n">
        <v>37322</v>
      </c>
      <c r="F287" s="55" t="s">
        <v>2467</v>
      </c>
      <c r="G287" s="56" t="s">
        <v>2470</v>
      </c>
      <c r="H287" s="59"/>
      <c r="I287" s="55" t="s">
        <v>2652</v>
      </c>
      <c r="J287" s="55" t="s">
        <v>276</v>
      </c>
      <c r="K287" s="55" t="s">
        <v>513</v>
      </c>
      <c r="L287" s="61" t="s">
        <v>2476</v>
      </c>
      <c r="M287" s="56"/>
    </row>
    <row r="288" customFormat="false" ht="25.5" hidden="false" customHeight="true" outlineLevel="0" collapsed="false">
      <c r="A288" s="55" t="n">
        <v>284</v>
      </c>
      <c r="B288" s="55" t="s">
        <v>1146</v>
      </c>
      <c r="C288" s="56" t="s">
        <v>1156</v>
      </c>
      <c r="D288" s="55" t="s">
        <v>1157</v>
      </c>
      <c r="E288" s="57" t="n">
        <v>24964</v>
      </c>
      <c r="F288" s="55" t="s">
        <v>2467</v>
      </c>
      <c r="G288" s="56" t="s">
        <v>2470</v>
      </c>
      <c r="H288" s="59"/>
      <c r="I288" s="55" t="s">
        <v>2652</v>
      </c>
      <c r="J288" s="55" t="s">
        <v>276</v>
      </c>
      <c r="K288" s="55" t="s">
        <v>513</v>
      </c>
      <c r="L288" s="61" t="s">
        <v>2476</v>
      </c>
      <c r="M288" s="56"/>
    </row>
    <row r="289" customFormat="false" ht="25.5" hidden="false" customHeight="true" outlineLevel="0" collapsed="false">
      <c r="A289" s="55" t="n">
        <v>285</v>
      </c>
      <c r="B289" s="55" t="s">
        <v>1146</v>
      </c>
      <c r="C289" s="56" t="s">
        <v>1158</v>
      </c>
      <c r="D289" s="55" t="s">
        <v>1159</v>
      </c>
      <c r="E289" s="57" t="n">
        <v>18759</v>
      </c>
      <c r="F289" s="55" t="s">
        <v>2467</v>
      </c>
      <c r="G289" s="56" t="s">
        <v>2470</v>
      </c>
      <c r="H289" s="59"/>
      <c r="I289" s="55" t="s">
        <v>2652</v>
      </c>
      <c r="J289" s="55" t="s">
        <v>276</v>
      </c>
      <c r="K289" s="55" t="s">
        <v>513</v>
      </c>
      <c r="L289" s="61" t="s">
        <v>2476</v>
      </c>
      <c r="M289" s="56"/>
    </row>
    <row r="290" customFormat="false" ht="25.5" hidden="false" customHeight="true" outlineLevel="0" collapsed="false">
      <c r="A290" s="55" t="n">
        <v>286</v>
      </c>
      <c r="B290" s="55" t="s">
        <v>1146</v>
      </c>
      <c r="C290" s="56" t="s">
        <v>1160</v>
      </c>
      <c r="D290" s="55" t="s">
        <v>1161</v>
      </c>
      <c r="E290" s="57" t="n">
        <v>30088</v>
      </c>
      <c r="F290" s="55" t="s">
        <v>2467</v>
      </c>
      <c r="G290" s="56" t="s">
        <v>2470</v>
      </c>
      <c r="H290" s="59"/>
      <c r="I290" s="55" t="s">
        <v>2652</v>
      </c>
      <c r="J290" s="55" t="s">
        <v>276</v>
      </c>
      <c r="K290" s="55" t="s">
        <v>513</v>
      </c>
      <c r="L290" s="61" t="s">
        <v>2476</v>
      </c>
      <c r="M290" s="56"/>
    </row>
    <row r="291" customFormat="false" ht="25.5" hidden="false" customHeight="true" outlineLevel="0" collapsed="false">
      <c r="A291" s="55" t="n">
        <v>287</v>
      </c>
      <c r="B291" s="55" t="s">
        <v>1146</v>
      </c>
      <c r="C291" s="56" t="s">
        <v>1162</v>
      </c>
      <c r="D291" s="55" t="s">
        <v>1163</v>
      </c>
      <c r="E291" s="57" t="n">
        <v>14808</v>
      </c>
      <c r="F291" s="55" t="s">
        <v>2467</v>
      </c>
      <c r="G291" s="56" t="s">
        <v>2470</v>
      </c>
      <c r="H291" s="59"/>
      <c r="I291" s="55" t="s">
        <v>2652</v>
      </c>
      <c r="J291" s="55" t="s">
        <v>276</v>
      </c>
      <c r="K291" s="55" t="s">
        <v>513</v>
      </c>
      <c r="L291" s="61" t="s">
        <v>2476</v>
      </c>
      <c r="M291" s="56"/>
    </row>
    <row r="292" customFormat="false" ht="25.5" hidden="false" customHeight="true" outlineLevel="0" collapsed="false">
      <c r="A292" s="55" t="n">
        <v>288</v>
      </c>
      <c r="B292" s="55" t="s">
        <v>1146</v>
      </c>
      <c r="C292" s="56" t="s">
        <v>1164</v>
      </c>
      <c r="D292" s="55" t="s">
        <v>1165</v>
      </c>
      <c r="E292" s="57" t="n">
        <v>22850</v>
      </c>
      <c r="F292" s="55" t="s">
        <v>2467</v>
      </c>
      <c r="G292" s="56" t="s">
        <v>2470</v>
      </c>
      <c r="H292" s="59"/>
      <c r="I292" s="55" t="s">
        <v>2652</v>
      </c>
      <c r="J292" s="55" t="s">
        <v>276</v>
      </c>
      <c r="K292" s="55" t="s">
        <v>513</v>
      </c>
      <c r="L292" s="61" t="s">
        <v>2476</v>
      </c>
      <c r="M292" s="56"/>
    </row>
    <row r="293" customFormat="false" ht="25.5" hidden="false" customHeight="true" outlineLevel="0" collapsed="false">
      <c r="A293" s="55" t="n">
        <v>289</v>
      </c>
      <c r="B293" s="55" t="s">
        <v>1146</v>
      </c>
      <c r="C293" s="56" t="s">
        <v>1166</v>
      </c>
      <c r="D293" s="55" t="s">
        <v>1167</v>
      </c>
      <c r="E293" s="57" t="n">
        <v>36164</v>
      </c>
      <c r="F293" s="55" t="s">
        <v>2467</v>
      </c>
      <c r="G293" s="56" t="s">
        <v>2470</v>
      </c>
      <c r="H293" s="59"/>
      <c r="I293" s="55" t="s">
        <v>2652</v>
      </c>
      <c r="J293" s="55" t="s">
        <v>276</v>
      </c>
      <c r="K293" s="55" t="s">
        <v>513</v>
      </c>
      <c r="L293" s="61" t="s">
        <v>2476</v>
      </c>
      <c r="M293" s="56"/>
    </row>
    <row r="294" customFormat="false" ht="51" hidden="false" customHeight="true" outlineLevel="0" collapsed="false">
      <c r="A294" s="55" t="n">
        <v>290</v>
      </c>
      <c r="B294" s="55" t="s">
        <v>1146</v>
      </c>
      <c r="C294" s="56" t="s">
        <v>1178</v>
      </c>
      <c r="D294" s="55" t="s">
        <v>2653</v>
      </c>
      <c r="E294" s="57" t="n">
        <v>28227</v>
      </c>
      <c r="F294" s="55" t="s">
        <v>2467</v>
      </c>
      <c r="G294" s="56" t="s">
        <v>2654</v>
      </c>
      <c r="H294" s="55"/>
      <c r="I294" s="55" t="s">
        <v>2654</v>
      </c>
      <c r="J294" s="55" t="s">
        <v>280</v>
      </c>
      <c r="K294" s="55" t="s">
        <v>502</v>
      </c>
      <c r="L294" s="58" t="s">
        <v>2469</v>
      </c>
      <c r="M294" s="56"/>
    </row>
    <row r="295" customFormat="false" ht="25.5" hidden="false" customHeight="true" outlineLevel="0" collapsed="false">
      <c r="A295" s="55" t="n">
        <v>291</v>
      </c>
      <c r="B295" s="55" t="s">
        <v>1146</v>
      </c>
      <c r="C295" s="56" t="s">
        <v>1172</v>
      </c>
      <c r="D295" s="55" t="s">
        <v>1173</v>
      </c>
      <c r="E295" s="57" t="n">
        <v>19022</v>
      </c>
      <c r="F295" s="55" t="s">
        <v>2467</v>
      </c>
      <c r="G295" s="56" t="s">
        <v>2470</v>
      </c>
      <c r="H295" s="59"/>
      <c r="I295" s="55" t="s">
        <v>2652</v>
      </c>
      <c r="J295" s="55" t="s">
        <v>276</v>
      </c>
      <c r="K295" s="55" t="s">
        <v>513</v>
      </c>
      <c r="L295" s="61" t="s">
        <v>2476</v>
      </c>
      <c r="M295" s="56"/>
    </row>
    <row r="296" customFormat="false" ht="51" hidden="false" customHeight="true" outlineLevel="0" collapsed="false">
      <c r="A296" s="55" t="n">
        <v>292</v>
      </c>
      <c r="B296" s="55" t="s">
        <v>1146</v>
      </c>
      <c r="C296" s="56" t="s">
        <v>1174</v>
      </c>
      <c r="D296" s="55" t="s">
        <v>2655</v>
      </c>
      <c r="E296" s="57" t="n">
        <v>8639</v>
      </c>
      <c r="F296" s="55" t="s">
        <v>2467</v>
      </c>
      <c r="G296" s="56" t="s">
        <v>2656</v>
      </c>
      <c r="H296" s="55"/>
      <c r="I296" s="55" t="s">
        <v>2656</v>
      </c>
      <c r="J296" s="55" t="s">
        <v>280</v>
      </c>
      <c r="K296" s="55" t="s">
        <v>502</v>
      </c>
      <c r="L296" s="58" t="s">
        <v>2469</v>
      </c>
      <c r="M296" s="56"/>
    </row>
    <row r="297" customFormat="false" ht="51" hidden="false" customHeight="true" outlineLevel="0" collapsed="false">
      <c r="A297" s="55" t="n">
        <v>293</v>
      </c>
      <c r="B297" s="55" t="s">
        <v>1146</v>
      </c>
      <c r="C297" s="56" t="s">
        <v>1168</v>
      </c>
      <c r="D297" s="55" t="s">
        <v>2657</v>
      </c>
      <c r="E297" s="57" t="n">
        <v>9530</v>
      </c>
      <c r="F297" s="55" t="s">
        <v>2467</v>
      </c>
      <c r="G297" s="56" t="s">
        <v>2658</v>
      </c>
      <c r="H297" s="55"/>
      <c r="I297" s="55" t="s">
        <v>2658</v>
      </c>
      <c r="J297" s="55" t="s">
        <v>280</v>
      </c>
      <c r="K297" s="55" t="s">
        <v>502</v>
      </c>
      <c r="L297" s="58" t="s">
        <v>2469</v>
      </c>
      <c r="M297" s="56"/>
    </row>
    <row r="298" customFormat="false" ht="51" hidden="false" customHeight="true" outlineLevel="0" collapsed="false">
      <c r="A298" s="55" t="n">
        <v>294</v>
      </c>
      <c r="B298" s="55" t="s">
        <v>1146</v>
      </c>
      <c r="C298" s="56" t="s">
        <v>1184</v>
      </c>
      <c r="D298" s="55" t="s">
        <v>1185</v>
      </c>
      <c r="E298" s="57" t="n">
        <v>65740</v>
      </c>
      <c r="F298" s="55" t="s">
        <v>2467</v>
      </c>
      <c r="G298" s="56" t="s">
        <v>2652</v>
      </c>
      <c r="H298" s="55"/>
      <c r="I298" s="55" t="s">
        <v>2652</v>
      </c>
      <c r="J298" s="55" t="s">
        <v>276</v>
      </c>
      <c r="K298" s="55" t="s">
        <v>513</v>
      </c>
      <c r="L298" s="58" t="s">
        <v>2469</v>
      </c>
      <c r="M298" s="56"/>
    </row>
    <row r="299" customFormat="false" ht="51" hidden="false" customHeight="true" outlineLevel="0" collapsed="false">
      <c r="A299" s="55" t="n">
        <v>295</v>
      </c>
      <c r="B299" s="55" t="s">
        <v>1146</v>
      </c>
      <c r="C299" s="56" t="s">
        <v>1214</v>
      </c>
      <c r="D299" s="55" t="s">
        <v>2659</v>
      </c>
      <c r="E299" s="57" t="n">
        <v>48107</v>
      </c>
      <c r="F299" s="55" t="s">
        <v>2467</v>
      </c>
      <c r="G299" s="56" t="s">
        <v>2660</v>
      </c>
      <c r="H299" s="55"/>
      <c r="I299" s="55" t="s">
        <v>2660</v>
      </c>
      <c r="J299" s="55" t="s">
        <v>280</v>
      </c>
      <c r="K299" s="55" t="s">
        <v>502</v>
      </c>
      <c r="L299" s="58" t="s">
        <v>2469</v>
      </c>
      <c r="M299" s="56"/>
    </row>
    <row r="300" customFormat="false" ht="38.25" hidden="false" customHeight="true" outlineLevel="0" collapsed="false">
      <c r="A300" s="55" t="n">
        <v>296</v>
      </c>
      <c r="B300" s="55" t="s">
        <v>1146</v>
      </c>
      <c r="C300" s="56" t="s">
        <v>1211</v>
      </c>
      <c r="D300" s="55" t="s">
        <v>2661</v>
      </c>
      <c r="E300" s="57" t="n">
        <v>32639</v>
      </c>
      <c r="F300" s="55" t="s">
        <v>2467</v>
      </c>
      <c r="G300" s="56" t="s">
        <v>2662</v>
      </c>
      <c r="H300" s="55"/>
      <c r="I300" s="55" t="s">
        <v>2662</v>
      </c>
      <c r="J300" s="55" t="s">
        <v>280</v>
      </c>
      <c r="K300" s="55" t="s">
        <v>502</v>
      </c>
      <c r="L300" s="58" t="s">
        <v>2469</v>
      </c>
      <c r="M300" s="56"/>
    </row>
    <row r="301" customFormat="false" ht="38.25" hidden="false" customHeight="true" outlineLevel="0" collapsed="false">
      <c r="A301" s="55" t="n">
        <v>297</v>
      </c>
      <c r="B301" s="55" t="s">
        <v>1146</v>
      </c>
      <c r="C301" s="56" t="s">
        <v>1208</v>
      </c>
      <c r="D301" s="55" t="s">
        <v>1209</v>
      </c>
      <c r="E301" s="57" t="n">
        <v>51913</v>
      </c>
      <c r="F301" s="55" t="s">
        <v>2467</v>
      </c>
      <c r="G301" s="56" t="s">
        <v>2663</v>
      </c>
      <c r="H301" s="55"/>
      <c r="I301" s="55" t="s">
        <v>2663</v>
      </c>
      <c r="J301" s="55" t="s">
        <v>278</v>
      </c>
      <c r="K301" s="55" t="s">
        <v>513</v>
      </c>
      <c r="L301" s="58" t="s">
        <v>2469</v>
      </c>
      <c r="M301" s="56"/>
    </row>
    <row r="302" customFormat="false" ht="38.25" hidden="false" customHeight="true" outlineLevel="0" collapsed="false">
      <c r="A302" s="55" t="n">
        <v>298</v>
      </c>
      <c r="B302" s="55" t="s">
        <v>1146</v>
      </c>
      <c r="C302" s="56" t="s">
        <v>1205</v>
      </c>
      <c r="D302" s="55" t="s">
        <v>2664</v>
      </c>
      <c r="E302" s="57" t="n">
        <v>14003</v>
      </c>
      <c r="F302" s="55" t="s">
        <v>2467</v>
      </c>
      <c r="G302" s="56" t="s">
        <v>2665</v>
      </c>
      <c r="H302" s="55"/>
      <c r="I302" s="55" t="s">
        <v>2665</v>
      </c>
      <c r="J302" s="55" t="s">
        <v>280</v>
      </c>
      <c r="K302" s="55" t="s">
        <v>502</v>
      </c>
      <c r="L302" s="58" t="s">
        <v>2469</v>
      </c>
      <c r="M302" s="56"/>
    </row>
    <row r="303" customFormat="false" ht="38.25" hidden="false" customHeight="true" outlineLevel="0" collapsed="false">
      <c r="A303" s="55" t="n">
        <v>299</v>
      </c>
      <c r="B303" s="55" t="s">
        <v>1146</v>
      </c>
      <c r="C303" s="56" t="s">
        <v>1202</v>
      </c>
      <c r="D303" s="55" t="s">
        <v>1203</v>
      </c>
      <c r="E303" s="57" t="n">
        <v>19655</v>
      </c>
      <c r="F303" s="55" t="s">
        <v>2467</v>
      </c>
      <c r="G303" s="56" t="s">
        <v>2666</v>
      </c>
      <c r="H303" s="55"/>
      <c r="I303" s="55" t="s">
        <v>2666</v>
      </c>
      <c r="J303" s="55" t="s">
        <v>280</v>
      </c>
      <c r="K303" s="55" t="s">
        <v>502</v>
      </c>
      <c r="L303" s="58" t="s">
        <v>2469</v>
      </c>
      <c r="M303" s="56"/>
    </row>
    <row r="304" customFormat="false" ht="38.25" hidden="false" customHeight="true" outlineLevel="0" collapsed="false">
      <c r="A304" s="55" t="n">
        <v>300</v>
      </c>
      <c r="B304" s="55" t="s">
        <v>1146</v>
      </c>
      <c r="C304" s="56" t="s">
        <v>1199</v>
      </c>
      <c r="D304" s="55" t="s">
        <v>2667</v>
      </c>
      <c r="E304" s="57" t="n">
        <v>10645</v>
      </c>
      <c r="F304" s="55" t="s">
        <v>2467</v>
      </c>
      <c r="G304" s="56" t="s">
        <v>2668</v>
      </c>
      <c r="H304" s="55"/>
      <c r="I304" s="55" t="s">
        <v>2668</v>
      </c>
      <c r="J304" s="55" t="s">
        <v>280</v>
      </c>
      <c r="K304" s="55" t="s">
        <v>502</v>
      </c>
      <c r="L304" s="58" t="s">
        <v>2469</v>
      </c>
      <c r="M304" s="56"/>
    </row>
    <row r="305" customFormat="false" ht="38.25" hidden="false" customHeight="true" outlineLevel="0" collapsed="false">
      <c r="A305" s="55" t="n">
        <v>301</v>
      </c>
      <c r="B305" s="55" t="s">
        <v>1146</v>
      </c>
      <c r="C305" s="56" t="s">
        <v>1181</v>
      </c>
      <c r="D305" s="55" t="s">
        <v>1182</v>
      </c>
      <c r="E305" s="57" t="n">
        <v>43516</v>
      </c>
      <c r="F305" s="55" t="s">
        <v>2467</v>
      </c>
      <c r="G305" s="56" t="s">
        <v>2665</v>
      </c>
      <c r="H305" s="55"/>
      <c r="I305" s="55" t="s">
        <v>2665</v>
      </c>
      <c r="J305" s="55" t="s">
        <v>280</v>
      </c>
      <c r="K305" s="55" t="s">
        <v>502</v>
      </c>
      <c r="L305" s="58" t="s">
        <v>2469</v>
      </c>
      <c r="M305" s="56"/>
    </row>
    <row r="306" customFormat="false" ht="38.25" hidden="false" customHeight="true" outlineLevel="0" collapsed="false">
      <c r="A306" s="55" t="n">
        <v>302</v>
      </c>
      <c r="B306" s="55" t="s">
        <v>1146</v>
      </c>
      <c r="C306" s="56" t="s">
        <v>1193</v>
      </c>
      <c r="D306" s="55" t="s">
        <v>2669</v>
      </c>
      <c r="E306" s="57" t="n">
        <v>40494</v>
      </c>
      <c r="F306" s="55" t="s">
        <v>2467</v>
      </c>
      <c r="G306" s="56" t="s">
        <v>2670</v>
      </c>
      <c r="H306" s="55"/>
      <c r="I306" s="55" t="s">
        <v>2670</v>
      </c>
      <c r="J306" s="55" t="s">
        <v>280</v>
      </c>
      <c r="K306" s="55" t="s">
        <v>502</v>
      </c>
      <c r="L306" s="58" t="s">
        <v>2469</v>
      </c>
      <c r="M306" s="56"/>
    </row>
    <row r="307" customFormat="false" ht="38.25" hidden="false" customHeight="true" outlineLevel="0" collapsed="false">
      <c r="A307" s="55" t="n">
        <v>303</v>
      </c>
      <c r="B307" s="55" t="s">
        <v>1146</v>
      </c>
      <c r="C307" s="56" t="s">
        <v>1191</v>
      </c>
      <c r="D307" s="55" t="s">
        <v>2671</v>
      </c>
      <c r="E307" s="57" t="n">
        <v>26626</v>
      </c>
      <c r="F307" s="55" t="s">
        <v>2467</v>
      </c>
      <c r="G307" s="56" t="s">
        <v>2470</v>
      </c>
      <c r="H307" s="59"/>
      <c r="I307" s="55" t="s">
        <v>2652</v>
      </c>
      <c r="J307" s="55" t="s">
        <v>276</v>
      </c>
      <c r="K307" s="55" t="s">
        <v>513</v>
      </c>
      <c r="L307" s="61" t="s">
        <v>2476</v>
      </c>
      <c r="M307" s="56"/>
    </row>
    <row r="308" customFormat="false" ht="38.25" hidden="false" customHeight="true" outlineLevel="0" collapsed="false">
      <c r="A308" s="55" t="n">
        <v>304</v>
      </c>
      <c r="B308" s="55" t="s">
        <v>1146</v>
      </c>
      <c r="C308" s="56" t="s">
        <v>1188</v>
      </c>
      <c r="D308" s="55" t="s">
        <v>1189</v>
      </c>
      <c r="E308" s="57" t="n">
        <v>26803</v>
      </c>
      <c r="F308" s="55" t="s">
        <v>2467</v>
      </c>
      <c r="G308" s="56" t="s">
        <v>2652</v>
      </c>
      <c r="H308" s="55"/>
      <c r="I308" s="55" t="s">
        <v>2652</v>
      </c>
      <c r="J308" s="55" t="s">
        <v>276</v>
      </c>
      <c r="K308" s="55" t="s">
        <v>513</v>
      </c>
      <c r="L308" s="58" t="s">
        <v>2469</v>
      </c>
      <c r="M308" s="56"/>
    </row>
    <row r="309" customFormat="false" ht="63.75" hidden="false" customHeight="true" outlineLevel="0" collapsed="false">
      <c r="A309" s="55" t="n">
        <v>305</v>
      </c>
      <c r="B309" s="55" t="s">
        <v>1146</v>
      </c>
      <c r="C309" s="56" t="s">
        <v>1186</v>
      </c>
      <c r="D309" s="55" t="s">
        <v>2672</v>
      </c>
      <c r="E309" s="57" t="n">
        <v>53378</v>
      </c>
      <c r="F309" s="55" t="s">
        <v>2467</v>
      </c>
      <c r="G309" s="56" t="s">
        <v>2652</v>
      </c>
      <c r="H309" s="55"/>
      <c r="I309" s="55" t="s">
        <v>2652</v>
      </c>
      <c r="J309" s="55" t="s">
        <v>276</v>
      </c>
      <c r="K309" s="55" t="s">
        <v>513</v>
      </c>
      <c r="L309" s="58" t="s">
        <v>2469</v>
      </c>
      <c r="M309" s="56"/>
    </row>
    <row r="310" customFormat="false" ht="25.5" hidden="false" customHeight="true" outlineLevel="0" collapsed="false">
      <c r="A310" s="55" t="n">
        <v>306</v>
      </c>
      <c r="B310" s="55" t="s">
        <v>1146</v>
      </c>
      <c r="C310" s="56" t="s">
        <v>1196</v>
      </c>
      <c r="D310" s="55" t="s">
        <v>2673</v>
      </c>
      <c r="E310" s="57" t="n">
        <v>16946</v>
      </c>
      <c r="F310" s="55" t="s">
        <v>2467</v>
      </c>
      <c r="G310" s="56" t="s">
        <v>2674</v>
      </c>
      <c r="H310" s="55"/>
      <c r="I310" s="55" t="s">
        <v>2674</v>
      </c>
      <c r="J310" s="55" t="s">
        <v>280</v>
      </c>
      <c r="K310" s="55" t="s">
        <v>502</v>
      </c>
      <c r="L310" s="58" t="s">
        <v>2469</v>
      </c>
      <c r="M310" s="56"/>
    </row>
    <row r="311" customFormat="false" ht="25.5" hidden="false" customHeight="true" outlineLevel="0" collapsed="false">
      <c r="A311" s="55" t="n">
        <v>307</v>
      </c>
      <c r="B311" s="55" t="s">
        <v>1217</v>
      </c>
      <c r="C311" s="56" t="s">
        <v>1226</v>
      </c>
      <c r="D311" s="55" t="s">
        <v>1227</v>
      </c>
      <c r="E311" s="57" t="n">
        <v>48223</v>
      </c>
      <c r="F311" s="55" t="s">
        <v>2467</v>
      </c>
      <c r="G311" s="56" t="s">
        <v>2470</v>
      </c>
      <c r="H311" s="59"/>
      <c r="I311" s="55" t="s">
        <v>2675</v>
      </c>
      <c r="J311" s="55" t="s">
        <v>276</v>
      </c>
      <c r="K311" s="55" t="s">
        <v>513</v>
      </c>
      <c r="L311" s="61" t="s">
        <v>2476</v>
      </c>
      <c r="M311" s="56"/>
    </row>
    <row r="312" customFormat="false" ht="25.5" hidden="false" customHeight="true" outlineLevel="0" collapsed="false">
      <c r="A312" s="55" t="n">
        <v>308</v>
      </c>
      <c r="B312" s="55" t="s">
        <v>1217</v>
      </c>
      <c r="C312" s="56" t="s">
        <v>1228</v>
      </c>
      <c r="D312" s="55" t="s">
        <v>1229</v>
      </c>
      <c r="E312" s="57" t="n">
        <v>33708</v>
      </c>
      <c r="F312" s="55" t="s">
        <v>2467</v>
      </c>
      <c r="G312" s="56" t="s">
        <v>2470</v>
      </c>
      <c r="H312" s="59"/>
      <c r="I312" s="55" t="s">
        <v>2675</v>
      </c>
      <c r="J312" s="55" t="s">
        <v>276</v>
      </c>
      <c r="K312" s="55" t="s">
        <v>513</v>
      </c>
      <c r="L312" s="61" t="s">
        <v>2476</v>
      </c>
      <c r="M312" s="56"/>
    </row>
    <row r="313" customFormat="false" ht="25.5" hidden="false" customHeight="true" outlineLevel="0" collapsed="false">
      <c r="A313" s="55" t="n">
        <v>309</v>
      </c>
      <c r="B313" s="55" t="s">
        <v>1217</v>
      </c>
      <c r="C313" s="56" t="s">
        <v>1221</v>
      </c>
      <c r="D313" s="55" t="s">
        <v>1222</v>
      </c>
      <c r="E313" s="57" t="n">
        <v>7304</v>
      </c>
      <c r="F313" s="55" t="s">
        <v>2467</v>
      </c>
      <c r="G313" s="56" t="s">
        <v>2470</v>
      </c>
      <c r="H313" s="59"/>
      <c r="I313" s="55" t="s">
        <v>2675</v>
      </c>
      <c r="J313" s="55" t="s">
        <v>276</v>
      </c>
      <c r="K313" s="55" t="s">
        <v>513</v>
      </c>
      <c r="L313" s="61" t="s">
        <v>2476</v>
      </c>
      <c r="M313" s="56"/>
    </row>
    <row r="314" customFormat="false" ht="25.5" hidden="false" customHeight="true" outlineLevel="0" collapsed="false">
      <c r="A314" s="55" t="n">
        <v>310</v>
      </c>
      <c r="B314" s="55" t="s">
        <v>1217</v>
      </c>
      <c r="C314" s="56" t="s">
        <v>1218</v>
      </c>
      <c r="D314" s="55" t="s">
        <v>1219</v>
      </c>
      <c r="E314" s="57" t="n">
        <v>3222</v>
      </c>
      <c r="F314" s="55" t="s">
        <v>2467</v>
      </c>
      <c r="G314" s="56" t="s">
        <v>2470</v>
      </c>
      <c r="H314" s="59"/>
      <c r="I314" s="55" t="s">
        <v>2676</v>
      </c>
      <c r="J314" s="55" t="s">
        <v>280</v>
      </c>
      <c r="K314" s="55" t="s">
        <v>502</v>
      </c>
      <c r="L314" s="60" t="s">
        <v>2472</v>
      </c>
      <c r="M314" s="56"/>
    </row>
    <row r="315" customFormat="false" ht="15" hidden="false" customHeight="false" outlineLevel="0" collapsed="false">
      <c r="A315" s="55" t="n">
        <v>311</v>
      </c>
      <c r="B315" s="55" t="s">
        <v>1217</v>
      </c>
      <c r="C315" s="56" t="s">
        <v>1230</v>
      </c>
      <c r="D315" s="55" t="s">
        <v>1231</v>
      </c>
      <c r="E315" s="57" t="n">
        <v>5051</v>
      </c>
      <c r="F315" s="55" t="s">
        <v>2467</v>
      </c>
      <c r="G315" s="56" t="s">
        <v>2675</v>
      </c>
      <c r="H315" s="55"/>
      <c r="I315" s="55" t="s">
        <v>2675</v>
      </c>
      <c r="J315" s="55" t="s">
        <v>276</v>
      </c>
      <c r="K315" s="55" t="s">
        <v>513</v>
      </c>
      <c r="L315" s="58" t="s">
        <v>2469</v>
      </c>
      <c r="M315" s="56"/>
    </row>
    <row r="316" customFormat="false" ht="25.5" hidden="false" customHeight="true" outlineLevel="0" collapsed="false">
      <c r="A316" s="55" t="n">
        <v>312</v>
      </c>
      <c r="B316" s="55" t="s">
        <v>1217</v>
      </c>
      <c r="C316" s="56" t="s">
        <v>1247</v>
      </c>
      <c r="D316" s="55" t="s">
        <v>1248</v>
      </c>
      <c r="E316" s="57" t="n">
        <v>7564</v>
      </c>
      <c r="F316" s="55" t="s">
        <v>2467</v>
      </c>
      <c r="G316" s="56" t="s">
        <v>2470</v>
      </c>
      <c r="H316" s="59"/>
      <c r="I316" s="55" t="s">
        <v>2675</v>
      </c>
      <c r="J316" s="55" t="s">
        <v>276</v>
      </c>
      <c r="K316" s="55" t="s">
        <v>513</v>
      </c>
      <c r="L316" s="61" t="s">
        <v>2476</v>
      </c>
      <c r="M316" s="56"/>
    </row>
    <row r="317" customFormat="false" ht="25.5" hidden="false" customHeight="true" outlineLevel="0" collapsed="false">
      <c r="A317" s="55" t="n">
        <v>313</v>
      </c>
      <c r="B317" s="55" t="s">
        <v>1217</v>
      </c>
      <c r="C317" s="56" t="s">
        <v>1232</v>
      </c>
      <c r="D317" s="55" t="s">
        <v>1233</v>
      </c>
      <c r="E317" s="57" t="n">
        <v>6656</v>
      </c>
      <c r="F317" s="55" t="s">
        <v>2467</v>
      </c>
      <c r="G317" s="56" t="s">
        <v>2470</v>
      </c>
      <c r="H317" s="59"/>
      <c r="I317" s="55" t="s">
        <v>2675</v>
      </c>
      <c r="J317" s="55" t="s">
        <v>276</v>
      </c>
      <c r="K317" s="55" t="s">
        <v>513</v>
      </c>
      <c r="L317" s="61" t="s">
        <v>2476</v>
      </c>
      <c r="M317" s="56"/>
    </row>
    <row r="318" customFormat="false" ht="25.5" hidden="false" customHeight="true" outlineLevel="0" collapsed="false">
      <c r="A318" s="55" t="n">
        <v>314</v>
      </c>
      <c r="B318" s="55" t="s">
        <v>1217</v>
      </c>
      <c r="C318" s="56" t="s">
        <v>1238</v>
      </c>
      <c r="D318" s="55" t="s">
        <v>1239</v>
      </c>
      <c r="E318" s="57" t="n">
        <v>3410</v>
      </c>
      <c r="F318" s="55" t="s">
        <v>2467</v>
      </c>
      <c r="G318" s="56" t="s">
        <v>2470</v>
      </c>
      <c r="H318" s="59"/>
      <c r="I318" s="55" t="s">
        <v>2675</v>
      </c>
      <c r="J318" s="55" t="s">
        <v>276</v>
      </c>
      <c r="K318" s="55" t="s">
        <v>513</v>
      </c>
      <c r="L318" s="61" t="s">
        <v>2476</v>
      </c>
      <c r="M318" s="56"/>
    </row>
    <row r="319" customFormat="false" ht="15" hidden="false" customHeight="false" outlineLevel="0" collapsed="false">
      <c r="A319" s="55" t="n">
        <v>315</v>
      </c>
      <c r="B319" s="55" t="s">
        <v>1217</v>
      </c>
      <c r="C319" s="56" t="s">
        <v>1240</v>
      </c>
      <c r="D319" s="55" t="s">
        <v>1241</v>
      </c>
      <c r="E319" s="57" t="n">
        <v>9189</v>
      </c>
      <c r="F319" s="55" t="s">
        <v>2467</v>
      </c>
      <c r="G319" s="56" t="s">
        <v>2676</v>
      </c>
      <c r="H319" s="55"/>
      <c r="I319" s="55" t="s">
        <v>2676</v>
      </c>
      <c r="J319" s="55" t="s">
        <v>280</v>
      </c>
      <c r="K319" s="55" t="s">
        <v>502</v>
      </c>
      <c r="L319" s="58" t="s">
        <v>2469</v>
      </c>
      <c r="M319" s="56"/>
    </row>
    <row r="320" customFormat="false" ht="25.5" hidden="false" customHeight="true" outlineLevel="0" collapsed="false">
      <c r="A320" s="55" t="n">
        <v>316</v>
      </c>
      <c r="B320" s="55" t="s">
        <v>1217</v>
      </c>
      <c r="C320" s="56" t="s">
        <v>1243</v>
      </c>
      <c r="D320" s="55" t="s">
        <v>1244</v>
      </c>
      <c r="E320" s="57" t="n">
        <v>13839</v>
      </c>
      <c r="F320" s="55" t="s">
        <v>2467</v>
      </c>
      <c r="G320" s="56" t="s">
        <v>2470</v>
      </c>
      <c r="H320" s="59"/>
      <c r="I320" s="55" t="s">
        <v>2675</v>
      </c>
      <c r="J320" s="55" t="s">
        <v>276</v>
      </c>
      <c r="K320" s="55" t="s">
        <v>513</v>
      </c>
      <c r="L320" s="61" t="s">
        <v>2476</v>
      </c>
      <c r="M320" s="56"/>
    </row>
    <row r="321" customFormat="false" ht="25.5" hidden="false" customHeight="true" outlineLevel="0" collapsed="false">
      <c r="A321" s="55" t="n">
        <v>317</v>
      </c>
      <c r="B321" s="55" t="s">
        <v>1217</v>
      </c>
      <c r="C321" s="56" t="s">
        <v>2677</v>
      </c>
      <c r="D321" s="55" t="s">
        <v>2678</v>
      </c>
      <c r="E321" s="57" t="n">
        <v>1910</v>
      </c>
      <c r="F321" s="55" t="s">
        <v>2467</v>
      </c>
      <c r="G321" s="56" t="s">
        <v>2470</v>
      </c>
      <c r="H321" s="59"/>
      <c r="I321" s="55" t="s">
        <v>2679</v>
      </c>
      <c r="J321" s="55" t="s">
        <v>280</v>
      </c>
      <c r="K321" s="55" t="s">
        <v>502</v>
      </c>
      <c r="L321" s="60" t="s">
        <v>2472</v>
      </c>
      <c r="M321" s="56"/>
    </row>
    <row r="322" customFormat="false" ht="25.5" hidden="false" customHeight="true" outlineLevel="0" collapsed="false">
      <c r="A322" s="55" t="n">
        <v>318</v>
      </c>
      <c r="B322" s="55" t="s">
        <v>1217</v>
      </c>
      <c r="C322" s="56" t="s">
        <v>1245</v>
      </c>
      <c r="D322" s="55" t="s">
        <v>1246</v>
      </c>
      <c r="E322" s="57" t="n">
        <v>48015</v>
      </c>
      <c r="F322" s="55" t="s">
        <v>2467</v>
      </c>
      <c r="G322" s="56" t="s">
        <v>2470</v>
      </c>
      <c r="H322" s="59"/>
      <c r="I322" s="55" t="s">
        <v>2675</v>
      </c>
      <c r="J322" s="55" t="s">
        <v>276</v>
      </c>
      <c r="K322" s="55" t="s">
        <v>513</v>
      </c>
      <c r="L322" s="61" t="s">
        <v>2476</v>
      </c>
      <c r="M322" s="56"/>
    </row>
    <row r="323" customFormat="false" ht="25.5" hidden="false" customHeight="true" outlineLevel="0" collapsed="false">
      <c r="A323" s="55" t="n">
        <v>319</v>
      </c>
      <c r="B323" s="55" t="s">
        <v>1217</v>
      </c>
      <c r="C323" s="56" t="s">
        <v>1224</v>
      </c>
      <c r="D323" s="55" t="s">
        <v>1225</v>
      </c>
      <c r="E323" s="57" t="n">
        <v>56603</v>
      </c>
      <c r="F323" s="55" t="s">
        <v>2467</v>
      </c>
      <c r="G323" s="56" t="s">
        <v>2470</v>
      </c>
      <c r="H323" s="59"/>
      <c r="I323" s="55" t="s">
        <v>2675</v>
      </c>
      <c r="J323" s="55" t="s">
        <v>276</v>
      </c>
      <c r="K323" s="55" t="s">
        <v>513</v>
      </c>
      <c r="L323" s="61" t="s">
        <v>2476</v>
      </c>
      <c r="M323" s="56"/>
    </row>
    <row r="324" customFormat="false" ht="25.5" hidden="false" customHeight="true" outlineLevel="0" collapsed="false">
      <c r="A324" s="55" t="n">
        <v>320</v>
      </c>
      <c r="B324" s="55" t="s">
        <v>1217</v>
      </c>
      <c r="C324" s="56" t="s">
        <v>1236</v>
      </c>
      <c r="D324" s="55" t="s">
        <v>1237</v>
      </c>
      <c r="E324" s="57" t="n">
        <v>13428</v>
      </c>
      <c r="F324" s="55" t="s">
        <v>2467</v>
      </c>
      <c r="G324" s="56" t="s">
        <v>2470</v>
      </c>
      <c r="H324" s="59"/>
      <c r="I324" s="55" t="s">
        <v>2675</v>
      </c>
      <c r="J324" s="55" t="s">
        <v>276</v>
      </c>
      <c r="K324" s="55" t="s">
        <v>513</v>
      </c>
      <c r="L324" s="61" t="s">
        <v>2476</v>
      </c>
      <c r="M324" s="56"/>
    </row>
    <row r="325" customFormat="false" ht="25.5" hidden="false" customHeight="true" outlineLevel="0" collapsed="false">
      <c r="A325" s="55" t="n">
        <v>321</v>
      </c>
      <c r="B325" s="55" t="s">
        <v>1217</v>
      </c>
      <c r="C325" s="56" t="s">
        <v>1249</v>
      </c>
      <c r="D325" s="55" t="s">
        <v>1250</v>
      </c>
      <c r="E325" s="57" t="n">
        <v>50553</v>
      </c>
      <c r="F325" s="55" t="s">
        <v>2467</v>
      </c>
      <c r="G325" s="56" t="s">
        <v>2470</v>
      </c>
      <c r="H325" s="59"/>
      <c r="I325" s="55" t="s">
        <v>2675</v>
      </c>
      <c r="J325" s="55" t="s">
        <v>276</v>
      </c>
      <c r="K325" s="55" t="s">
        <v>513</v>
      </c>
      <c r="L325" s="61" t="s">
        <v>2476</v>
      </c>
      <c r="M325" s="56"/>
    </row>
    <row r="326" customFormat="false" ht="38.25" hidden="false" customHeight="true" outlineLevel="0" collapsed="false">
      <c r="A326" s="55" t="n">
        <v>322</v>
      </c>
      <c r="B326" s="55" t="s">
        <v>1217</v>
      </c>
      <c r="C326" s="56" t="s">
        <v>1251</v>
      </c>
      <c r="D326" s="55" t="s">
        <v>1252</v>
      </c>
      <c r="E326" s="57" t="n">
        <v>57783</v>
      </c>
      <c r="F326" s="55" t="s">
        <v>2467</v>
      </c>
      <c r="G326" s="56" t="s">
        <v>2680</v>
      </c>
      <c r="H326" s="55"/>
      <c r="I326" s="55" t="s">
        <v>2680</v>
      </c>
      <c r="J326" s="55" t="s">
        <v>280</v>
      </c>
      <c r="K326" s="55" t="s">
        <v>502</v>
      </c>
      <c r="L326" s="58" t="s">
        <v>2469</v>
      </c>
      <c r="M326" s="56"/>
    </row>
    <row r="327" customFormat="false" ht="38.25" hidden="false" customHeight="true" outlineLevel="0" collapsed="false">
      <c r="A327" s="55" t="n">
        <v>323</v>
      </c>
      <c r="B327" s="55" t="s">
        <v>1217</v>
      </c>
      <c r="C327" s="56" t="s">
        <v>1254</v>
      </c>
      <c r="D327" s="55" t="s">
        <v>1255</v>
      </c>
      <c r="E327" s="57" t="n">
        <v>40969</v>
      </c>
      <c r="F327" s="55" t="s">
        <v>2467</v>
      </c>
      <c r="G327" s="56" t="s">
        <v>2679</v>
      </c>
      <c r="H327" s="55"/>
      <c r="I327" s="55" t="s">
        <v>2679</v>
      </c>
      <c r="J327" s="55" t="s">
        <v>280</v>
      </c>
      <c r="K327" s="55" t="s">
        <v>502</v>
      </c>
      <c r="L327" s="58" t="s">
        <v>2469</v>
      </c>
      <c r="M327" s="56"/>
    </row>
    <row r="328" customFormat="false" ht="51" hidden="false" customHeight="true" outlineLevel="0" collapsed="false">
      <c r="A328" s="55" t="n">
        <v>324</v>
      </c>
      <c r="B328" s="55" t="s">
        <v>1217</v>
      </c>
      <c r="C328" s="56" t="s">
        <v>1257</v>
      </c>
      <c r="D328" s="55" t="s">
        <v>1258</v>
      </c>
      <c r="E328" s="57" t="n">
        <v>38502</v>
      </c>
      <c r="F328" s="55" t="s">
        <v>2467</v>
      </c>
      <c r="G328" s="56" t="s">
        <v>2681</v>
      </c>
      <c r="H328" s="55"/>
      <c r="I328" s="55" t="s">
        <v>2681</v>
      </c>
      <c r="J328" s="55" t="s">
        <v>280</v>
      </c>
      <c r="K328" s="55" t="s">
        <v>502</v>
      </c>
      <c r="L328" s="58" t="s">
        <v>2469</v>
      </c>
      <c r="M328" s="56"/>
    </row>
    <row r="329" customFormat="false" ht="51" hidden="false" customHeight="true" outlineLevel="0" collapsed="false">
      <c r="A329" s="55" t="n">
        <v>325</v>
      </c>
      <c r="B329" s="55" t="s">
        <v>1217</v>
      </c>
      <c r="C329" s="56" t="s">
        <v>1260</v>
      </c>
      <c r="D329" s="55" t="s">
        <v>1261</v>
      </c>
      <c r="E329" s="57" t="n">
        <v>67536</v>
      </c>
      <c r="F329" s="55" t="s">
        <v>2467</v>
      </c>
      <c r="G329" s="56" t="s">
        <v>2676</v>
      </c>
      <c r="H329" s="55"/>
      <c r="I329" s="55" t="s">
        <v>2676</v>
      </c>
      <c r="J329" s="55" t="s">
        <v>280</v>
      </c>
      <c r="K329" s="55" t="s">
        <v>502</v>
      </c>
      <c r="L329" s="58" t="s">
        <v>2469</v>
      </c>
      <c r="M329" s="56"/>
    </row>
    <row r="330" customFormat="false" ht="38.25" hidden="false" customHeight="true" outlineLevel="0" collapsed="false">
      <c r="A330" s="55" t="n">
        <v>326</v>
      </c>
      <c r="B330" s="55" t="s">
        <v>1217</v>
      </c>
      <c r="C330" s="56" t="s">
        <v>1262</v>
      </c>
      <c r="D330" s="55" t="s">
        <v>1263</v>
      </c>
      <c r="E330" s="57" t="n">
        <v>142751</v>
      </c>
      <c r="F330" s="55" t="s">
        <v>2467</v>
      </c>
      <c r="G330" s="56" t="s">
        <v>2682</v>
      </c>
      <c r="H330" s="55"/>
      <c r="I330" s="55" t="s">
        <v>2682</v>
      </c>
      <c r="J330" s="55" t="s">
        <v>280</v>
      </c>
      <c r="K330" s="55" t="s">
        <v>502</v>
      </c>
      <c r="L330" s="58" t="s">
        <v>2469</v>
      </c>
      <c r="M330" s="56"/>
    </row>
    <row r="331" customFormat="false" ht="25.5" hidden="false" customHeight="true" outlineLevel="0" collapsed="false">
      <c r="A331" s="55" t="n">
        <v>327</v>
      </c>
      <c r="B331" s="55" t="s">
        <v>1217</v>
      </c>
      <c r="C331" s="56" t="s">
        <v>1265</v>
      </c>
      <c r="D331" s="55" t="s">
        <v>2683</v>
      </c>
      <c r="E331" s="57" t="n">
        <v>65004</v>
      </c>
      <c r="F331" s="55" t="s">
        <v>2467</v>
      </c>
      <c r="G331" s="56" t="s">
        <v>2470</v>
      </c>
      <c r="H331" s="59"/>
      <c r="I331" s="55" t="s">
        <v>2675</v>
      </c>
      <c r="J331" s="55" t="s">
        <v>276</v>
      </c>
      <c r="K331" s="55" t="s">
        <v>513</v>
      </c>
      <c r="L331" s="61" t="s">
        <v>2476</v>
      </c>
      <c r="M331" s="56"/>
    </row>
    <row r="332" customFormat="false" ht="25.5" hidden="false" customHeight="true" outlineLevel="0" collapsed="false">
      <c r="A332" s="55" t="n">
        <v>328</v>
      </c>
      <c r="B332" s="55" t="s">
        <v>1217</v>
      </c>
      <c r="C332" s="56" t="s">
        <v>1267</v>
      </c>
      <c r="D332" s="55" t="s">
        <v>1268</v>
      </c>
      <c r="E332" s="57" t="n">
        <v>35463</v>
      </c>
      <c r="F332" s="55" t="s">
        <v>2467</v>
      </c>
      <c r="G332" s="56" t="s">
        <v>2470</v>
      </c>
      <c r="H332" s="59"/>
      <c r="I332" s="55" t="s">
        <v>2675</v>
      </c>
      <c r="J332" s="55" t="s">
        <v>276</v>
      </c>
      <c r="K332" s="55" t="s">
        <v>513</v>
      </c>
      <c r="L332" s="61" t="s">
        <v>2476</v>
      </c>
      <c r="M332" s="56"/>
    </row>
    <row r="333" customFormat="false" ht="25.5" hidden="false" customHeight="true" outlineLevel="0" collapsed="false">
      <c r="A333" s="55" t="n">
        <v>329</v>
      </c>
      <c r="B333" s="55" t="s">
        <v>1217</v>
      </c>
      <c r="C333" s="56" t="s">
        <v>1269</v>
      </c>
      <c r="D333" s="55" t="s">
        <v>2684</v>
      </c>
      <c r="E333" s="57" t="n">
        <v>66806</v>
      </c>
      <c r="F333" s="55" t="s">
        <v>2467</v>
      </c>
      <c r="G333" s="56" t="s">
        <v>2470</v>
      </c>
      <c r="H333" s="59"/>
      <c r="I333" s="55" t="s">
        <v>2675</v>
      </c>
      <c r="J333" s="55" t="s">
        <v>276</v>
      </c>
      <c r="K333" s="55" t="s">
        <v>513</v>
      </c>
      <c r="L333" s="61" t="s">
        <v>2476</v>
      </c>
      <c r="M333" s="56"/>
    </row>
    <row r="334" customFormat="false" ht="38.25" hidden="false" customHeight="true" outlineLevel="0" collapsed="false">
      <c r="A334" s="55" t="n">
        <v>330</v>
      </c>
      <c r="B334" s="55" t="s">
        <v>1217</v>
      </c>
      <c r="C334" s="56" t="s">
        <v>1271</v>
      </c>
      <c r="D334" s="55" t="s">
        <v>1272</v>
      </c>
      <c r="E334" s="57" t="n">
        <v>42997</v>
      </c>
      <c r="F334" s="55" t="s">
        <v>2467</v>
      </c>
      <c r="G334" s="56" t="s">
        <v>2685</v>
      </c>
      <c r="H334" s="55"/>
      <c r="I334" s="55" t="s">
        <v>2685</v>
      </c>
      <c r="J334" s="55" t="s">
        <v>280</v>
      </c>
      <c r="K334" s="55" t="s">
        <v>502</v>
      </c>
      <c r="L334" s="58" t="s">
        <v>2469</v>
      </c>
      <c r="M334" s="56"/>
    </row>
    <row r="335" customFormat="false" ht="38.25" hidden="false" customHeight="true" outlineLevel="0" collapsed="false">
      <c r="A335" s="55" t="n">
        <v>331</v>
      </c>
      <c r="B335" s="55" t="s">
        <v>1217</v>
      </c>
      <c r="C335" s="56" t="s">
        <v>1274</v>
      </c>
      <c r="D335" s="55" t="s">
        <v>2686</v>
      </c>
      <c r="E335" s="57" t="n">
        <v>36960</v>
      </c>
      <c r="F335" s="55" t="s">
        <v>2467</v>
      </c>
      <c r="G335" s="56" t="s">
        <v>2687</v>
      </c>
      <c r="H335" s="55"/>
      <c r="I335" s="55" t="s">
        <v>2687</v>
      </c>
      <c r="J335" s="55" t="s">
        <v>280</v>
      </c>
      <c r="K335" s="55" t="s">
        <v>502</v>
      </c>
      <c r="L335" s="58" t="s">
        <v>2469</v>
      </c>
      <c r="M335" s="56"/>
    </row>
    <row r="336" customFormat="false" ht="25.5" hidden="false" customHeight="true" outlineLevel="0" collapsed="false">
      <c r="A336" s="55" t="n">
        <v>332</v>
      </c>
      <c r="B336" s="55" t="s">
        <v>1217</v>
      </c>
      <c r="C336" s="56" t="s">
        <v>1277</v>
      </c>
      <c r="D336" s="55" t="s">
        <v>1278</v>
      </c>
      <c r="E336" s="57" t="n">
        <v>68178</v>
      </c>
      <c r="F336" s="55" t="s">
        <v>2467</v>
      </c>
      <c r="G336" s="56" t="s">
        <v>2470</v>
      </c>
      <c r="H336" s="59"/>
      <c r="I336" s="55" t="s">
        <v>2675</v>
      </c>
      <c r="J336" s="55" t="s">
        <v>276</v>
      </c>
      <c r="K336" s="55" t="s">
        <v>513</v>
      </c>
      <c r="L336" s="61" t="s">
        <v>2476</v>
      </c>
      <c r="M336" s="56"/>
    </row>
    <row r="337" customFormat="false" ht="51" hidden="false" customHeight="true" outlineLevel="0" collapsed="false">
      <c r="A337" s="55" t="n">
        <v>333</v>
      </c>
      <c r="B337" s="55" t="s">
        <v>1217</v>
      </c>
      <c r="C337" s="56" t="s">
        <v>1279</v>
      </c>
      <c r="D337" s="55" t="s">
        <v>1280</v>
      </c>
      <c r="E337" s="57" t="n">
        <v>23946</v>
      </c>
      <c r="F337" s="55" t="s">
        <v>2467</v>
      </c>
      <c r="G337" s="56" t="s">
        <v>2688</v>
      </c>
      <c r="H337" s="55"/>
      <c r="I337" s="55" t="s">
        <v>2688</v>
      </c>
      <c r="J337" s="55" t="s">
        <v>280</v>
      </c>
      <c r="K337" s="55" t="s">
        <v>502</v>
      </c>
      <c r="L337" s="58" t="s">
        <v>2469</v>
      </c>
      <c r="M337" s="56"/>
    </row>
    <row r="338" customFormat="false" ht="38.25" hidden="false" customHeight="true" outlineLevel="0" collapsed="false">
      <c r="A338" s="55" t="n">
        <v>334</v>
      </c>
      <c r="B338" s="55" t="s">
        <v>1217</v>
      </c>
      <c r="C338" s="56" t="s">
        <v>1282</v>
      </c>
      <c r="D338" s="55" t="s">
        <v>1283</v>
      </c>
      <c r="E338" s="57" t="n">
        <v>54776</v>
      </c>
      <c r="F338" s="55" t="s">
        <v>2467</v>
      </c>
      <c r="G338" s="56" t="s">
        <v>2689</v>
      </c>
      <c r="H338" s="55"/>
      <c r="I338" s="55" t="s">
        <v>2689</v>
      </c>
      <c r="J338" s="55" t="s">
        <v>280</v>
      </c>
      <c r="K338" s="55" t="s">
        <v>502</v>
      </c>
      <c r="L338" s="58" t="s">
        <v>2469</v>
      </c>
      <c r="M338" s="56"/>
    </row>
    <row r="339" customFormat="false" ht="25.5" hidden="false" customHeight="true" outlineLevel="0" collapsed="false">
      <c r="A339" s="55" t="n">
        <v>335</v>
      </c>
      <c r="B339" s="55" t="s">
        <v>1217</v>
      </c>
      <c r="C339" s="56" t="s">
        <v>1285</v>
      </c>
      <c r="D339" s="55" t="s">
        <v>2690</v>
      </c>
      <c r="E339" s="57" t="n">
        <v>40044</v>
      </c>
      <c r="F339" s="55" t="s">
        <v>2467</v>
      </c>
      <c r="G339" s="56" t="s">
        <v>2689</v>
      </c>
      <c r="H339" s="55"/>
      <c r="I339" s="55" t="s">
        <v>2689</v>
      </c>
      <c r="J339" s="55" t="s">
        <v>280</v>
      </c>
      <c r="K339" s="55" t="s">
        <v>502</v>
      </c>
      <c r="L339" s="58" t="s">
        <v>2469</v>
      </c>
      <c r="M339" s="56"/>
    </row>
    <row r="340" customFormat="false" ht="51" hidden="false" customHeight="true" outlineLevel="0" collapsed="false">
      <c r="A340" s="55" t="n">
        <v>336</v>
      </c>
      <c r="B340" s="55" t="s">
        <v>1217</v>
      </c>
      <c r="C340" s="56" t="s">
        <v>1288</v>
      </c>
      <c r="D340" s="55" t="s">
        <v>2691</v>
      </c>
      <c r="E340" s="57" t="n">
        <v>83142</v>
      </c>
      <c r="F340" s="55" t="s">
        <v>2467</v>
      </c>
      <c r="G340" s="56" t="s">
        <v>2692</v>
      </c>
      <c r="H340" s="55"/>
      <c r="I340" s="55" t="s">
        <v>2692</v>
      </c>
      <c r="J340" s="55" t="s">
        <v>280</v>
      </c>
      <c r="K340" s="55" t="s">
        <v>502</v>
      </c>
      <c r="L340" s="58" t="s">
        <v>2469</v>
      </c>
      <c r="M340" s="56"/>
    </row>
    <row r="341" customFormat="false" ht="25.5" hidden="false" customHeight="true" outlineLevel="0" collapsed="false">
      <c r="A341" s="55" t="n">
        <v>337</v>
      </c>
      <c r="B341" s="55" t="s">
        <v>1291</v>
      </c>
      <c r="C341" s="56" t="s">
        <v>1292</v>
      </c>
      <c r="D341" s="55" t="s">
        <v>2693</v>
      </c>
      <c r="E341" s="57" t="n">
        <v>27336</v>
      </c>
      <c r="F341" s="55" t="s">
        <v>2467</v>
      </c>
      <c r="G341" s="56" t="s">
        <v>2694</v>
      </c>
      <c r="H341" s="55"/>
      <c r="I341" s="55" t="s">
        <v>2694</v>
      </c>
      <c r="J341" s="55" t="s">
        <v>278</v>
      </c>
      <c r="K341" s="55" t="s">
        <v>513</v>
      </c>
      <c r="L341" s="58" t="s">
        <v>2469</v>
      </c>
      <c r="M341" s="56"/>
    </row>
    <row r="342" customFormat="false" ht="25.5" hidden="false" customHeight="true" outlineLevel="0" collapsed="false">
      <c r="A342" s="55" t="n">
        <v>338</v>
      </c>
      <c r="B342" s="55" t="s">
        <v>1291</v>
      </c>
      <c r="C342" s="56" t="s">
        <v>907</v>
      </c>
      <c r="D342" s="55" t="s">
        <v>2695</v>
      </c>
      <c r="E342" s="57" t="n">
        <v>16180</v>
      </c>
      <c r="F342" s="55" t="s">
        <v>2467</v>
      </c>
      <c r="G342" s="56" t="s">
        <v>2470</v>
      </c>
      <c r="H342" s="59"/>
      <c r="I342" s="55" t="s">
        <v>2696</v>
      </c>
      <c r="J342" s="55" t="s">
        <v>276</v>
      </c>
      <c r="K342" s="55" t="s">
        <v>513</v>
      </c>
      <c r="L342" s="61" t="s">
        <v>2476</v>
      </c>
      <c r="M342" s="56"/>
    </row>
    <row r="343" customFormat="false" ht="25.5" hidden="false" customHeight="true" outlineLevel="0" collapsed="false">
      <c r="A343" s="55" t="n">
        <v>339</v>
      </c>
      <c r="B343" s="55" t="s">
        <v>1291</v>
      </c>
      <c r="C343" s="56" t="s">
        <v>1296</v>
      </c>
      <c r="D343" s="55" t="s">
        <v>1297</v>
      </c>
      <c r="E343" s="57" t="n">
        <v>8511</v>
      </c>
      <c r="F343" s="55" t="s">
        <v>2467</v>
      </c>
      <c r="G343" s="56" t="s">
        <v>2470</v>
      </c>
      <c r="H343" s="59"/>
      <c r="I343" s="55" t="s">
        <v>2696</v>
      </c>
      <c r="J343" s="55" t="s">
        <v>276</v>
      </c>
      <c r="K343" s="55" t="s">
        <v>513</v>
      </c>
      <c r="L343" s="61" t="s">
        <v>2476</v>
      </c>
      <c r="M343" s="56"/>
    </row>
    <row r="344" customFormat="false" ht="38.25" hidden="false" customHeight="true" outlineLevel="0" collapsed="false">
      <c r="A344" s="55" t="n">
        <v>340</v>
      </c>
      <c r="B344" s="55" t="s">
        <v>1291</v>
      </c>
      <c r="C344" s="56" t="s">
        <v>1298</v>
      </c>
      <c r="D344" s="55" t="s">
        <v>1299</v>
      </c>
      <c r="E344" s="57" t="n">
        <v>127299</v>
      </c>
      <c r="F344" s="55" t="s">
        <v>2467</v>
      </c>
      <c r="G344" s="56" t="s">
        <v>2697</v>
      </c>
      <c r="H344" s="55"/>
      <c r="I344" s="55" t="s">
        <v>2697</v>
      </c>
      <c r="J344" s="55" t="s">
        <v>280</v>
      </c>
      <c r="K344" s="55" t="s">
        <v>502</v>
      </c>
      <c r="L344" s="58" t="s">
        <v>2469</v>
      </c>
      <c r="M344" s="56"/>
    </row>
    <row r="345" customFormat="false" ht="63.75" hidden="false" customHeight="true" outlineLevel="0" collapsed="false">
      <c r="A345" s="55" t="n">
        <v>341</v>
      </c>
      <c r="B345" s="55" t="s">
        <v>1291</v>
      </c>
      <c r="C345" s="56" t="s">
        <v>1301</v>
      </c>
      <c r="D345" s="55" t="s">
        <v>2698</v>
      </c>
      <c r="E345" s="57" t="n">
        <v>34890</v>
      </c>
      <c r="F345" s="55" t="s">
        <v>2467</v>
      </c>
      <c r="G345" s="56" t="s">
        <v>2699</v>
      </c>
      <c r="H345" s="55"/>
      <c r="I345" s="55" t="s">
        <v>2699</v>
      </c>
      <c r="J345" s="55" t="s">
        <v>280</v>
      </c>
      <c r="K345" s="55" t="s">
        <v>502</v>
      </c>
      <c r="L345" s="58" t="s">
        <v>2469</v>
      </c>
      <c r="M345" s="56"/>
    </row>
    <row r="346" customFormat="false" ht="51" hidden="false" customHeight="true" outlineLevel="0" collapsed="false">
      <c r="A346" s="55" t="n">
        <v>342</v>
      </c>
      <c r="B346" s="55" t="s">
        <v>1291</v>
      </c>
      <c r="C346" s="56" t="s">
        <v>1304</v>
      </c>
      <c r="D346" s="55" t="s">
        <v>2700</v>
      </c>
      <c r="E346" s="57" t="n">
        <v>40032</v>
      </c>
      <c r="F346" s="55" t="s">
        <v>2467</v>
      </c>
      <c r="G346" s="56" t="s">
        <v>2701</v>
      </c>
      <c r="H346" s="55"/>
      <c r="I346" s="55" t="s">
        <v>2701</v>
      </c>
      <c r="J346" s="55" t="s">
        <v>280</v>
      </c>
      <c r="K346" s="55" t="s">
        <v>502</v>
      </c>
      <c r="L346" s="58" t="s">
        <v>2469</v>
      </c>
      <c r="M346" s="56"/>
    </row>
    <row r="347" customFormat="false" ht="38.25" hidden="false" customHeight="true" outlineLevel="0" collapsed="false">
      <c r="A347" s="55" t="n">
        <v>343</v>
      </c>
      <c r="B347" s="55" t="s">
        <v>1291</v>
      </c>
      <c r="C347" s="56" t="s">
        <v>1307</v>
      </c>
      <c r="D347" s="55" t="s">
        <v>2702</v>
      </c>
      <c r="E347" s="57" t="n">
        <v>62844</v>
      </c>
      <c r="F347" s="55" t="s">
        <v>2467</v>
      </c>
      <c r="G347" s="56" t="s">
        <v>2703</v>
      </c>
      <c r="H347" s="55"/>
      <c r="I347" s="55" t="s">
        <v>2703</v>
      </c>
      <c r="J347" s="55" t="s">
        <v>280</v>
      </c>
      <c r="K347" s="55" t="s">
        <v>502</v>
      </c>
      <c r="L347" s="58" t="s">
        <v>2469</v>
      </c>
      <c r="M347" s="56"/>
    </row>
    <row r="348" customFormat="false" ht="25.5" hidden="false" customHeight="true" outlineLevel="0" collapsed="false">
      <c r="A348" s="55" t="n">
        <v>344</v>
      </c>
      <c r="B348" s="55" t="s">
        <v>1291</v>
      </c>
      <c r="C348" s="56" t="s">
        <v>1310</v>
      </c>
      <c r="D348" s="55" t="s">
        <v>2704</v>
      </c>
      <c r="E348" s="57" t="n">
        <v>117793</v>
      </c>
      <c r="F348" s="55" t="s">
        <v>2467</v>
      </c>
      <c r="G348" s="56" t="s">
        <v>2696</v>
      </c>
      <c r="H348" s="55"/>
      <c r="I348" s="55" t="s">
        <v>2696</v>
      </c>
      <c r="J348" s="55" t="s">
        <v>276</v>
      </c>
      <c r="K348" s="55" t="s">
        <v>513</v>
      </c>
      <c r="L348" s="58" t="s">
        <v>2469</v>
      </c>
      <c r="M348" s="56"/>
    </row>
    <row r="349" customFormat="false" ht="25.5" hidden="false" customHeight="true" outlineLevel="0" collapsed="false">
      <c r="A349" s="55" t="n">
        <v>345</v>
      </c>
      <c r="B349" s="55" t="s">
        <v>1291</v>
      </c>
      <c r="C349" s="56" t="s">
        <v>1312</v>
      </c>
      <c r="D349" s="55" t="s">
        <v>1313</v>
      </c>
      <c r="E349" s="57" t="n">
        <v>60595</v>
      </c>
      <c r="F349" s="55" t="s">
        <v>2467</v>
      </c>
      <c r="G349" s="56" t="s">
        <v>2696</v>
      </c>
      <c r="H349" s="55"/>
      <c r="I349" s="55" t="s">
        <v>2696</v>
      </c>
      <c r="J349" s="55" t="s">
        <v>276</v>
      </c>
      <c r="K349" s="55" t="s">
        <v>513</v>
      </c>
      <c r="L349" s="58" t="s">
        <v>2469</v>
      </c>
      <c r="M349" s="56"/>
    </row>
    <row r="350" customFormat="false" ht="38.25" hidden="false" customHeight="true" outlineLevel="0" collapsed="false">
      <c r="A350" s="55" t="n">
        <v>346</v>
      </c>
      <c r="B350" s="55" t="s">
        <v>1291</v>
      </c>
      <c r="C350" s="56" t="s">
        <v>1314</v>
      </c>
      <c r="D350" s="55" t="s">
        <v>2705</v>
      </c>
      <c r="E350" s="57" t="n">
        <v>38927</v>
      </c>
      <c r="F350" s="55" t="s">
        <v>2467</v>
      </c>
      <c r="G350" s="56" t="s">
        <v>2706</v>
      </c>
      <c r="H350" s="55"/>
      <c r="I350" s="55" t="s">
        <v>2706</v>
      </c>
      <c r="J350" s="55" t="s">
        <v>280</v>
      </c>
      <c r="K350" s="55" t="s">
        <v>502</v>
      </c>
      <c r="L350" s="58" t="s">
        <v>2469</v>
      </c>
      <c r="M350" s="56"/>
    </row>
    <row r="351" customFormat="false" ht="38.25" hidden="false" customHeight="true" outlineLevel="0" collapsed="false">
      <c r="A351" s="55" t="n">
        <v>347</v>
      </c>
      <c r="B351" s="55" t="s">
        <v>1291</v>
      </c>
      <c r="C351" s="56" t="s">
        <v>1317</v>
      </c>
      <c r="D351" s="55" t="s">
        <v>1318</v>
      </c>
      <c r="E351" s="57" t="n">
        <v>37267</v>
      </c>
      <c r="F351" s="55" t="s">
        <v>2467</v>
      </c>
      <c r="G351" s="56" t="s">
        <v>2707</v>
      </c>
      <c r="H351" s="55"/>
      <c r="I351" s="55" t="s">
        <v>2707</v>
      </c>
      <c r="J351" s="55" t="s">
        <v>280</v>
      </c>
      <c r="K351" s="55" t="s">
        <v>502</v>
      </c>
      <c r="L351" s="58" t="s">
        <v>2469</v>
      </c>
      <c r="M351" s="56"/>
    </row>
    <row r="352" customFormat="false" ht="51" hidden="false" customHeight="true" outlineLevel="0" collapsed="false">
      <c r="A352" s="55" t="n">
        <v>348</v>
      </c>
      <c r="B352" s="55" t="s">
        <v>1291</v>
      </c>
      <c r="C352" s="56" t="s">
        <v>1320</v>
      </c>
      <c r="D352" s="55" t="s">
        <v>2708</v>
      </c>
      <c r="E352" s="57" t="n">
        <v>31661</v>
      </c>
      <c r="F352" s="55" t="s">
        <v>2467</v>
      </c>
      <c r="G352" s="56" t="s">
        <v>2709</v>
      </c>
      <c r="H352" s="55"/>
      <c r="I352" s="55" t="s">
        <v>2709</v>
      </c>
      <c r="J352" s="55" t="s">
        <v>280</v>
      </c>
      <c r="K352" s="55" t="s">
        <v>502</v>
      </c>
      <c r="L352" s="58" t="s">
        <v>2469</v>
      </c>
      <c r="M352" s="56"/>
    </row>
    <row r="353" customFormat="false" ht="38.25" hidden="false" customHeight="true" outlineLevel="0" collapsed="false">
      <c r="A353" s="55" t="n">
        <v>349</v>
      </c>
      <c r="B353" s="55" t="s">
        <v>1291</v>
      </c>
      <c r="C353" s="56" t="s">
        <v>1323</v>
      </c>
      <c r="D353" s="55" t="s">
        <v>2710</v>
      </c>
      <c r="E353" s="57" t="n">
        <v>48356</v>
      </c>
      <c r="F353" s="55" t="s">
        <v>2467</v>
      </c>
      <c r="G353" s="56" t="s">
        <v>2711</v>
      </c>
      <c r="H353" s="55"/>
      <c r="I353" s="55" t="s">
        <v>2711</v>
      </c>
      <c r="J353" s="55" t="s">
        <v>280</v>
      </c>
      <c r="K353" s="55" t="s">
        <v>502</v>
      </c>
      <c r="L353" s="58" t="s">
        <v>2469</v>
      </c>
      <c r="M353" s="56"/>
    </row>
    <row r="354" customFormat="false" ht="25.5" hidden="false" customHeight="true" outlineLevel="0" collapsed="false">
      <c r="A354" s="55" t="n">
        <v>350</v>
      </c>
      <c r="B354" s="55" t="s">
        <v>1326</v>
      </c>
      <c r="C354" s="56" t="s">
        <v>1327</v>
      </c>
      <c r="D354" s="55" t="s">
        <v>2712</v>
      </c>
      <c r="E354" s="57" t="n">
        <v>11189</v>
      </c>
      <c r="F354" s="55" t="s">
        <v>2467</v>
      </c>
      <c r="G354" s="56" t="s">
        <v>2713</v>
      </c>
      <c r="H354" s="55"/>
      <c r="I354" s="55" t="s">
        <v>2713</v>
      </c>
      <c r="J354" s="55" t="s">
        <v>280</v>
      </c>
      <c r="K354" s="55" t="s">
        <v>502</v>
      </c>
      <c r="L354" s="58" t="s">
        <v>2469</v>
      </c>
      <c r="M354" s="56"/>
    </row>
    <row r="355" customFormat="false" ht="25.5" hidden="false" customHeight="true" outlineLevel="0" collapsed="false">
      <c r="A355" s="55" t="n">
        <v>351</v>
      </c>
      <c r="B355" s="55" t="s">
        <v>1326</v>
      </c>
      <c r="C355" s="56" t="s">
        <v>1330</v>
      </c>
      <c r="D355" s="55" t="s">
        <v>2714</v>
      </c>
      <c r="E355" s="57" t="n">
        <v>19150</v>
      </c>
      <c r="F355" s="55" t="s">
        <v>2467</v>
      </c>
      <c r="G355" s="56" t="s">
        <v>2715</v>
      </c>
      <c r="H355" s="55"/>
      <c r="I355" s="55" t="s">
        <v>2715</v>
      </c>
      <c r="J355" s="55" t="s">
        <v>280</v>
      </c>
      <c r="K355" s="55" t="s">
        <v>502</v>
      </c>
      <c r="L355" s="58" t="s">
        <v>2469</v>
      </c>
      <c r="M355" s="56"/>
    </row>
    <row r="356" customFormat="false" ht="51" hidden="false" customHeight="true" outlineLevel="0" collapsed="false">
      <c r="A356" s="55" t="n">
        <v>352</v>
      </c>
      <c r="B356" s="55" t="s">
        <v>1326</v>
      </c>
      <c r="C356" s="56" t="s">
        <v>1333</v>
      </c>
      <c r="D356" s="55" t="s">
        <v>2716</v>
      </c>
      <c r="E356" s="57" t="n">
        <v>11359</v>
      </c>
      <c r="F356" s="55" t="s">
        <v>2467</v>
      </c>
      <c r="G356" s="56" t="s">
        <v>2717</v>
      </c>
      <c r="H356" s="55"/>
      <c r="I356" s="55" t="s">
        <v>2717</v>
      </c>
      <c r="J356" s="55" t="s">
        <v>280</v>
      </c>
      <c r="K356" s="55" t="s">
        <v>502</v>
      </c>
      <c r="L356" s="58" t="s">
        <v>2469</v>
      </c>
      <c r="M356" s="56"/>
    </row>
    <row r="357" customFormat="false" ht="51" hidden="false" customHeight="true" outlineLevel="0" collapsed="false">
      <c r="A357" s="55" t="n">
        <v>353</v>
      </c>
      <c r="B357" s="55" t="s">
        <v>1326</v>
      </c>
      <c r="C357" s="56" t="s">
        <v>1336</v>
      </c>
      <c r="D357" s="55" t="s">
        <v>2718</v>
      </c>
      <c r="E357" s="57" t="n">
        <v>12487</v>
      </c>
      <c r="F357" s="55" t="s">
        <v>2467</v>
      </c>
      <c r="G357" s="56" t="s">
        <v>2717</v>
      </c>
      <c r="H357" s="55"/>
      <c r="I357" s="55" t="s">
        <v>2717</v>
      </c>
      <c r="J357" s="55" t="s">
        <v>280</v>
      </c>
      <c r="K357" s="55" t="s">
        <v>502</v>
      </c>
      <c r="L357" s="58" t="s">
        <v>2469</v>
      </c>
      <c r="M357" s="56"/>
    </row>
    <row r="358" customFormat="false" ht="51" hidden="false" customHeight="true" outlineLevel="0" collapsed="false">
      <c r="A358" s="55" t="n">
        <v>354</v>
      </c>
      <c r="B358" s="55" t="s">
        <v>1326</v>
      </c>
      <c r="C358" s="56" t="s">
        <v>1339</v>
      </c>
      <c r="D358" s="55" t="s">
        <v>2719</v>
      </c>
      <c r="E358" s="57" t="n">
        <v>30020</v>
      </c>
      <c r="F358" s="55" t="s">
        <v>2467</v>
      </c>
      <c r="G358" s="56" t="s">
        <v>2720</v>
      </c>
      <c r="H358" s="55"/>
      <c r="I358" s="55" t="s">
        <v>2720</v>
      </c>
      <c r="J358" s="55" t="s">
        <v>280</v>
      </c>
      <c r="K358" s="55" t="s">
        <v>502</v>
      </c>
      <c r="L358" s="58" t="s">
        <v>2469</v>
      </c>
      <c r="M358" s="56"/>
    </row>
    <row r="359" customFormat="false" ht="25.5" hidden="false" customHeight="true" outlineLevel="0" collapsed="false">
      <c r="A359" s="55" t="n">
        <v>355</v>
      </c>
      <c r="B359" s="55" t="s">
        <v>1326</v>
      </c>
      <c r="C359" s="56" t="s">
        <v>1342</v>
      </c>
      <c r="D359" s="55" t="s">
        <v>1343</v>
      </c>
      <c r="E359" s="57" t="n">
        <v>10891</v>
      </c>
      <c r="F359" s="55" t="s">
        <v>2467</v>
      </c>
      <c r="G359" s="56" t="s">
        <v>2470</v>
      </c>
      <c r="H359" s="59"/>
      <c r="I359" s="55" t="s">
        <v>2721</v>
      </c>
      <c r="J359" s="55" t="s">
        <v>276</v>
      </c>
      <c r="K359" s="55" t="s">
        <v>513</v>
      </c>
      <c r="L359" s="61" t="s">
        <v>2476</v>
      </c>
      <c r="M359" s="56"/>
    </row>
    <row r="360" customFormat="false" ht="25.5" hidden="false" customHeight="true" outlineLevel="0" collapsed="false">
      <c r="A360" s="55" t="n">
        <v>356</v>
      </c>
      <c r="B360" s="55" t="s">
        <v>1326</v>
      </c>
      <c r="C360" s="56" t="s">
        <v>1345</v>
      </c>
      <c r="D360" s="55" t="s">
        <v>2722</v>
      </c>
      <c r="E360" s="57" t="n">
        <v>14221</v>
      </c>
      <c r="F360" s="55" t="s">
        <v>2467</v>
      </c>
      <c r="G360" s="56" t="s">
        <v>2470</v>
      </c>
      <c r="H360" s="59"/>
      <c r="I360" s="55" t="s">
        <v>2721</v>
      </c>
      <c r="J360" s="55" t="s">
        <v>276</v>
      </c>
      <c r="K360" s="55" t="s">
        <v>513</v>
      </c>
      <c r="L360" s="61" t="s">
        <v>2476</v>
      </c>
      <c r="M360" s="56"/>
    </row>
    <row r="361" customFormat="false" ht="25.5" hidden="false" customHeight="true" outlineLevel="0" collapsed="false">
      <c r="A361" s="55" t="n">
        <v>357</v>
      </c>
      <c r="B361" s="55" t="s">
        <v>1326</v>
      </c>
      <c r="C361" s="56" t="s">
        <v>1347</v>
      </c>
      <c r="D361" s="55" t="s">
        <v>1348</v>
      </c>
      <c r="E361" s="57" t="n">
        <v>3929</v>
      </c>
      <c r="F361" s="55" t="s">
        <v>2467</v>
      </c>
      <c r="G361" s="56" t="s">
        <v>2721</v>
      </c>
      <c r="H361" s="55"/>
      <c r="I361" s="55" t="s">
        <v>2721</v>
      </c>
      <c r="J361" s="55" t="s">
        <v>276</v>
      </c>
      <c r="K361" s="55" t="s">
        <v>513</v>
      </c>
      <c r="L361" s="58" t="s">
        <v>2469</v>
      </c>
      <c r="M361" s="56"/>
    </row>
    <row r="362" customFormat="false" ht="25.5" hidden="false" customHeight="true" outlineLevel="0" collapsed="false">
      <c r="A362" s="55" t="n">
        <v>358</v>
      </c>
      <c r="B362" s="55" t="s">
        <v>1326</v>
      </c>
      <c r="C362" s="56" t="s">
        <v>1349</v>
      </c>
      <c r="D362" s="55" t="s">
        <v>2723</v>
      </c>
      <c r="E362" s="57" t="n">
        <v>20245</v>
      </c>
      <c r="F362" s="55" t="s">
        <v>2467</v>
      </c>
      <c r="G362" s="56" t="s">
        <v>2470</v>
      </c>
      <c r="H362" s="59"/>
      <c r="I362" s="55" t="s">
        <v>2721</v>
      </c>
      <c r="J362" s="55" t="s">
        <v>276</v>
      </c>
      <c r="K362" s="55" t="s">
        <v>513</v>
      </c>
      <c r="L362" s="61" t="s">
        <v>2476</v>
      </c>
      <c r="M362" s="56"/>
    </row>
    <row r="363" customFormat="false" ht="25.5" hidden="false" customHeight="true" outlineLevel="0" collapsed="false">
      <c r="A363" s="55" t="n">
        <v>359</v>
      </c>
      <c r="B363" s="55" t="s">
        <v>1326</v>
      </c>
      <c r="C363" s="56" t="s">
        <v>1351</v>
      </c>
      <c r="D363" s="55" t="s">
        <v>2724</v>
      </c>
      <c r="E363" s="57" t="n">
        <v>3326</v>
      </c>
      <c r="F363" s="55" t="s">
        <v>2467</v>
      </c>
      <c r="G363" s="56" t="s">
        <v>2470</v>
      </c>
      <c r="H363" s="59"/>
      <c r="I363" s="55" t="s">
        <v>2725</v>
      </c>
      <c r="J363" s="55" t="s">
        <v>280</v>
      </c>
      <c r="K363" s="55" t="s">
        <v>502</v>
      </c>
      <c r="L363" s="60" t="s">
        <v>2472</v>
      </c>
      <c r="M363" s="56"/>
    </row>
    <row r="364" customFormat="false" ht="25.5" hidden="false" customHeight="true" outlineLevel="0" collapsed="false">
      <c r="A364" s="55" t="n">
        <v>360</v>
      </c>
      <c r="B364" s="55" t="s">
        <v>1326</v>
      </c>
      <c r="C364" s="56" t="s">
        <v>1354</v>
      </c>
      <c r="D364" s="55" t="s">
        <v>2726</v>
      </c>
      <c r="E364" s="57" t="n">
        <v>33518</v>
      </c>
      <c r="F364" s="55" t="s">
        <v>2467</v>
      </c>
      <c r="G364" s="56" t="s">
        <v>2727</v>
      </c>
      <c r="H364" s="55"/>
      <c r="I364" s="55" t="s">
        <v>2727</v>
      </c>
      <c r="J364" s="55" t="s">
        <v>280</v>
      </c>
      <c r="K364" s="55" t="s">
        <v>502</v>
      </c>
      <c r="L364" s="58" t="s">
        <v>2469</v>
      </c>
      <c r="M364" s="56"/>
    </row>
    <row r="365" customFormat="false" ht="25.5" hidden="false" customHeight="true" outlineLevel="0" collapsed="false">
      <c r="A365" s="55" t="n">
        <v>361</v>
      </c>
      <c r="B365" s="55" t="s">
        <v>1326</v>
      </c>
      <c r="C365" s="56" t="s">
        <v>1357</v>
      </c>
      <c r="D365" s="55" t="s">
        <v>1358</v>
      </c>
      <c r="E365" s="57" t="n">
        <v>20634</v>
      </c>
      <c r="F365" s="55" t="s">
        <v>2467</v>
      </c>
      <c r="G365" s="56" t="s">
        <v>2470</v>
      </c>
      <c r="H365" s="59"/>
      <c r="I365" s="55" t="s">
        <v>2721</v>
      </c>
      <c r="J365" s="55" t="s">
        <v>276</v>
      </c>
      <c r="K365" s="55" t="s">
        <v>513</v>
      </c>
      <c r="L365" s="61" t="s">
        <v>2476</v>
      </c>
      <c r="M365" s="56"/>
    </row>
    <row r="366" customFormat="false" ht="25.5" hidden="false" customHeight="true" outlineLevel="0" collapsed="false">
      <c r="A366" s="55" t="n">
        <v>362</v>
      </c>
      <c r="B366" s="55" t="s">
        <v>1326</v>
      </c>
      <c r="C366" s="56" t="s">
        <v>1359</v>
      </c>
      <c r="D366" s="55" t="s">
        <v>1360</v>
      </c>
      <c r="E366" s="57" t="n">
        <v>77268</v>
      </c>
      <c r="F366" s="55" t="s">
        <v>2467</v>
      </c>
      <c r="G366" s="56" t="s">
        <v>2470</v>
      </c>
      <c r="H366" s="59"/>
      <c r="I366" s="55" t="s">
        <v>2721</v>
      </c>
      <c r="J366" s="55" t="s">
        <v>276</v>
      </c>
      <c r="K366" s="55" t="s">
        <v>513</v>
      </c>
      <c r="L366" s="61" t="s">
        <v>2476</v>
      </c>
      <c r="M366" s="56"/>
    </row>
    <row r="367" customFormat="false" ht="25.5" hidden="false" customHeight="true" outlineLevel="0" collapsed="false">
      <c r="A367" s="55" t="n">
        <v>363</v>
      </c>
      <c r="B367" s="55" t="s">
        <v>1326</v>
      </c>
      <c r="C367" s="56" t="s">
        <v>1362</v>
      </c>
      <c r="D367" s="55" t="s">
        <v>1363</v>
      </c>
      <c r="E367" s="57" t="n">
        <v>48309</v>
      </c>
      <c r="F367" s="55" t="s">
        <v>2467</v>
      </c>
      <c r="G367" s="56" t="s">
        <v>2470</v>
      </c>
      <c r="H367" s="59"/>
      <c r="I367" s="55" t="s">
        <v>2721</v>
      </c>
      <c r="J367" s="55" t="s">
        <v>276</v>
      </c>
      <c r="K367" s="55" t="s">
        <v>513</v>
      </c>
      <c r="L367" s="61" t="s">
        <v>2476</v>
      </c>
      <c r="M367" s="56"/>
    </row>
    <row r="368" customFormat="false" ht="25.5" hidden="false" customHeight="true" outlineLevel="0" collapsed="false">
      <c r="A368" s="55" t="n">
        <v>364</v>
      </c>
      <c r="B368" s="55" t="s">
        <v>1326</v>
      </c>
      <c r="C368" s="56" t="s">
        <v>1364</v>
      </c>
      <c r="D368" s="55" t="s">
        <v>1365</v>
      </c>
      <c r="E368" s="57" t="n">
        <v>64375</v>
      </c>
      <c r="F368" s="55" t="s">
        <v>2467</v>
      </c>
      <c r="G368" s="56" t="s">
        <v>2470</v>
      </c>
      <c r="H368" s="59"/>
      <c r="I368" s="55" t="s">
        <v>2721</v>
      </c>
      <c r="J368" s="55" t="s">
        <v>276</v>
      </c>
      <c r="K368" s="55" t="s">
        <v>513</v>
      </c>
      <c r="L368" s="61" t="s">
        <v>2476</v>
      </c>
      <c r="M368" s="56"/>
    </row>
    <row r="369" customFormat="false" ht="38.25" hidden="false" customHeight="true" outlineLevel="0" collapsed="false">
      <c r="A369" s="55" t="n">
        <v>365</v>
      </c>
      <c r="B369" s="55" t="s">
        <v>1326</v>
      </c>
      <c r="C369" s="56" t="s">
        <v>1366</v>
      </c>
      <c r="D369" s="55" t="s">
        <v>1367</v>
      </c>
      <c r="E369" s="57" t="n">
        <v>48139</v>
      </c>
      <c r="F369" s="55" t="s">
        <v>2467</v>
      </c>
      <c r="G369" s="56" t="s">
        <v>2470</v>
      </c>
      <c r="H369" s="59"/>
      <c r="I369" s="55" t="s">
        <v>2721</v>
      </c>
      <c r="J369" s="55" t="s">
        <v>276</v>
      </c>
      <c r="K369" s="55" t="s">
        <v>513</v>
      </c>
      <c r="L369" s="61" t="s">
        <v>2476</v>
      </c>
      <c r="M369" s="56"/>
    </row>
    <row r="370" customFormat="false" ht="38.25" hidden="false" customHeight="true" outlineLevel="0" collapsed="false">
      <c r="A370" s="55" t="n">
        <v>366</v>
      </c>
      <c r="B370" s="55" t="s">
        <v>1326</v>
      </c>
      <c r="C370" s="56" t="s">
        <v>1368</v>
      </c>
      <c r="D370" s="55" t="s">
        <v>1369</v>
      </c>
      <c r="E370" s="57" t="n">
        <v>38297</v>
      </c>
      <c r="F370" s="55" t="s">
        <v>2467</v>
      </c>
      <c r="G370" s="56" t="s">
        <v>2470</v>
      </c>
      <c r="H370" s="59"/>
      <c r="I370" s="55" t="s">
        <v>2721</v>
      </c>
      <c r="J370" s="55" t="s">
        <v>276</v>
      </c>
      <c r="K370" s="55" t="s">
        <v>513</v>
      </c>
      <c r="L370" s="61" t="s">
        <v>2476</v>
      </c>
      <c r="M370" s="56"/>
    </row>
    <row r="371" customFormat="false" ht="38.25" hidden="false" customHeight="true" outlineLevel="0" collapsed="false">
      <c r="A371" s="55" t="n">
        <v>367</v>
      </c>
      <c r="B371" s="55" t="s">
        <v>1326</v>
      </c>
      <c r="C371" s="56" t="s">
        <v>1370</v>
      </c>
      <c r="D371" s="55" t="s">
        <v>1371</v>
      </c>
      <c r="E371" s="57" t="n">
        <v>63348</v>
      </c>
      <c r="F371" s="55" t="s">
        <v>2467</v>
      </c>
      <c r="G371" s="56" t="s">
        <v>2470</v>
      </c>
      <c r="H371" s="59"/>
      <c r="I371" s="55" t="s">
        <v>2721</v>
      </c>
      <c r="J371" s="55" t="s">
        <v>276</v>
      </c>
      <c r="K371" s="55" t="s">
        <v>513</v>
      </c>
      <c r="L371" s="61" t="s">
        <v>2476</v>
      </c>
      <c r="M371" s="56"/>
    </row>
    <row r="372" customFormat="false" ht="38.25" hidden="false" customHeight="true" outlineLevel="0" collapsed="false">
      <c r="A372" s="55" t="n">
        <v>368</v>
      </c>
      <c r="B372" s="55" t="s">
        <v>1326</v>
      </c>
      <c r="C372" s="56" t="s">
        <v>1372</v>
      </c>
      <c r="D372" s="55" t="s">
        <v>2728</v>
      </c>
      <c r="E372" s="57" t="n">
        <v>12232</v>
      </c>
      <c r="F372" s="55" t="s">
        <v>2467</v>
      </c>
      <c r="G372" s="56" t="s">
        <v>2729</v>
      </c>
      <c r="H372" s="55"/>
      <c r="I372" s="55" t="s">
        <v>2729</v>
      </c>
      <c r="J372" s="55" t="s">
        <v>280</v>
      </c>
      <c r="K372" s="55" t="s">
        <v>502</v>
      </c>
      <c r="L372" s="58" t="s">
        <v>2469</v>
      </c>
      <c r="M372" s="56"/>
    </row>
    <row r="373" customFormat="false" ht="38.25" hidden="false" customHeight="true" outlineLevel="0" collapsed="false">
      <c r="A373" s="55" t="n">
        <v>369</v>
      </c>
      <c r="B373" s="55" t="s">
        <v>1326</v>
      </c>
      <c r="C373" s="56" t="s">
        <v>1375</v>
      </c>
      <c r="D373" s="55" t="s">
        <v>2730</v>
      </c>
      <c r="E373" s="57" t="n">
        <v>15005</v>
      </c>
      <c r="F373" s="55" t="s">
        <v>2467</v>
      </c>
      <c r="G373" s="56" t="s">
        <v>2731</v>
      </c>
      <c r="H373" s="55"/>
      <c r="I373" s="55" t="s">
        <v>2731</v>
      </c>
      <c r="J373" s="55" t="s">
        <v>280</v>
      </c>
      <c r="K373" s="55" t="s">
        <v>502</v>
      </c>
      <c r="L373" s="58" t="s">
        <v>2469</v>
      </c>
      <c r="M373" s="56"/>
    </row>
    <row r="374" customFormat="false" ht="51" hidden="false" customHeight="true" outlineLevel="0" collapsed="false">
      <c r="A374" s="55" t="n">
        <v>370</v>
      </c>
      <c r="B374" s="55" t="s">
        <v>1326</v>
      </c>
      <c r="C374" s="56" t="s">
        <v>1378</v>
      </c>
      <c r="D374" s="55" t="s">
        <v>2732</v>
      </c>
      <c r="E374" s="57" t="n">
        <v>12127</v>
      </c>
      <c r="F374" s="55" t="s">
        <v>2467</v>
      </c>
      <c r="G374" s="56" t="s">
        <v>2733</v>
      </c>
      <c r="H374" s="55"/>
      <c r="I374" s="55" t="s">
        <v>2733</v>
      </c>
      <c r="J374" s="55" t="s">
        <v>280</v>
      </c>
      <c r="K374" s="55" t="s">
        <v>502</v>
      </c>
      <c r="L374" s="58" t="s">
        <v>2469</v>
      </c>
      <c r="M374" s="56"/>
    </row>
    <row r="375" customFormat="false" ht="38.25" hidden="false" customHeight="true" outlineLevel="0" collapsed="false">
      <c r="A375" s="55" t="n">
        <v>371</v>
      </c>
      <c r="B375" s="55" t="s">
        <v>1326</v>
      </c>
      <c r="C375" s="56" t="s">
        <v>1381</v>
      </c>
      <c r="D375" s="55" t="s">
        <v>2734</v>
      </c>
      <c r="E375" s="57" t="n">
        <v>11388</v>
      </c>
      <c r="F375" s="55" t="s">
        <v>2467</v>
      </c>
      <c r="G375" s="56" t="s">
        <v>2735</v>
      </c>
      <c r="H375" s="55"/>
      <c r="I375" s="55" t="s">
        <v>2735</v>
      </c>
      <c r="J375" s="55" t="s">
        <v>280</v>
      </c>
      <c r="K375" s="55" t="s">
        <v>502</v>
      </c>
      <c r="L375" s="58" t="s">
        <v>2469</v>
      </c>
      <c r="M375" s="56"/>
    </row>
    <row r="376" customFormat="false" ht="38.25" hidden="false" customHeight="true" outlineLevel="0" collapsed="false">
      <c r="A376" s="55" t="n">
        <v>372</v>
      </c>
      <c r="B376" s="55" t="s">
        <v>1326</v>
      </c>
      <c r="C376" s="56" t="s">
        <v>1384</v>
      </c>
      <c r="D376" s="55" t="s">
        <v>2736</v>
      </c>
      <c r="E376" s="57" t="n">
        <v>28458</v>
      </c>
      <c r="F376" s="55" t="s">
        <v>2467</v>
      </c>
      <c r="G376" s="56" t="s">
        <v>2737</v>
      </c>
      <c r="H376" s="55"/>
      <c r="I376" s="55" t="s">
        <v>2737</v>
      </c>
      <c r="J376" s="55" t="s">
        <v>280</v>
      </c>
      <c r="K376" s="55" t="s">
        <v>502</v>
      </c>
      <c r="L376" s="58" t="s">
        <v>2469</v>
      </c>
      <c r="M376" s="56"/>
    </row>
    <row r="377" customFormat="false" ht="38.25" hidden="false" customHeight="true" outlineLevel="0" collapsed="false">
      <c r="A377" s="55" t="n">
        <v>373</v>
      </c>
      <c r="B377" s="55" t="s">
        <v>1326</v>
      </c>
      <c r="C377" s="56" t="s">
        <v>1387</v>
      </c>
      <c r="D377" s="55" t="s">
        <v>2738</v>
      </c>
      <c r="E377" s="57" t="n">
        <v>18333</v>
      </c>
      <c r="F377" s="55" t="s">
        <v>2467</v>
      </c>
      <c r="G377" s="56" t="s">
        <v>2737</v>
      </c>
      <c r="H377" s="55"/>
      <c r="I377" s="55" t="s">
        <v>2737</v>
      </c>
      <c r="J377" s="55" t="s">
        <v>280</v>
      </c>
      <c r="K377" s="55" t="s">
        <v>502</v>
      </c>
      <c r="L377" s="58" t="s">
        <v>2469</v>
      </c>
      <c r="M377" s="56"/>
    </row>
    <row r="378" customFormat="false" ht="15" hidden="false" customHeight="false" outlineLevel="0" collapsed="false">
      <c r="A378" s="55" t="n">
        <v>374</v>
      </c>
      <c r="B378" s="55" t="s">
        <v>1326</v>
      </c>
      <c r="C378" s="56" t="s">
        <v>1390</v>
      </c>
      <c r="D378" s="55" t="s">
        <v>1391</v>
      </c>
      <c r="E378" s="57" t="n">
        <v>49577</v>
      </c>
      <c r="F378" s="55" t="s">
        <v>2467</v>
      </c>
      <c r="G378" s="56" t="s">
        <v>2725</v>
      </c>
      <c r="H378" s="55"/>
      <c r="I378" s="55" t="s">
        <v>2725</v>
      </c>
      <c r="J378" s="55" t="s">
        <v>280</v>
      </c>
      <c r="K378" s="55" t="s">
        <v>502</v>
      </c>
      <c r="L378" s="58" t="s">
        <v>2469</v>
      </c>
      <c r="M378" s="56"/>
    </row>
    <row r="379" customFormat="false" ht="38.25" hidden="false" customHeight="true" outlineLevel="0" collapsed="false">
      <c r="A379" s="55" t="n">
        <v>375</v>
      </c>
      <c r="B379" s="55" t="s">
        <v>1326</v>
      </c>
      <c r="C379" s="56" t="s">
        <v>1392</v>
      </c>
      <c r="D379" s="55" t="s">
        <v>2739</v>
      </c>
      <c r="E379" s="57" t="n">
        <v>14148</v>
      </c>
      <c r="F379" s="55" t="s">
        <v>2467</v>
      </c>
      <c r="G379" s="56" t="s">
        <v>2740</v>
      </c>
      <c r="H379" s="55"/>
      <c r="I379" s="55" t="s">
        <v>2740</v>
      </c>
      <c r="J379" s="55" t="s">
        <v>280</v>
      </c>
      <c r="K379" s="55" t="s">
        <v>502</v>
      </c>
      <c r="L379" s="58" t="s">
        <v>2469</v>
      </c>
      <c r="M379" s="56"/>
    </row>
    <row r="380" customFormat="false" ht="25.5" hidden="false" customHeight="true" outlineLevel="0" collapsed="false">
      <c r="A380" s="55" t="n">
        <v>376</v>
      </c>
      <c r="B380" s="55" t="s">
        <v>1395</v>
      </c>
      <c r="C380" s="56" t="s">
        <v>1411</v>
      </c>
      <c r="D380" s="55" t="s">
        <v>1412</v>
      </c>
      <c r="E380" s="57" t="n">
        <v>20175</v>
      </c>
      <c r="F380" s="55" t="s">
        <v>2467</v>
      </c>
      <c r="G380" s="56" t="s">
        <v>2470</v>
      </c>
      <c r="H380" s="59"/>
      <c r="I380" s="55" t="s">
        <v>2741</v>
      </c>
      <c r="J380" s="55" t="s">
        <v>276</v>
      </c>
      <c r="K380" s="55" t="s">
        <v>513</v>
      </c>
      <c r="L380" s="61" t="s">
        <v>2476</v>
      </c>
      <c r="M380" s="56"/>
    </row>
    <row r="381" customFormat="false" ht="25.5" hidden="false" customHeight="true" outlineLevel="0" collapsed="false">
      <c r="A381" s="55" t="n">
        <v>377</v>
      </c>
      <c r="B381" s="55" t="s">
        <v>1395</v>
      </c>
      <c r="C381" s="56" t="s">
        <v>1399</v>
      </c>
      <c r="D381" s="55" t="s">
        <v>1400</v>
      </c>
      <c r="E381" s="57" t="n">
        <v>33014</v>
      </c>
      <c r="F381" s="55" t="s">
        <v>2467</v>
      </c>
      <c r="G381" s="56" t="s">
        <v>2470</v>
      </c>
      <c r="H381" s="59"/>
      <c r="I381" s="55" t="s">
        <v>2741</v>
      </c>
      <c r="J381" s="55" t="s">
        <v>276</v>
      </c>
      <c r="K381" s="55" t="s">
        <v>513</v>
      </c>
      <c r="L381" s="61" t="s">
        <v>2476</v>
      </c>
      <c r="M381" s="56"/>
    </row>
    <row r="382" customFormat="false" ht="25.5" hidden="false" customHeight="true" outlineLevel="0" collapsed="false">
      <c r="A382" s="55" t="n">
        <v>378</v>
      </c>
      <c r="B382" s="55" t="s">
        <v>1395</v>
      </c>
      <c r="C382" s="56" t="s">
        <v>1402</v>
      </c>
      <c r="D382" s="55" t="s">
        <v>1403</v>
      </c>
      <c r="E382" s="57" t="n">
        <v>26147</v>
      </c>
      <c r="F382" s="55" t="s">
        <v>2467</v>
      </c>
      <c r="G382" s="56" t="s">
        <v>2470</v>
      </c>
      <c r="H382" s="59"/>
      <c r="I382" s="55" t="s">
        <v>2741</v>
      </c>
      <c r="J382" s="55" t="s">
        <v>276</v>
      </c>
      <c r="K382" s="55" t="s">
        <v>513</v>
      </c>
      <c r="L382" s="61" t="s">
        <v>2476</v>
      </c>
      <c r="M382" s="56"/>
    </row>
    <row r="383" customFormat="false" ht="25.5" hidden="false" customHeight="true" outlineLevel="0" collapsed="false">
      <c r="A383" s="55" t="n">
        <v>379</v>
      </c>
      <c r="B383" s="55" t="s">
        <v>1395</v>
      </c>
      <c r="C383" s="56" t="s">
        <v>1404</v>
      </c>
      <c r="D383" s="55" t="s">
        <v>1405</v>
      </c>
      <c r="E383" s="57" t="n">
        <v>24291</v>
      </c>
      <c r="F383" s="55" t="s">
        <v>2467</v>
      </c>
      <c r="G383" s="56" t="s">
        <v>2470</v>
      </c>
      <c r="H383" s="59"/>
      <c r="I383" s="55" t="s">
        <v>2741</v>
      </c>
      <c r="J383" s="55" t="s">
        <v>276</v>
      </c>
      <c r="K383" s="55" t="s">
        <v>513</v>
      </c>
      <c r="L383" s="61" t="s">
        <v>2476</v>
      </c>
      <c r="M383" s="56"/>
    </row>
    <row r="384" customFormat="false" ht="25.5" hidden="false" customHeight="true" outlineLevel="0" collapsed="false">
      <c r="A384" s="55" t="n">
        <v>380</v>
      </c>
      <c r="B384" s="55" t="s">
        <v>1395</v>
      </c>
      <c r="C384" s="56" t="s">
        <v>1406</v>
      </c>
      <c r="D384" s="55" t="s">
        <v>1407</v>
      </c>
      <c r="E384" s="57" t="n">
        <v>19598</v>
      </c>
      <c r="F384" s="55" t="s">
        <v>2467</v>
      </c>
      <c r="G384" s="56" t="s">
        <v>2470</v>
      </c>
      <c r="H384" s="59"/>
      <c r="I384" s="55" t="s">
        <v>2742</v>
      </c>
      <c r="J384" s="55" t="s">
        <v>278</v>
      </c>
      <c r="K384" s="55" t="s">
        <v>513</v>
      </c>
      <c r="L384" s="61" t="s">
        <v>2476</v>
      </c>
      <c r="M384" s="56"/>
    </row>
    <row r="385" customFormat="false" ht="38.25" hidden="false" customHeight="true" outlineLevel="0" collapsed="false">
      <c r="A385" s="55" t="n">
        <v>381</v>
      </c>
      <c r="B385" s="55" t="s">
        <v>1395</v>
      </c>
      <c r="C385" s="56" t="s">
        <v>2743</v>
      </c>
      <c r="D385" s="55"/>
      <c r="E385" s="57" t="n">
        <v>1916</v>
      </c>
      <c r="F385" s="55" t="s">
        <v>2467</v>
      </c>
      <c r="G385" s="56" t="s">
        <v>2470</v>
      </c>
      <c r="H385" s="59"/>
      <c r="I385" s="55" t="s">
        <v>2741</v>
      </c>
      <c r="J385" s="55" t="s">
        <v>276</v>
      </c>
      <c r="K385" s="55" t="s">
        <v>513</v>
      </c>
      <c r="L385" s="60" t="s">
        <v>2479</v>
      </c>
      <c r="M385" s="56"/>
    </row>
    <row r="386" customFormat="false" ht="25.5" hidden="false" customHeight="true" outlineLevel="0" collapsed="false">
      <c r="A386" s="55" t="n">
        <v>382</v>
      </c>
      <c r="B386" s="55" t="s">
        <v>1395</v>
      </c>
      <c r="C386" s="56" t="s">
        <v>1409</v>
      </c>
      <c r="D386" s="55" t="s">
        <v>2744</v>
      </c>
      <c r="E386" s="57" t="n">
        <v>71103</v>
      </c>
      <c r="F386" s="55" t="s">
        <v>2467</v>
      </c>
      <c r="G386" s="56" t="s">
        <v>2470</v>
      </c>
      <c r="H386" s="62" t="s">
        <v>2745</v>
      </c>
      <c r="I386" s="55" t="s">
        <v>2741</v>
      </c>
      <c r="J386" s="55" t="s">
        <v>276</v>
      </c>
      <c r="K386" s="55" t="s">
        <v>513</v>
      </c>
      <c r="L386" s="58" t="s">
        <v>2746</v>
      </c>
      <c r="M386" s="56"/>
    </row>
    <row r="387" customFormat="false" ht="25.5" hidden="false" customHeight="true" outlineLevel="0" collapsed="false">
      <c r="A387" s="55" t="n">
        <v>383</v>
      </c>
      <c r="B387" s="55" t="s">
        <v>1395</v>
      </c>
      <c r="C387" s="56" t="s">
        <v>1396</v>
      </c>
      <c r="D387" s="55" t="s">
        <v>1397</v>
      </c>
      <c r="E387" s="57" t="n">
        <v>24761</v>
      </c>
      <c r="F387" s="55" t="s">
        <v>2467</v>
      </c>
      <c r="G387" s="56" t="s">
        <v>2470</v>
      </c>
      <c r="H387" s="59"/>
      <c r="I387" s="55" t="s">
        <v>2741</v>
      </c>
      <c r="J387" s="55" t="s">
        <v>276</v>
      </c>
      <c r="K387" s="55" t="s">
        <v>513</v>
      </c>
      <c r="L387" s="61" t="s">
        <v>2476</v>
      </c>
      <c r="M387" s="56"/>
    </row>
    <row r="388" customFormat="false" ht="25.5" hidden="false" customHeight="true" outlineLevel="0" collapsed="false">
      <c r="A388" s="55" t="n">
        <v>384</v>
      </c>
      <c r="B388" s="55" t="s">
        <v>1395</v>
      </c>
      <c r="C388" s="56" t="s">
        <v>1425</v>
      </c>
      <c r="D388" s="55" t="s">
        <v>1426</v>
      </c>
      <c r="E388" s="57" t="n">
        <v>49025</v>
      </c>
      <c r="F388" s="55" t="s">
        <v>2467</v>
      </c>
      <c r="G388" s="56" t="s">
        <v>2470</v>
      </c>
      <c r="H388" s="59"/>
      <c r="I388" s="55" t="s">
        <v>2741</v>
      </c>
      <c r="J388" s="55" t="s">
        <v>276</v>
      </c>
      <c r="K388" s="55" t="s">
        <v>513</v>
      </c>
      <c r="L388" s="61" t="s">
        <v>2476</v>
      </c>
      <c r="M388" s="56"/>
    </row>
    <row r="389" customFormat="false" ht="25.5" hidden="false" customHeight="true" outlineLevel="0" collapsed="false">
      <c r="A389" s="55" t="n">
        <v>385</v>
      </c>
      <c r="B389" s="55" t="s">
        <v>1395</v>
      </c>
      <c r="C389" s="56" t="s">
        <v>1433</v>
      </c>
      <c r="D389" s="55" t="s">
        <v>2747</v>
      </c>
      <c r="E389" s="57" t="n">
        <v>14682</v>
      </c>
      <c r="F389" s="55" t="s">
        <v>2467</v>
      </c>
      <c r="G389" s="56" t="s">
        <v>2470</v>
      </c>
      <c r="H389" s="59"/>
      <c r="I389" s="55" t="s">
        <v>2741</v>
      </c>
      <c r="J389" s="55" t="s">
        <v>276</v>
      </c>
      <c r="K389" s="55" t="s">
        <v>513</v>
      </c>
      <c r="L389" s="61" t="s">
        <v>2476</v>
      </c>
      <c r="M389" s="56"/>
    </row>
    <row r="390" customFormat="false" ht="25.5" hidden="false" customHeight="true" outlineLevel="0" collapsed="false">
      <c r="A390" s="55" t="n">
        <v>386</v>
      </c>
      <c r="B390" s="55" t="s">
        <v>1395</v>
      </c>
      <c r="C390" s="56" t="s">
        <v>1418</v>
      </c>
      <c r="D390" s="55" t="s">
        <v>1419</v>
      </c>
      <c r="E390" s="57" t="n">
        <v>10634</v>
      </c>
      <c r="F390" s="55" t="s">
        <v>2467</v>
      </c>
      <c r="G390" s="56" t="s">
        <v>2470</v>
      </c>
      <c r="H390" s="59"/>
      <c r="I390" s="55" t="s">
        <v>2748</v>
      </c>
      <c r="J390" s="55" t="s">
        <v>278</v>
      </c>
      <c r="K390" s="55" t="s">
        <v>513</v>
      </c>
      <c r="L390" s="61" t="s">
        <v>2476</v>
      </c>
      <c r="M390" s="56"/>
    </row>
    <row r="391" customFormat="false" ht="25.5" hidden="false" customHeight="true" outlineLevel="0" collapsed="false">
      <c r="A391" s="55" t="n">
        <v>387</v>
      </c>
      <c r="B391" s="55" t="s">
        <v>1395</v>
      </c>
      <c r="C391" s="56" t="s">
        <v>1421</v>
      </c>
      <c r="D391" s="55" t="s">
        <v>2030</v>
      </c>
      <c r="E391" s="57" t="n">
        <v>7679</v>
      </c>
      <c r="F391" s="55" t="s">
        <v>2467</v>
      </c>
      <c r="G391" s="56" t="s">
        <v>2470</v>
      </c>
      <c r="H391" s="59"/>
      <c r="I391" s="55" t="s">
        <v>2742</v>
      </c>
      <c r="J391" s="55" t="s">
        <v>278</v>
      </c>
      <c r="K391" s="55" t="s">
        <v>513</v>
      </c>
      <c r="L391" s="61" t="s">
        <v>2476</v>
      </c>
      <c r="M391" s="56"/>
    </row>
    <row r="392" customFormat="false" ht="25.5" hidden="false" customHeight="true" outlineLevel="0" collapsed="false">
      <c r="A392" s="55" t="n">
        <v>388</v>
      </c>
      <c r="B392" s="55" t="s">
        <v>1395</v>
      </c>
      <c r="C392" s="56" t="s">
        <v>1423</v>
      </c>
      <c r="D392" s="55" t="s">
        <v>1424</v>
      </c>
      <c r="E392" s="57" t="n">
        <v>59135</v>
      </c>
      <c r="F392" s="55" t="s">
        <v>2467</v>
      </c>
      <c r="G392" s="56" t="s">
        <v>2470</v>
      </c>
      <c r="H392" s="59"/>
      <c r="I392" s="55" t="s">
        <v>2741</v>
      </c>
      <c r="J392" s="55" t="s">
        <v>276</v>
      </c>
      <c r="K392" s="55" t="s">
        <v>513</v>
      </c>
      <c r="L392" s="61" t="s">
        <v>2476</v>
      </c>
      <c r="M392" s="56"/>
    </row>
    <row r="393" customFormat="false" ht="25.5" hidden="false" customHeight="true" outlineLevel="0" collapsed="false">
      <c r="A393" s="55" t="n">
        <v>389</v>
      </c>
      <c r="B393" s="55" t="s">
        <v>1395</v>
      </c>
      <c r="C393" s="56" t="s">
        <v>1427</v>
      </c>
      <c r="D393" s="55" t="s">
        <v>1428</v>
      </c>
      <c r="E393" s="57" t="n">
        <v>5358</v>
      </c>
      <c r="F393" s="55" t="s">
        <v>2467</v>
      </c>
      <c r="G393" s="56" t="s">
        <v>2470</v>
      </c>
      <c r="H393" s="59"/>
      <c r="I393" s="55" t="s">
        <v>2741</v>
      </c>
      <c r="J393" s="55" t="s">
        <v>276</v>
      </c>
      <c r="K393" s="55" t="s">
        <v>513</v>
      </c>
      <c r="L393" s="61" t="s">
        <v>2476</v>
      </c>
      <c r="M393" s="56"/>
    </row>
    <row r="394" customFormat="false" ht="25.5" hidden="false" customHeight="true" outlineLevel="0" collapsed="false">
      <c r="A394" s="55" t="n">
        <v>390</v>
      </c>
      <c r="B394" s="55" t="s">
        <v>1395</v>
      </c>
      <c r="C394" s="56" t="s">
        <v>1416</v>
      </c>
      <c r="D394" s="55" t="s">
        <v>1417</v>
      </c>
      <c r="E394" s="57" t="n">
        <v>21454</v>
      </c>
      <c r="F394" s="55" t="s">
        <v>2467</v>
      </c>
      <c r="G394" s="56" t="s">
        <v>2470</v>
      </c>
      <c r="H394" s="59"/>
      <c r="I394" s="55" t="s">
        <v>2741</v>
      </c>
      <c r="J394" s="55" t="s">
        <v>276</v>
      </c>
      <c r="K394" s="55" t="s">
        <v>513</v>
      </c>
      <c r="L394" s="61" t="s">
        <v>2476</v>
      </c>
      <c r="M394" s="56"/>
    </row>
    <row r="395" customFormat="false" ht="25.5" hidden="false" customHeight="true" outlineLevel="0" collapsed="false">
      <c r="A395" s="55" t="n">
        <v>391</v>
      </c>
      <c r="B395" s="55" t="s">
        <v>1395</v>
      </c>
      <c r="C395" s="56" t="s">
        <v>1429</v>
      </c>
      <c r="D395" s="55" t="s">
        <v>1430</v>
      </c>
      <c r="E395" s="57" t="n">
        <v>13506</v>
      </c>
      <c r="F395" s="55" t="s">
        <v>2467</v>
      </c>
      <c r="G395" s="56" t="s">
        <v>2470</v>
      </c>
      <c r="H395" s="59"/>
      <c r="I395" s="55" t="s">
        <v>2741</v>
      </c>
      <c r="J395" s="55" t="s">
        <v>276</v>
      </c>
      <c r="K395" s="55" t="s">
        <v>513</v>
      </c>
      <c r="L395" s="61" t="s">
        <v>2476</v>
      </c>
      <c r="M395" s="56"/>
    </row>
    <row r="396" customFormat="false" ht="25.5" hidden="false" customHeight="true" outlineLevel="0" collapsed="false">
      <c r="A396" s="55" t="n">
        <v>392</v>
      </c>
      <c r="B396" s="55" t="s">
        <v>1395</v>
      </c>
      <c r="C396" s="56" t="s">
        <v>1431</v>
      </c>
      <c r="D396" s="55" t="s">
        <v>1432</v>
      </c>
      <c r="E396" s="57" t="n">
        <v>19819</v>
      </c>
      <c r="F396" s="55" t="s">
        <v>2467</v>
      </c>
      <c r="G396" s="56" t="s">
        <v>2470</v>
      </c>
      <c r="H396" s="59"/>
      <c r="I396" s="55" t="s">
        <v>2748</v>
      </c>
      <c r="J396" s="55" t="s">
        <v>278</v>
      </c>
      <c r="K396" s="55" t="s">
        <v>513</v>
      </c>
      <c r="L396" s="61" t="s">
        <v>2476</v>
      </c>
      <c r="M396" s="56"/>
    </row>
    <row r="397" customFormat="false" ht="25.5" hidden="false" customHeight="true" outlineLevel="0" collapsed="false">
      <c r="A397" s="55" t="n">
        <v>393</v>
      </c>
      <c r="B397" s="55" t="s">
        <v>1395</v>
      </c>
      <c r="C397" s="56" t="s">
        <v>1413</v>
      </c>
      <c r="D397" s="55" t="s">
        <v>2749</v>
      </c>
      <c r="E397" s="57" t="n">
        <v>27997</v>
      </c>
      <c r="F397" s="55" t="s">
        <v>2467</v>
      </c>
      <c r="G397" s="56" t="s">
        <v>2470</v>
      </c>
      <c r="H397" s="59"/>
      <c r="I397" s="55" t="s">
        <v>2750</v>
      </c>
      <c r="J397" s="55" t="s">
        <v>278</v>
      </c>
      <c r="K397" s="55" t="s">
        <v>513</v>
      </c>
      <c r="L397" s="61" t="s">
        <v>2476</v>
      </c>
      <c r="M397" s="56"/>
    </row>
    <row r="398" customFormat="false" ht="51" hidden="false" customHeight="true" outlineLevel="0" collapsed="false">
      <c r="A398" s="55" t="n">
        <v>394</v>
      </c>
      <c r="B398" s="55" t="s">
        <v>1395</v>
      </c>
      <c r="C398" s="56" t="s">
        <v>1435</v>
      </c>
      <c r="D398" s="55" t="s">
        <v>2751</v>
      </c>
      <c r="E398" s="57" t="n">
        <v>9382</v>
      </c>
      <c r="F398" s="55" t="s">
        <v>2467</v>
      </c>
      <c r="G398" s="56" t="s">
        <v>2752</v>
      </c>
      <c r="H398" s="55"/>
      <c r="I398" s="55" t="s">
        <v>2752</v>
      </c>
      <c r="J398" s="55" t="s">
        <v>280</v>
      </c>
      <c r="K398" s="55" t="s">
        <v>502</v>
      </c>
      <c r="L398" s="58" t="s">
        <v>2469</v>
      </c>
      <c r="M398" s="56"/>
    </row>
    <row r="399" customFormat="false" ht="51" hidden="false" customHeight="true" outlineLevel="0" collapsed="false">
      <c r="A399" s="55" t="n">
        <v>395</v>
      </c>
      <c r="B399" s="55" t="s">
        <v>1395</v>
      </c>
      <c r="C399" s="56" t="s">
        <v>1438</v>
      </c>
      <c r="D399" s="55" t="s">
        <v>2753</v>
      </c>
      <c r="E399" s="57" t="n">
        <v>28367</v>
      </c>
      <c r="F399" s="55" t="s">
        <v>2467</v>
      </c>
      <c r="G399" s="56" t="s">
        <v>2754</v>
      </c>
      <c r="H399" s="55"/>
      <c r="I399" s="55" t="s">
        <v>2754</v>
      </c>
      <c r="J399" s="55" t="s">
        <v>280</v>
      </c>
      <c r="K399" s="55" t="s">
        <v>502</v>
      </c>
      <c r="L399" s="58" t="s">
        <v>2469</v>
      </c>
      <c r="M399" s="56"/>
    </row>
    <row r="400" customFormat="false" ht="25.5" hidden="false" customHeight="true" outlineLevel="0" collapsed="false">
      <c r="A400" s="55" t="n">
        <v>396</v>
      </c>
      <c r="B400" s="55" t="s">
        <v>1395</v>
      </c>
      <c r="C400" s="56" t="s">
        <v>1463</v>
      </c>
      <c r="D400" s="55" t="s">
        <v>1464</v>
      </c>
      <c r="E400" s="57" t="n">
        <v>44521</v>
      </c>
      <c r="F400" s="55" t="s">
        <v>2467</v>
      </c>
      <c r="G400" s="56" t="s">
        <v>2470</v>
      </c>
      <c r="H400" s="59"/>
      <c r="I400" s="55" t="s">
        <v>2741</v>
      </c>
      <c r="J400" s="55" t="s">
        <v>276</v>
      </c>
      <c r="K400" s="55" t="s">
        <v>513</v>
      </c>
      <c r="L400" s="61" t="s">
        <v>2476</v>
      </c>
      <c r="M400" s="56"/>
    </row>
    <row r="401" customFormat="false" ht="38.25" hidden="false" customHeight="true" outlineLevel="0" collapsed="false">
      <c r="A401" s="55" t="n">
        <v>397</v>
      </c>
      <c r="B401" s="55" t="s">
        <v>1395</v>
      </c>
      <c r="C401" s="56" t="s">
        <v>1444</v>
      </c>
      <c r="D401" s="55" t="s">
        <v>2755</v>
      </c>
      <c r="E401" s="57" t="n">
        <v>31193</v>
      </c>
      <c r="F401" s="55" t="s">
        <v>2467</v>
      </c>
      <c r="G401" s="56" t="s">
        <v>2756</v>
      </c>
      <c r="H401" s="55"/>
      <c r="I401" s="55" t="s">
        <v>2756</v>
      </c>
      <c r="J401" s="55" t="s">
        <v>280</v>
      </c>
      <c r="K401" s="55" t="s">
        <v>502</v>
      </c>
      <c r="L401" s="58" t="s">
        <v>2469</v>
      </c>
      <c r="M401" s="56"/>
    </row>
    <row r="402" customFormat="false" ht="38.25" hidden="false" customHeight="true" outlineLevel="0" collapsed="false">
      <c r="A402" s="55" t="n">
        <v>398</v>
      </c>
      <c r="B402" s="55" t="s">
        <v>1395</v>
      </c>
      <c r="C402" s="56" t="s">
        <v>1447</v>
      </c>
      <c r="D402" s="55" t="s">
        <v>1448</v>
      </c>
      <c r="E402" s="57" t="n">
        <v>50289</v>
      </c>
      <c r="F402" s="55" t="s">
        <v>2467</v>
      </c>
      <c r="G402" s="56" t="s">
        <v>2470</v>
      </c>
      <c r="H402" s="59"/>
      <c r="I402" s="55" t="s">
        <v>2741</v>
      </c>
      <c r="J402" s="55" t="s">
        <v>276</v>
      </c>
      <c r="K402" s="55" t="s">
        <v>513</v>
      </c>
      <c r="L402" s="61" t="s">
        <v>2476</v>
      </c>
      <c r="M402" s="56"/>
    </row>
    <row r="403" customFormat="false" ht="51" hidden="false" customHeight="true" outlineLevel="0" collapsed="false">
      <c r="A403" s="55" t="n">
        <v>399</v>
      </c>
      <c r="B403" s="55" t="s">
        <v>1395</v>
      </c>
      <c r="C403" s="56" t="s">
        <v>1449</v>
      </c>
      <c r="D403" s="55" t="s">
        <v>1450</v>
      </c>
      <c r="E403" s="57" t="n">
        <v>37044</v>
      </c>
      <c r="F403" s="55" t="s">
        <v>2467</v>
      </c>
      <c r="G403" s="56" t="s">
        <v>2748</v>
      </c>
      <c r="H403" s="55"/>
      <c r="I403" s="55" t="s">
        <v>2748</v>
      </c>
      <c r="J403" s="55" t="s">
        <v>278</v>
      </c>
      <c r="K403" s="55" t="s">
        <v>513</v>
      </c>
      <c r="L403" s="58" t="s">
        <v>2469</v>
      </c>
      <c r="M403" s="56"/>
    </row>
    <row r="404" customFormat="false" ht="25.5" hidden="false" customHeight="true" outlineLevel="0" collapsed="false">
      <c r="A404" s="55" t="n">
        <v>400</v>
      </c>
      <c r="B404" s="55" t="s">
        <v>1395</v>
      </c>
      <c r="C404" s="56" t="s">
        <v>1451</v>
      </c>
      <c r="D404" s="55" t="s">
        <v>1452</v>
      </c>
      <c r="E404" s="57" t="n">
        <v>34715</v>
      </c>
      <c r="F404" s="55" t="s">
        <v>2467</v>
      </c>
      <c r="G404" s="56" t="s">
        <v>2470</v>
      </c>
      <c r="H404" s="59"/>
      <c r="I404" s="55" t="s">
        <v>2741</v>
      </c>
      <c r="J404" s="55" t="s">
        <v>276</v>
      </c>
      <c r="K404" s="55" t="s">
        <v>513</v>
      </c>
      <c r="L404" s="61" t="s">
        <v>2476</v>
      </c>
      <c r="M404" s="56"/>
    </row>
    <row r="405" customFormat="false" ht="25.5" hidden="false" customHeight="true" outlineLevel="0" collapsed="false">
      <c r="A405" s="55" t="n">
        <v>401</v>
      </c>
      <c r="B405" s="55" t="s">
        <v>1395</v>
      </c>
      <c r="C405" s="56" t="s">
        <v>1453</v>
      </c>
      <c r="D405" s="55" t="s">
        <v>1454</v>
      </c>
      <c r="E405" s="57" t="n">
        <v>31198</v>
      </c>
      <c r="F405" s="55" t="s">
        <v>2467</v>
      </c>
      <c r="G405" s="56" t="s">
        <v>2470</v>
      </c>
      <c r="H405" s="59"/>
      <c r="I405" s="55" t="s">
        <v>2741</v>
      </c>
      <c r="J405" s="55" t="s">
        <v>276</v>
      </c>
      <c r="K405" s="55" t="s">
        <v>513</v>
      </c>
      <c r="L405" s="61" t="s">
        <v>2476</v>
      </c>
      <c r="M405" s="56"/>
    </row>
    <row r="406" customFormat="false" ht="25.5" hidden="false" customHeight="true" outlineLevel="0" collapsed="false">
      <c r="A406" s="55" t="n">
        <v>402</v>
      </c>
      <c r="B406" s="55" t="s">
        <v>1395</v>
      </c>
      <c r="C406" s="56" t="s">
        <v>1455</v>
      </c>
      <c r="D406" s="55" t="s">
        <v>1456</v>
      </c>
      <c r="E406" s="57" t="n">
        <v>62217</v>
      </c>
      <c r="F406" s="55" t="s">
        <v>2467</v>
      </c>
      <c r="G406" s="56" t="s">
        <v>2470</v>
      </c>
      <c r="H406" s="59"/>
      <c r="I406" s="55" t="s">
        <v>2741</v>
      </c>
      <c r="J406" s="55" t="s">
        <v>276</v>
      </c>
      <c r="K406" s="55" t="s">
        <v>513</v>
      </c>
      <c r="L406" s="61" t="s">
        <v>2476</v>
      </c>
      <c r="M406" s="56"/>
    </row>
    <row r="407" customFormat="false" ht="25.5" hidden="false" customHeight="true" outlineLevel="0" collapsed="false">
      <c r="A407" s="55" t="n">
        <v>403</v>
      </c>
      <c r="B407" s="55" t="s">
        <v>1395</v>
      </c>
      <c r="C407" s="56" t="s">
        <v>1459</v>
      </c>
      <c r="D407" s="55" t="s">
        <v>2757</v>
      </c>
      <c r="E407" s="57" t="n">
        <v>45367</v>
      </c>
      <c r="F407" s="55" t="s">
        <v>2467</v>
      </c>
      <c r="G407" s="56" t="s">
        <v>2748</v>
      </c>
      <c r="H407" s="55"/>
      <c r="I407" s="55" t="s">
        <v>2748</v>
      </c>
      <c r="J407" s="55" t="s">
        <v>278</v>
      </c>
      <c r="K407" s="55" t="s">
        <v>513</v>
      </c>
      <c r="L407" s="58" t="s">
        <v>2469</v>
      </c>
      <c r="M407" s="56"/>
    </row>
    <row r="408" customFormat="false" ht="25.5" hidden="false" customHeight="true" outlineLevel="0" collapsed="false">
      <c r="A408" s="55" t="n">
        <v>404</v>
      </c>
      <c r="B408" s="55" t="s">
        <v>1395</v>
      </c>
      <c r="C408" s="56" t="s">
        <v>1461</v>
      </c>
      <c r="D408" s="55" t="s">
        <v>1462</v>
      </c>
      <c r="E408" s="57" t="n">
        <v>29537</v>
      </c>
      <c r="F408" s="55" t="s">
        <v>2467</v>
      </c>
      <c r="G408" s="56" t="s">
        <v>2748</v>
      </c>
      <c r="H408" s="55"/>
      <c r="I408" s="55" t="s">
        <v>2748</v>
      </c>
      <c r="J408" s="55" t="s">
        <v>278</v>
      </c>
      <c r="K408" s="55" t="s">
        <v>513</v>
      </c>
      <c r="L408" s="58" t="s">
        <v>2469</v>
      </c>
      <c r="M408" s="56"/>
    </row>
    <row r="409" customFormat="false" ht="25.5" hidden="false" customHeight="true" outlineLevel="0" collapsed="false">
      <c r="A409" s="55" t="n">
        <v>405</v>
      </c>
      <c r="B409" s="55" t="s">
        <v>1395</v>
      </c>
      <c r="C409" s="56" t="s">
        <v>1457</v>
      </c>
      <c r="D409" s="55" t="s">
        <v>1458</v>
      </c>
      <c r="E409" s="57" t="n">
        <v>33927</v>
      </c>
      <c r="F409" s="55" t="s">
        <v>2467</v>
      </c>
      <c r="G409" s="56" t="s">
        <v>2470</v>
      </c>
      <c r="H409" s="59"/>
      <c r="I409" s="55" t="s">
        <v>2741</v>
      </c>
      <c r="J409" s="55" t="s">
        <v>276</v>
      </c>
      <c r="K409" s="55" t="s">
        <v>513</v>
      </c>
      <c r="L409" s="61" t="s">
        <v>2476</v>
      </c>
      <c r="M409" s="56"/>
    </row>
    <row r="410" customFormat="false" ht="25.5" hidden="false" customHeight="true" outlineLevel="0" collapsed="false">
      <c r="A410" s="55" t="n">
        <v>406</v>
      </c>
      <c r="B410" s="55" t="s">
        <v>1395</v>
      </c>
      <c r="C410" s="56" t="s">
        <v>1465</v>
      </c>
      <c r="D410" s="55" t="s">
        <v>1466</v>
      </c>
      <c r="E410" s="57" t="n">
        <v>52211</v>
      </c>
      <c r="F410" s="55" t="s">
        <v>2467</v>
      </c>
      <c r="G410" s="56" t="s">
        <v>2750</v>
      </c>
      <c r="H410" s="55"/>
      <c r="I410" s="55" t="s">
        <v>2750</v>
      </c>
      <c r="J410" s="55" t="s">
        <v>278</v>
      </c>
      <c r="K410" s="55" t="s">
        <v>513</v>
      </c>
      <c r="L410" s="58" t="s">
        <v>2469</v>
      </c>
      <c r="M410" s="56"/>
    </row>
    <row r="411" customFormat="false" ht="38.25" hidden="false" customHeight="true" outlineLevel="0" collapsed="false">
      <c r="A411" s="55" t="n">
        <v>407</v>
      </c>
      <c r="B411" s="55" t="s">
        <v>1395</v>
      </c>
      <c r="C411" s="56" t="s">
        <v>1467</v>
      </c>
      <c r="D411" s="55" t="s">
        <v>1468</v>
      </c>
      <c r="E411" s="57" t="n">
        <v>48623</v>
      </c>
      <c r="F411" s="55" t="s">
        <v>2467</v>
      </c>
      <c r="G411" s="56" t="s">
        <v>2742</v>
      </c>
      <c r="H411" s="55"/>
      <c r="I411" s="55" t="s">
        <v>2742</v>
      </c>
      <c r="J411" s="55" t="s">
        <v>278</v>
      </c>
      <c r="K411" s="55" t="s">
        <v>513</v>
      </c>
      <c r="L411" s="58" t="s">
        <v>2469</v>
      </c>
      <c r="M411" s="56"/>
    </row>
    <row r="412" customFormat="false" ht="25.5" hidden="false" customHeight="true" outlineLevel="0" collapsed="false">
      <c r="A412" s="55" t="n">
        <v>408</v>
      </c>
      <c r="B412" s="55" t="s">
        <v>1395</v>
      </c>
      <c r="C412" s="56" t="s">
        <v>1469</v>
      </c>
      <c r="D412" s="55" t="s">
        <v>2758</v>
      </c>
      <c r="E412" s="57" t="n">
        <v>21433</v>
      </c>
      <c r="F412" s="55" t="s">
        <v>2467</v>
      </c>
      <c r="G412" s="56" t="s">
        <v>2759</v>
      </c>
      <c r="H412" s="55"/>
      <c r="I412" s="55" t="s">
        <v>2759</v>
      </c>
      <c r="J412" s="55" t="s">
        <v>280</v>
      </c>
      <c r="K412" s="55" t="s">
        <v>502</v>
      </c>
      <c r="L412" s="58" t="s">
        <v>2469</v>
      </c>
      <c r="M412" s="56"/>
    </row>
    <row r="413" customFormat="false" ht="38.25" hidden="false" customHeight="true" outlineLevel="0" collapsed="false">
      <c r="A413" s="55" t="n">
        <v>409</v>
      </c>
      <c r="B413" s="55" t="s">
        <v>1395</v>
      </c>
      <c r="C413" s="56" t="s">
        <v>1472</v>
      </c>
      <c r="D413" s="55" t="s">
        <v>2760</v>
      </c>
      <c r="E413" s="57" t="n">
        <v>24583</v>
      </c>
      <c r="F413" s="55" t="s">
        <v>2467</v>
      </c>
      <c r="G413" s="56" t="s">
        <v>2761</v>
      </c>
      <c r="H413" s="55"/>
      <c r="I413" s="55" t="s">
        <v>2761</v>
      </c>
      <c r="J413" s="55" t="s">
        <v>280</v>
      </c>
      <c r="K413" s="55" t="s">
        <v>502</v>
      </c>
      <c r="L413" s="58" t="s">
        <v>2469</v>
      </c>
      <c r="M413" s="56"/>
    </row>
    <row r="414" customFormat="false" ht="25.5" hidden="false" customHeight="true" outlineLevel="0" collapsed="false">
      <c r="A414" s="55" t="n">
        <v>410</v>
      </c>
      <c r="B414" s="55" t="s">
        <v>1395</v>
      </c>
      <c r="C414" s="56" t="s">
        <v>1475</v>
      </c>
      <c r="D414" s="55" t="s">
        <v>2762</v>
      </c>
      <c r="E414" s="57" t="n">
        <v>18022</v>
      </c>
      <c r="F414" s="55" t="s">
        <v>2467</v>
      </c>
      <c r="G414" s="56" t="s">
        <v>2763</v>
      </c>
      <c r="H414" s="55"/>
      <c r="I414" s="55" t="s">
        <v>2763</v>
      </c>
      <c r="J414" s="55" t="s">
        <v>280</v>
      </c>
      <c r="K414" s="55" t="s">
        <v>502</v>
      </c>
      <c r="L414" s="58" t="s">
        <v>2469</v>
      </c>
      <c r="M414" s="56"/>
    </row>
    <row r="415" customFormat="false" ht="15" hidden="false" customHeight="false" outlineLevel="0" collapsed="false">
      <c r="A415" s="55" t="n">
        <v>411</v>
      </c>
      <c r="B415" s="55" t="s">
        <v>1395</v>
      </c>
      <c r="C415" s="56" t="s">
        <v>1478</v>
      </c>
      <c r="D415" s="55" t="s">
        <v>1479</v>
      </c>
      <c r="E415" s="57" t="n">
        <v>14179</v>
      </c>
      <c r="F415" s="55" t="s">
        <v>2467</v>
      </c>
      <c r="G415" s="56" t="s">
        <v>2764</v>
      </c>
      <c r="H415" s="55"/>
      <c r="I415" s="55" t="s">
        <v>2764</v>
      </c>
      <c r="J415" s="55" t="s">
        <v>278</v>
      </c>
      <c r="K415" s="55" t="s">
        <v>513</v>
      </c>
      <c r="L415" s="58" t="s">
        <v>2469</v>
      </c>
      <c r="M415" s="56"/>
    </row>
    <row r="416" customFormat="false" ht="25.5" hidden="false" customHeight="true" outlineLevel="0" collapsed="false">
      <c r="A416" s="55" t="n">
        <v>412</v>
      </c>
      <c r="B416" s="55" t="s">
        <v>1395</v>
      </c>
      <c r="C416" s="56" t="s">
        <v>1481</v>
      </c>
      <c r="D416" s="55" t="s">
        <v>1482</v>
      </c>
      <c r="E416" s="57" t="n">
        <v>37066</v>
      </c>
      <c r="F416" s="55" t="s">
        <v>2467</v>
      </c>
      <c r="G416" s="56" t="s">
        <v>2759</v>
      </c>
      <c r="H416" s="55"/>
      <c r="I416" s="55" t="s">
        <v>2759</v>
      </c>
      <c r="J416" s="55" t="s">
        <v>280</v>
      </c>
      <c r="K416" s="55" t="s">
        <v>502</v>
      </c>
      <c r="L416" s="58" t="s">
        <v>2469</v>
      </c>
      <c r="M416" s="56"/>
    </row>
    <row r="417" customFormat="false" ht="38.25" hidden="false" customHeight="true" outlineLevel="0" collapsed="false">
      <c r="A417" s="55" t="n">
        <v>413</v>
      </c>
      <c r="B417" s="55" t="s">
        <v>1395</v>
      </c>
      <c r="C417" s="56" t="s">
        <v>1441</v>
      </c>
      <c r="D417" s="55" t="s">
        <v>1442</v>
      </c>
      <c r="E417" s="57" t="n">
        <v>46735</v>
      </c>
      <c r="F417" s="55" t="s">
        <v>2467</v>
      </c>
      <c r="G417" s="56" t="s">
        <v>2765</v>
      </c>
      <c r="H417" s="55"/>
      <c r="I417" s="55" t="s">
        <v>2765</v>
      </c>
      <c r="J417" s="55" t="s">
        <v>278</v>
      </c>
      <c r="K417" s="55" t="s">
        <v>513</v>
      </c>
      <c r="L417" s="58" t="s">
        <v>2469</v>
      </c>
      <c r="M417" s="56"/>
    </row>
    <row r="418" customFormat="false" ht="38.25" hidden="false" customHeight="true" outlineLevel="0" collapsed="false">
      <c r="A418" s="55" t="n">
        <v>414</v>
      </c>
      <c r="B418" s="55" t="s">
        <v>1395</v>
      </c>
      <c r="C418" s="56" t="s">
        <v>1484</v>
      </c>
      <c r="D418" s="55" t="s">
        <v>2766</v>
      </c>
      <c r="E418" s="57" t="n">
        <v>42849</v>
      </c>
      <c r="F418" s="55" t="s">
        <v>2467</v>
      </c>
      <c r="G418" s="56" t="s">
        <v>2767</v>
      </c>
      <c r="H418" s="55"/>
      <c r="I418" s="55" t="s">
        <v>2767</v>
      </c>
      <c r="J418" s="55" t="s">
        <v>280</v>
      </c>
      <c r="K418" s="55" t="s">
        <v>502</v>
      </c>
      <c r="L418" s="58" t="s">
        <v>2469</v>
      </c>
      <c r="M418" s="56"/>
    </row>
    <row r="419" customFormat="false" ht="38.25" hidden="false" customHeight="true" outlineLevel="0" collapsed="false">
      <c r="A419" s="55" t="n">
        <v>415</v>
      </c>
      <c r="B419" s="55" t="s">
        <v>1487</v>
      </c>
      <c r="C419" s="56" t="s">
        <v>1500</v>
      </c>
      <c r="D419" s="55" t="s">
        <v>1501</v>
      </c>
      <c r="E419" s="57" t="n">
        <v>22980</v>
      </c>
      <c r="F419" s="55" t="s">
        <v>2467</v>
      </c>
      <c r="G419" s="56" t="s">
        <v>2768</v>
      </c>
      <c r="H419" s="55"/>
      <c r="I419" s="55" t="s">
        <v>2768</v>
      </c>
      <c r="J419" s="55" t="s">
        <v>280</v>
      </c>
      <c r="K419" s="55" t="s">
        <v>502</v>
      </c>
      <c r="L419" s="58" t="s">
        <v>2469</v>
      </c>
      <c r="M419" s="56"/>
    </row>
    <row r="420" customFormat="false" ht="25.5" hidden="false" customHeight="true" outlineLevel="0" collapsed="false">
      <c r="A420" s="55" t="n">
        <v>416</v>
      </c>
      <c r="B420" s="55" t="s">
        <v>1487</v>
      </c>
      <c r="C420" s="56" t="s">
        <v>1488</v>
      </c>
      <c r="D420" s="55" t="s">
        <v>1489</v>
      </c>
      <c r="E420" s="57" t="n">
        <v>12176</v>
      </c>
      <c r="F420" s="55" t="s">
        <v>2467</v>
      </c>
      <c r="G420" s="56" t="s">
        <v>2769</v>
      </c>
      <c r="H420" s="55"/>
      <c r="I420" s="55" t="s">
        <v>2769</v>
      </c>
      <c r="J420" s="55" t="s">
        <v>280</v>
      </c>
      <c r="K420" s="55" t="s">
        <v>502</v>
      </c>
      <c r="L420" s="58" t="s">
        <v>2469</v>
      </c>
      <c r="M420" s="56"/>
    </row>
    <row r="421" customFormat="false" ht="25.5" hidden="false" customHeight="true" outlineLevel="0" collapsed="false">
      <c r="A421" s="55" t="n">
        <v>417</v>
      </c>
      <c r="B421" s="55" t="s">
        <v>1487</v>
      </c>
      <c r="C421" s="56" t="s">
        <v>1491</v>
      </c>
      <c r="D421" s="55" t="s">
        <v>1492</v>
      </c>
      <c r="E421" s="57" t="n">
        <v>19021</v>
      </c>
      <c r="F421" s="55" t="s">
        <v>2467</v>
      </c>
      <c r="G421" s="56" t="s">
        <v>2770</v>
      </c>
      <c r="H421" s="55"/>
      <c r="I421" s="55" t="s">
        <v>2770</v>
      </c>
      <c r="J421" s="55" t="s">
        <v>280</v>
      </c>
      <c r="K421" s="55" t="s">
        <v>502</v>
      </c>
      <c r="L421" s="58" t="s">
        <v>2469</v>
      </c>
      <c r="M421" s="56"/>
    </row>
    <row r="422" customFormat="false" ht="38.25" hidden="false" customHeight="true" outlineLevel="0" collapsed="false">
      <c r="A422" s="55" t="n">
        <v>418</v>
      </c>
      <c r="B422" s="55" t="s">
        <v>1487</v>
      </c>
      <c r="C422" s="56" t="s">
        <v>1494</v>
      </c>
      <c r="D422" s="55" t="s">
        <v>1495</v>
      </c>
      <c r="E422" s="57" t="n">
        <v>9576</v>
      </c>
      <c r="F422" s="55" t="s">
        <v>2467</v>
      </c>
      <c r="G422" s="56" t="s">
        <v>2771</v>
      </c>
      <c r="H422" s="55"/>
      <c r="I422" s="55" t="s">
        <v>2771</v>
      </c>
      <c r="J422" s="55" t="s">
        <v>280</v>
      </c>
      <c r="K422" s="55" t="s">
        <v>502</v>
      </c>
      <c r="L422" s="58" t="s">
        <v>2469</v>
      </c>
      <c r="M422" s="56"/>
    </row>
    <row r="423" customFormat="false" ht="38.25" hidden="false" customHeight="true" outlineLevel="0" collapsed="false">
      <c r="A423" s="55" t="n">
        <v>419</v>
      </c>
      <c r="B423" s="55" t="s">
        <v>1487</v>
      </c>
      <c r="C423" s="56" t="s">
        <v>1497</v>
      </c>
      <c r="D423" s="55" t="s">
        <v>1498</v>
      </c>
      <c r="E423" s="57" t="n">
        <v>7707</v>
      </c>
      <c r="F423" s="55" t="s">
        <v>2467</v>
      </c>
      <c r="G423" s="56" t="s">
        <v>2772</v>
      </c>
      <c r="H423" s="55"/>
      <c r="I423" s="55" t="s">
        <v>2772</v>
      </c>
      <c r="J423" s="55" t="s">
        <v>280</v>
      </c>
      <c r="K423" s="55" t="s">
        <v>502</v>
      </c>
      <c r="L423" s="58" t="s">
        <v>2469</v>
      </c>
      <c r="M423" s="56"/>
    </row>
    <row r="424" customFormat="false" ht="38.25" hidden="false" customHeight="true" outlineLevel="0" collapsed="false">
      <c r="A424" s="55" t="n">
        <v>420</v>
      </c>
      <c r="B424" s="55" t="s">
        <v>1487</v>
      </c>
      <c r="C424" s="56" t="s">
        <v>1503</v>
      </c>
      <c r="D424" s="55" t="s">
        <v>1504</v>
      </c>
      <c r="E424" s="57" t="n">
        <v>35195</v>
      </c>
      <c r="F424" s="55" t="s">
        <v>2467</v>
      </c>
      <c r="G424" s="56" t="s">
        <v>2773</v>
      </c>
      <c r="H424" s="55"/>
      <c r="I424" s="55" t="s">
        <v>2773</v>
      </c>
      <c r="J424" s="55" t="s">
        <v>280</v>
      </c>
      <c r="K424" s="55" t="s">
        <v>502</v>
      </c>
      <c r="L424" s="58" t="s">
        <v>2469</v>
      </c>
      <c r="M424" s="56"/>
    </row>
    <row r="425" customFormat="false" ht="25.5" hidden="false" customHeight="true" outlineLevel="0" collapsed="false">
      <c r="A425" s="55" t="n">
        <v>421</v>
      </c>
      <c r="B425" s="55" t="s">
        <v>1487</v>
      </c>
      <c r="C425" s="56" t="s">
        <v>1523</v>
      </c>
      <c r="D425" s="55" t="s">
        <v>2774</v>
      </c>
      <c r="E425" s="57" t="n">
        <v>14386</v>
      </c>
      <c r="F425" s="55" t="s">
        <v>2467</v>
      </c>
      <c r="G425" s="56" t="s">
        <v>2775</v>
      </c>
      <c r="H425" s="55"/>
      <c r="I425" s="55" t="s">
        <v>2775</v>
      </c>
      <c r="J425" s="55" t="s">
        <v>280</v>
      </c>
      <c r="K425" s="55" t="s">
        <v>502</v>
      </c>
      <c r="L425" s="58" t="s">
        <v>2469</v>
      </c>
      <c r="M425" s="56"/>
    </row>
    <row r="426" customFormat="false" ht="51" hidden="false" customHeight="true" outlineLevel="0" collapsed="false">
      <c r="A426" s="55" t="n">
        <v>422</v>
      </c>
      <c r="B426" s="55" t="s">
        <v>1487</v>
      </c>
      <c r="C426" s="56" t="s">
        <v>1531</v>
      </c>
      <c r="D426" s="55" t="s">
        <v>1532</v>
      </c>
      <c r="E426" s="57" t="n">
        <v>9639</v>
      </c>
      <c r="F426" s="55" t="s">
        <v>2467</v>
      </c>
      <c r="G426" s="56" t="s">
        <v>2776</v>
      </c>
      <c r="H426" s="55"/>
      <c r="I426" s="55" t="s">
        <v>2776</v>
      </c>
      <c r="J426" s="55" t="s">
        <v>280</v>
      </c>
      <c r="K426" s="55" t="s">
        <v>502</v>
      </c>
      <c r="L426" s="58" t="s">
        <v>2469</v>
      </c>
      <c r="M426" s="56"/>
    </row>
    <row r="427" customFormat="false" ht="25.5" hidden="false" customHeight="true" outlineLevel="0" collapsed="false">
      <c r="A427" s="55" t="n">
        <v>423</v>
      </c>
      <c r="B427" s="55" t="s">
        <v>1487</v>
      </c>
      <c r="C427" s="56" t="s">
        <v>1513</v>
      </c>
      <c r="D427" s="55" t="s">
        <v>1514</v>
      </c>
      <c r="E427" s="57" t="n">
        <v>5870</v>
      </c>
      <c r="F427" s="55" t="s">
        <v>2467</v>
      </c>
      <c r="G427" s="56" t="s">
        <v>2470</v>
      </c>
      <c r="H427" s="59"/>
      <c r="I427" s="55" t="s">
        <v>2777</v>
      </c>
      <c r="J427" s="55" t="s">
        <v>276</v>
      </c>
      <c r="K427" s="55" t="s">
        <v>513</v>
      </c>
      <c r="L427" s="61" t="s">
        <v>2476</v>
      </c>
      <c r="M427" s="56"/>
    </row>
    <row r="428" customFormat="false" ht="25.5" hidden="false" customHeight="true" outlineLevel="0" collapsed="false">
      <c r="A428" s="55" t="n">
        <v>424</v>
      </c>
      <c r="B428" s="55" t="s">
        <v>1487</v>
      </c>
      <c r="C428" s="56" t="s">
        <v>1506</v>
      </c>
      <c r="D428" s="55" t="s">
        <v>1507</v>
      </c>
      <c r="E428" s="57" t="n">
        <v>5343</v>
      </c>
      <c r="F428" s="55" t="s">
        <v>2467</v>
      </c>
      <c r="G428" s="56" t="s">
        <v>2470</v>
      </c>
      <c r="H428" s="59"/>
      <c r="I428" s="55" t="s">
        <v>2778</v>
      </c>
      <c r="J428" s="55" t="s">
        <v>278</v>
      </c>
      <c r="K428" s="55" t="s">
        <v>513</v>
      </c>
      <c r="L428" s="61" t="s">
        <v>2476</v>
      </c>
      <c r="M428" s="56"/>
    </row>
    <row r="429" customFormat="false" ht="15" hidden="false" customHeight="false" outlineLevel="0" collapsed="false">
      <c r="A429" s="55" t="n">
        <v>425</v>
      </c>
      <c r="B429" s="55" t="s">
        <v>1487</v>
      </c>
      <c r="C429" s="56" t="s">
        <v>1516</v>
      </c>
      <c r="D429" s="55" t="s">
        <v>1517</v>
      </c>
      <c r="E429" s="57" t="n">
        <v>26629</v>
      </c>
      <c r="F429" s="55" t="s">
        <v>2467</v>
      </c>
      <c r="G429" s="56" t="s">
        <v>2779</v>
      </c>
      <c r="H429" s="55"/>
      <c r="I429" s="55" t="s">
        <v>2779</v>
      </c>
      <c r="J429" s="55" t="s">
        <v>278</v>
      </c>
      <c r="K429" s="55" t="s">
        <v>513</v>
      </c>
      <c r="L429" s="58" t="s">
        <v>2469</v>
      </c>
      <c r="M429" s="56"/>
    </row>
    <row r="430" customFormat="false" ht="15" hidden="false" customHeight="false" outlineLevel="0" collapsed="false">
      <c r="A430" s="55" t="n">
        <v>426</v>
      </c>
      <c r="B430" s="55" t="s">
        <v>1487</v>
      </c>
      <c r="C430" s="56" t="s">
        <v>1519</v>
      </c>
      <c r="D430" s="55" t="s">
        <v>1520</v>
      </c>
      <c r="E430" s="57" t="n">
        <v>52639</v>
      </c>
      <c r="F430" s="55" t="s">
        <v>2467</v>
      </c>
      <c r="G430" s="56" t="s">
        <v>2777</v>
      </c>
      <c r="H430" s="55"/>
      <c r="I430" s="55" t="s">
        <v>2777</v>
      </c>
      <c r="J430" s="55" t="s">
        <v>276</v>
      </c>
      <c r="K430" s="55" t="s">
        <v>513</v>
      </c>
      <c r="L430" s="58" t="s">
        <v>2469</v>
      </c>
      <c r="M430" s="56"/>
    </row>
    <row r="431" customFormat="false" ht="15" hidden="false" customHeight="false" outlineLevel="0" collapsed="false">
      <c r="A431" s="55" t="n">
        <v>427</v>
      </c>
      <c r="B431" s="55" t="s">
        <v>1487</v>
      </c>
      <c r="C431" s="56" t="s">
        <v>1521</v>
      </c>
      <c r="D431" s="55" t="s">
        <v>1522</v>
      </c>
      <c r="E431" s="57" t="n">
        <v>43338</v>
      </c>
      <c r="F431" s="55" t="s">
        <v>2467</v>
      </c>
      <c r="G431" s="56" t="s">
        <v>2777</v>
      </c>
      <c r="H431" s="55"/>
      <c r="I431" s="55" t="s">
        <v>2777</v>
      </c>
      <c r="J431" s="55" t="s">
        <v>276</v>
      </c>
      <c r="K431" s="55" t="s">
        <v>513</v>
      </c>
      <c r="L431" s="58" t="s">
        <v>2469</v>
      </c>
      <c r="M431" s="56"/>
    </row>
    <row r="432" customFormat="false" ht="38.25" hidden="false" customHeight="true" outlineLevel="0" collapsed="false">
      <c r="A432" s="55" t="n">
        <v>428</v>
      </c>
      <c r="B432" s="55" t="s">
        <v>1487</v>
      </c>
      <c r="C432" s="56" t="s">
        <v>1526</v>
      </c>
      <c r="D432" s="55" t="s">
        <v>1527</v>
      </c>
      <c r="E432" s="57" t="n">
        <v>16539</v>
      </c>
      <c r="F432" s="55" t="s">
        <v>2467</v>
      </c>
      <c r="G432" s="56" t="s">
        <v>2780</v>
      </c>
      <c r="H432" s="55"/>
      <c r="I432" s="55" t="s">
        <v>2780</v>
      </c>
      <c r="J432" s="55" t="s">
        <v>280</v>
      </c>
      <c r="K432" s="55" t="s">
        <v>502</v>
      </c>
      <c r="L432" s="58" t="s">
        <v>2469</v>
      </c>
      <c r="M432" s="56"/>
    </row>
    <row r="433" customFormat="false" ht="25.5" hidden="false" customHeight="true" outlineLevel="0" collapsed="false">
      <c r="A433" s="55" t="n">
        <v>429</v>
      </c>
      <c r="B433" s="55" t="s">
        <v>1487</v>
      </c>
      <c r="C433" s="56" t="s">
        <v>1529</v>
      </c>
      <c r="D433" s="55" t="s">
        <v>1530</v>
      </c>
      <c r="E433" s="57" t="n">
        <v>84154</v>
      </c>
      <c r="F433" s="55" t="s">
        <v>2467</v>
      </c>
      <c r="G433" s="56" t="s">
        <v>2470</v>
      </c>
      <c r="H433" s="59"/>
      <c r="I433" s="55" t="s">
        <v>2779</v>
      </c>
      <c r="J433" s="55" t="s">
        <v>278</v>
      </c>
      <c r="K433" s="55" t="s">
        <v>513</v>
      </c>
      <c r="L433" s="61" t="s">
        <v>2476</v>
      </c>
      <c r="M433" s="56"/>
    </row>
    <row r="434" customFormat="false" ht="25.5" hidden="false" customHeight="true" outlineLevel="0" collapsed="false">
      <c r="A434" s="55" t="n">
        <v>430</v>
      </c>
      <c r="B434" s="55" t="s">
        <v>1487</v>
      </c>
      <c r="C434" s="56" t="s">
        <v>1509</v>
      </c>
      <c r="D434" s="55" t="s">
        <v>1510</v>
      </c>
      <c r="E434" s="57" t="n">
        <v>6200</v>
      </c>
      <c r="F434" s="55" t="s">
        <v>2467</v>
      </c>
      <c r="G434" s="56" t="s">
        <v>2470</v>
      </c>
      <c r="H434" s="59"/>
      <c r="I434" s="55" t="s">
        <v>2781</v>
      </c>
      <c r="J434" s="55" t="s">
        <v>280</v>
      </c>
      <c r="K434" s="55" t="s">
        <v>502</v>
      </c>
      <c r="L434" s="60" t="s">
        <v>2472</v>
      </c>
      <c r="M434" s="56"/>
    </row>
    <row r="435" customFormat="false" ht="25.5" hidden="false" customHeight="true" outlineLevel="0" collapsed="false">
      <c r="A435" s="55" t="n">
        <v>431</v>
      </c>
      <c r="B435" s="55" t="s">
        <v>1487</v>
      </c>
      <c r="C435" s="56" t="s">
        <v>1534</v>
      </c>
      <c r="D435" s="55" t="s">
        <v>1535</v>
      </c>
      <c r="E435" s="57" t="n">
        <v>58320</v>
      </c>
      <c r="F435" s="55" t="s">
        <v>2467</v>
      </c>
      <c r="G435" s="56" t="s">
        <v>2777</v>
      </c>
      <c r="H435" s="55"/>
      <c r="I435" s="55" t="s">
        <v>2777</v>
      </c>
      <c r="J435" s="55" t="s">
        <v>276</v>
      </c>
      <c r="K435" s="55" t="s">
        <v>513</v>
      </c>
      <c r="L435" s="58" t="s">
        <v>2469</v>
      </c>
      <c r="M435" s="56"/>
    </row>
    <row r="436" customFormat="false" ht="38.25" hidden="false" customHeight="true" outlineLevel="0" collapsed="false">
      <c r="A436" s="55" t="n">
        <v>432</v>
      </c>
      <c r="B436" s="55" t="s">
        <v>1487</v>
      </c>
      <c r="C436" s="56" t="s">
        <v>1536</v>
      </c>
      <c r="D436" s="55" t="s">
        <v>1537</v>
      </c>
      <c r="E436" s="57" t="n">
        <v>28631</v>
      </c>
      <c r="F436" s="55" t="s">
        <v>2467</v>
      </c>
      <c r="G436" s="56" t="s">
        <v>2778</v>
      </c>
      <c r="H436" s="55"/>
      <c r="I436" s="55" t="s">
        <v>2778</v>
      </c>
      <c r="J436" s="55" t="s">
        <v>278</v>
      </c>
      <c r="K436" s="55" t="s">
        <v>513</v>
      </c>
      <c r="L436" s="58" t="s">
        <v>2469</v>
      </c>
      <c r="M436" s="56"/>
    </row>
    <row r="437" customFormat="false" ht="25.5" hidden="false" customHeight="true" outlineLevel="0" collapsed="false">
      <c r="A437" s="55" t="n">
        <v>433</v>
      </c>
      <c r="B437" s="55" t="s">
        <v>1487</v>
      </c>
      <c r="C437" s="56" t="s">
        <v>1538</v>
      </c>
      <c r="D437" s="55" t="s">
        <v>1539</v>
      </c>
      <c r="E437" s="57" t="n">
        <v>13668</v>
      </c>
      <c r="F437" s="55" t="s">
        <v>2467</v>
      </c>
      <c r="G437" s="56" t="s">
        <v>2782</v>
      </c>
      <c r="H437" s="55"/>
      <c r="I437" s="55" t="s">
        <v>2782</v>
      </c>
      <c r="J437" s="55" t="s">
        <v>280</v>
      </c>
      <c r="K437" s="55" t="s">
        <v>502</v>
      </c>
      <c r="L437" s="58" t="s">
        <v>2469</v>
      </c>
      <c r="M437" s="56"/>
    </row>
    <row r="438" customFormat="false" ht="25.5" hidden="false" customHeight="true" outlineLevel="0" collapsed="false">
      <c r="A438" s="55" t="n">
        <v>434</v>
      </c>
      <c r="B438" s="55" t="s">
        <v>1487</v>
      </c>
      <c r="C438" s="56" t="s">
        <v>1541</v>
      </c>
      <c r="D438" s="55" t="s">
        <v>1542</v>
      </c>
      <c r="E438" s="57" t="n">
        <v>20414</v>
      </c>
      <c r="F438" s="55" t="s">
        <v>2467</v>
      </c>
      <c r="G438" s="56" t="s">
        <v>2783</v>
      </c>
      <c r="H438" s="55"/>
      <c r="I438" s="55" t="s">
        <v>2783</v>
      </c>
      <c r="J438" s="55" t="s">
        <v>280</v>
      </c>
      <c r="K438" s="55" t="s">
        <v>502</v>
      </c>
      <c r="L438" s="58" t="s">
        <v>2469</v>
      </c>
      <c r="M438" s="56"/>
    </row>
    <row r="439" customFormat="false" ht="25.5" hidden="false" customHeight="true" outlineLevel="0" collapsed="false">
      <c r="A439" s="55" t="n">
        <v>435</v>
      </c>
      <c r="B439" s="55" t="s">
        <v>1487</v>
      </c>
      <c r="C439" s="56" t="s">
        <v>1544</v>
      </c>
      <c r="D439" s="55" t="s">
        <v>1545</v>
      </c>
      <c r="E439" s="57" t="n">
        <v>9454</v>
      </c>
      <c r="F439" s="55" t="s">
        <v>2467</v>
      </c>
      <c r="G439" s="56" t="s">
        <v>2784</v>
      </c>
      <c r="H439" s="55"/>
      <c r="I439" s="55" t="s">
        <v>2784</v>
      </c>
      <c r="J439" s="55" t="s">
        <v>280</v>
      </c>
      <c r="K439" s="55" t="s">
        <v>502</v>
      </c>
      <c r="L439" s="58" t="s">
        <v>2469</v>
      </c>
      <c r="M439" s="56"/>
    </row>
    <row r="440" customFormat="false" ht="38.25" hidden="false" customHeight="true" outlineLevel="0" collapsed="false">
      <c r="A440" s="55" t="n">
        <v>436</v>
      </c>
      <c r="B440" s="55" t="s">
        <v>1487</v>
      </c>
      <c r="C440" s="56" t="s">
        <v>1550</v>
      </c>
      <c r="D440" s="55" t="s">
        <v>1551</v>
      </c>
      <c r="E440" s="57" t="n">
        <v>18040</v>
      </c>
      <c r="F440" s="55" t="s">
        <v>2467</v>
      </c>
      <c r="G440" s="56" t="s">
        <v>2785</v>
      </c>
      <c r="H440" s="55"/>
      <c r="I440" s="55" t="s">
        <v>2785</v>
      </c>
      <c r="J440" s="55" t="s">
        <v>280</v>
      </c>
      <c r="K440" s="55" t="s">
        <v>502</v>
      </c>
      <c r="L440" s="58" t="s">
        <v>2469</v>
      </c>
      <c r="M440" s="56"/>
    </row>
    <row r="441" customFormat="false" ht="25.5" hidden="false" customHeight="true" outlineLevel="0" collapsed="false">
      <c r="A441" s="55" t="n">
        <v>437</v>
      </c>
      <c r="B441" s="55" t="s">
        <v>1487</v>
      </c>
      <c r="C441" s="56" t="s">
        <v>1547</v>
      </c>
      <c r="D441" s="55" t="s">
        <v>1548</v>
      </c>
      <c r="E441" s="57" t="n">
        <v>8131</v>
      </c>
      <c r="F441" s="55" t="s">
        <v>2467</v>
      </c>
      <c r="G441" s="56" t="s">
        <v>2470</v>
      </c>
      <c r="H441" s="59"/>
      <c r="I441" s="55" t="s">
        <v>2779</v>
      </c>
      <c r="J441" s="55" t="s">
        <v>278</v>
      </c>
      <c r="K441" s="55" t="s">
        <v>513</v>
      </c>
      <c r="L441" s="61" t="s">
        <v>2476</v>
      </c>
      <c r="M441" s="56"/>
    </row>
    <row r="442" customFormat="false" ht="25.5" hidden="false" customHeight="true" outlineLevel="0" collapsed="false">
      <c r="A442" s="55" t="n">
        <v>438</v>
      </c>
      <c r="B442" s="55" t="s">
        <v>1487</v>
      </c>
      <c r="C442" s="56" t="s">
        <v>1553</v>
      </c>
      <c r="D442" s="55" t="s">
        <v>1554</v>
      </c>
      <c r="E442" s="57" t="n">
        <v>52228</v>
      </c>
      <c r="F442" s="55" t="s">
        <v>2467</v>
      </c>
      <c r="G442" s="56" t="s">
        <v>2781</v>
      </c>
      <c r="H442" s="55"/>
      <c r="I442" s="55" t="s">
        <v>2781</v>
      </c>
      <c r="J442" s="55" t="s">
        <v>280</v>
      </c>
      <c r="K442" s="55" t="s">
        <v>502</v>
      </c>
      <c r="L442" s="58" t="s">
        <v>2469</v>
      </c>
      <c r="M442" s="56"/>
    </row>
    <row r="443" customFormat="false" ht="25.5" hidden="false" customHeight="true" outlineLevel="0" collapsed="false">
      <c r="A443" s="55" t="n">
        <v>439</v>
      </c>
      <c r="B443" s="55" t="s">
        <v>1487</v>
      </c>
      <c r="C443" s="56" t="s">
        <v>1555</v>
      </c>
      <c r="D443" s="55" t="s">
        <v>1556</v>
      </c>
      <c r="E443" s="57" t="n">
        <v>7663</v>
      </c>
      <c r="F443" s="55" t="s">
        <v>2467</v>
      </c>
      <c r="G443" s="56" t="s">
        <v>2786</v>
      </c>
      <c r="H443" s="55"/>
      <c r="I443" s="55" t="s">
        <v>2786</v>
      </c>
      <c r="J443" s="55" t="s">
        <v>280</v>
      </c>
      <c r="K443" s="55" t="s">
        <v>502</v>
      </c>
      <c r="L443" s="58" t="s">
        <v>2469</v>
      </c>
      <c r="M443" s="56"/>
    </row>
    <row r="444" customFormat="false" ht="25.5" hidden="false" customHeight="true" outlineLevel="0" collapsed="false">
      <c r="A444" s="55" t="n">
        <v>440</v>
      </c>
      <c r="B444" s="55" t="s">
        <v>1487</v>
      </c>
      <c r="C444" s="56" t="s">
        <v>1558</v>
      </c>
      <c r="D444" s="55" t="s">
        <v>1559</v>
      </c>
      <c r="E444" s="57" t="n">
        <v>31868</v>
      </c>
      <c r="F444" s="55" t="s">
        <v>2467</v>
      </c>
      <c r="G444" s="56" t="s">
        <v>2787</v>
      </c>
      <c r="H444" s="55"/>
      <c r="I444" s="55" t="s">
        <v>2787</v>
      </c>
      <c r="J444" s="55" t="s">
        <v>278</v>
      </c>
      <c r="K444" s="55" t="s">
        <v>513</v>
      </c>
      <c r="L444" s="58" t="s">
        <v>2469</v>
      </c>
      <c r="M444" s="56"/>
    </row>
    <row r="445" customFormat="false" ht="25.5" hidden="false" customHeight="true" outlineLevel="0" collapsed="false">
      <c r="A445" s="55" t="n">
        <v>441</v>
      </c>
      <c r="B445" s="55" t="s">
        <v>1487</v>
      </c>
      <c r="C445" s="56" t="s">
        <v>1561</v>
      </c>
      <c r="D445" s="55" t="s">
        <v>1562</v>
      </c>
      <c r="E445" s="57" t="n">
        <v>5775</v>
      </c>
      <c r="F445" s="55" t="s">
        <v>2467</v>
      </c>
      <c r="G445" s="56" t="s">
        <v>2788</v>
      </c>
      <c r="H445" s="55"/>
      <c r="I445" s="55" t="s">
        <v>2788</v>
      </c>
      <c r="J445" s="55" t="s">
        <v>280</v>
      </c>
      <c r="K445" s="55" t="s">
        <v>502</v>
      </c>
      <c r="L445" s="58" t="s">
        <v>2469</v>
      </c>
      <c r="M445" s="56"/>
    </row>
    <row r="446" customFormat="false" ht="25.5" hidden="false" customHeight="true" outlineLevel="0" collapsed="false">
      <c r="A446" s="55" t="n">
        <v>442</v>
      </c>
      <c r="B446" s="55" t="s">
        <v>1487</v>
      </c>
      <c r="C446" s="56" t="s">
        <v>1564</v>
      </c>
      <c r="D446" s="55" t="s">
        <v>1565</v>
      </c>
      <c r="E446" s="57" t="n">
        <v>6772</v>
      </c>
      <c r="F446" s="55" t="s">
        <v>2467</v>
      </c>
      <c r="G446" s="56" t="s">
        <v>2784</v>
      </c>
      <c r="H446" s="55"/>
      <c r="I446" s="55" t="s">
        <v>2784</v>
      </c>
      <c r="J446" s="55" t="s">
        <v>280</v>
      </c>
      <c r="K446" s="55" t="s">
        <v>502</v>
      </c>
      <c r="L446" s="58" t="s">
        <v>2469</v>
      </c>
      <c r="M446" s="56"/>
    </row>
    <row r="447" customFormat="false" ht="25.5" hidden="false" customHeight="true" outlineLevel="0" collapsed="false">
      <c r="A447" s="55" t="n">
        <v>443</v>
      </c>
      <c r="B447" s="55" t="s">
        <v>1487</v>
      </c>
      <c r="C447" s="56" t="s">
        <v>1567</v>
      </c>
      <c r="D447" s="55" t="s">
        <v>1568</v>
      </c>
      <c r="E447" s="57" t="n">
        <v>51068</v>
      </c>
      <c r="F447" s="55" t="s">
        <v>2467</v>
      </c>
      <c r="G447" s="56" t="s">
        <v>2777</v>
      </c>
      <c r="H447" s="55"/>
      <c r="I447" s="55" t="s">
        <v>2777</v>
      </c>
      <c r="J447" s="55" t="s">
        <v>276</v>
      </c>
      <c r="K447" s="55" t="s">
        <v>513</v>
      </c>
      <c r="L447" s="58" t="s">
        <v>2469</v>
      </c>
      <c r="M447" s="56"/>
    </row>
    <row r="448" customFormat="false" ht="25.5" hidden="false" customHeight="true" outlineLevel="0" collapsed="false">
      <c r="A448" s="55" t="n">
        <v>444</v>
      </c>
      <c r="B448" s="55" t="s">
        <v>1487</v>
      </c>
      <c r="C448" s="56" t="s">
        <v>1569</v>
      </c>
      <c r="D448" s="55" t="s">
        <v>1570</v>
      </c>
      <c r="E448" s="57" t="n">
        <v>43278</v>
      </c>
      <c r="F448" s="55" t="s">
        <v>2467</v>
      </c>
      <c r="G448" s="56" t="s">
        <v>2777</v>
      </c>
      <c r="H448" s="55"/>
      <c r="I448" s="55" t="s">
        <v>2777</v>
      </c>
      <c r="J448" s="55" t="s">
        <v>276</v>
      </c>
      <c r="K448" s="55" t="s">
        <v>513</v>
      </c>
      <c r="L448" s="58" t="s">
        <v>2469</v>
      </c>
      <c r="M448" s="56"/>
    </row>
    <row r="449" customFormat="false" ht="25.5" hidden="false" customHeight="true" outlineLevel="0" collapsed="false">
      <c r="A449" s="55" t="n">
        <v>445</v>
      </c>
      <c r="B449" s="55" t="s">
        <v>1487</v>
      </c>
      <c r="C449" s="56" t="s">
        <v>1571</v>
      </c>
      <c r="D449" s="55" t="s">
        <v>1572</v>
      </c>
      <c r="E449" s="57" t="n">
        <v>50053</v>
      </c>
      <c r="F449" s="55" t="s">
        <v>2467</v>
      </c>
      <c r="G449" s="56" t="s">
        <v>2777</v>
      </c>
      <c r="H449" s="55"/>
      <c r="I449" s="55" t="s">
        <v>2777</v>
      </c>
      <c r="J449" s="55" t="s">
        <v>276</v>
      </c>
      <c r="K449" s="55" t="s">
        <v>513</v>
      </c>
      <c r="L449" s="58" t="s">
        <v>2469</v>
      </c>
      <c r="M449" s="56"/>
    </row>
    <row r="450" customFormat="false" ht="25.5" hidden="false" customHeight="true" outlineLevel="0" collapsed="false">
      <c r="A450" s="55" t="n">
        <v>446</v>
      </c>
      <c r="B450" s="55" t="s">
        <v>1487</v>
      </c>
      <c r="C450" s="56" t="s">
        <v>1573</v>
      </c>
      <c r="D450" s="55" t="s">
        <v>1574</v>
      </c>
      <c r="E450" s="57" t="n">
        <v>5616</v>
      </c>
      <c r="F450" s="55" t="s">
        <v>2467</v>
      </c>
      <c r="G450" s="56" t="s">
        <v>2768</v>
      </c>
      <c r="H450" s="55"/>
      <c r="I450" s="55" t="s">
        <v>2768</v>
      </c>
      <c r="J450" s="55" t="s">
        <v>280</v>
      </c>
      <c r="K450" s="55" t="s">
        <v>502</v>
      </c>
      <c r="L450" s="58" t="s">
        <v>2469</v>
      </c>
      <c r="M450" s="56"/>
    </row>
    <row r="451" customFormat="false" ht="25.5" hidden="false" customHeight="true" outlineLevel="0" collapsed="false">
      <c r="A451" s="55" t="n">
        <v>447</v>
      </c>
      <c r="B451" s="55" t="s">
        <v>1576</v>
      </c>
      <c r="C451" s="56" t="s">
        <v>1580</v>
      </c>
      <c r="D451" s="55" t="s">
        <v>2789</v>
      </c>
      <c r="E451" s="57" t="n">
        <v>39223</v>
      </c>
      <c r="F451" s="55" t="s">
        <v>2467</v>
      </c>
      <c r="G451" s="56" t="s">
        <v>2470</v>
      </c>
      <c r="H451" s="59"/>
      <c r="I451" s="55" t="s">
        <v>2790</v>
      </c>
      <c r="J451" s="55" t="s">
        <v>276</v>
      </c>
      <c r="K451" s="55" t="s">
        <v>513</v>
      </c>
      <c r="L451" s="61" t="s">
        <v>2476</v>
      </c>
      <c r="M451" s="56"/>
    </row>
    <row r="452" customFormat="false" ht="25.5" hidden="false" customHeight="true" outlineLevel="0" collapsed="false">
      <c r="A452" s="55" t="n">
        <v>448</v>
      </c>
      <c r="B452" s="55" t="s">
        <v>1576</v>
      </c>
      <c r="C452" s="56" t="s">
        <v>1582</v>
      </c>
      <c r="D452" s="55" t="s">
        <v>1583</v>
      </c>
      <c r="E452" s="57" t="n">
        <v>19020</v>
      </c>
      <c r="F452" s="55" t="s">
        <v>2467</v>
      </c>
      <c r="G452" s="56" t="s">
        <v>2470</v>
      </c>
      <c r="H452" s="59"/>
      <c r="I452" s="55" t="s">
        <v>2790</v>
      </c>
      <c r="J452" s="55" t="s">
        <v>276</v>
      </c>
      <c r="K452" s="55" t="s">
        <v>513</v>
      </c>
      <c r="L452" s="61" t="s">
        <v>2476</v>
      </c>
      <c r="M452" s="56"/>
    </row>
    <row r="453" customFormat="false" ht="25.5" hidden="false" customHeight="true" outlineLevel="0" collapsed="false">
      <c r="A453" s="55" t="n">
        <v>449</v>
      </c>
      <c r="B453" s="55" t="s">
        <v>1576</v>
      </c>
      <c r="C453" s="56" t="s">
        <v>1584</v>
      </c>
      <c r="D453" s="55" t="s">
        <v>1585</v>
      </c>
      <c r="E453" s="57" t="n">
        <v>22908</v>
      </c>
      <c r="F453" s="55" t="s">
        <v>2467</v>
      </c>
      <c r="G453" s="56" t="s">
        <v>2470</v>
      </c>
      <c r="H453" s="59"/>
      <c r="I453" s="55" t="s">
        <v>2791</v>
      </c>
      <c r="J453" s="55" t="s">
        <v>280</v>
      </c>
      <c r="K453" s="55" t="s">
        <v>502</v>
      </c>
      <c r="L453" s="60" t="s">
        <v>2472</v>
      </c>
      <c r="M453" s="56"/>
    </row>
    <row r="454" customFormat="false" ht="25.5" hidden="false" customHeight="true" outlineLevel="0" collapsed="false">
      <c r="A454" s="55" t="n">
        <v>450</v>
      </c>
      <c r="B454" s="55" t="s">
        <v>1576</v>
      </c>
      <c r="C454" s="56" t="s">
        <v>1587</v>
      </c>
      <c r="D454" s="55" t="s">
        <v>1588</v>
      </c>
      <c r="E454" s="57" t="n">
        <v>4544</v>
      </c>
      <c r="F454" s="55" t="s">
        <v>2467</v>
      </c>
      <c r="G454" s="56" t="s">
        <v>2470</v>
      </c>
      <c r="H454" s="59"/>
      <c r="I454" s="55" t="s">
        <v>2790</v>
      </c>
      <c r="J454" s="55" t="s">
        <v>276</v>
      </c>
      <c r="K454" s="55" t="s">
        <v>513</v>
      </c>
      <c r="L454" s="61" t="s">
        <v>2476</v>
      </c>
      <c r="M454" s="56"/>
    </row>
    <row r="455" customFormat="false" ht="25.5" hidden="false" customHeight="true" outlineLevel="0" collapsed="false">
      <c r="A455" s="55" t="n">
        <v>451</v>
      </c>
      <c r="B455" s="55" t="s">
        <v>1576</v>
      </c>
      <c r="C455" s="56" t="s">
        <v>1599</v>
      </c>
      <c r="D455" s="55" t="s">
        <v>2792</v>
      </c>
      <c r="E455" s="57" t="n">
        <v>5010</v>
      </c>
      <c r="F455" s="55" t="s">
        <v>2467</v>
      </c>
      <c r="G455" s="56" t="s">
        <v>2470</v>
      </c>
      <c r="H455" s="59"/>
      <c r="I455" s="55" t="s">
        <v>2790</v>
      </c>
      <c r="J455" s="55" t="s">
        <v>276</v>
      </c>
      <c r="K455" s="55" t="s">
        <v>513</v>
      </c>
      <c r="L455" s="61" t="s">
        <v>2476</v>
      </c>
      <c r="M455" s="56"/>
    </row>
    <row r="456" customFormat="false" ht="38.25" hidden="false" customHeight="true" outlineLevel="0" collapsed="false">
      <c r="A456" s="55" t="n">
        <v>452</v>
      </c>
      <c r="B456" s="55" t="s">
        <v>1576</v>
      </c>
      <c r="C456" s="56" t="s">
        <v>2793</v>
      </c>
      <c r="D456" s="55"/>
      <c r="E456" s="57" t="n">
        <v>6474</v>
      </c>
      <c r="F456" s="55" t="s">
        <v>2467</v>
      </c>
      <c r="G456" s="56" t="s">
        <v>2470</v>
      </c>
      <c r="H456" s="59"/>
      <c r="I456" s="55" t="s">
        <v>2790</v>
      </c>
      <c r="J456" s="55" t="s">
        <v>276</v>
      </c>
      <c r="K456" s="55" t="s">
        <v>513</v>
      </c>
      <c r="L456" s="60" t="s">
        <v>2479</v>
      </c>
      <c r="M456" s="56"/>
    </row>
    <row r="457" customFormat="false" ht="25.5" hidden="false" customHeight="true" outlineLevel="0" collapsed="false">
      <c r="A457" s="55" t="n">
        <v>453</v>
      </c>
      <c r="B457" s="55" t="s">
        <v>1576</v>
      </c>
      <c r="C457" s="56" t="s">
        <v>1589</v>
      </c>
      <c r="D457" s="55" t="s">
        <v>1590</v>
      </c>
      <c r="E457" s="57" t="n">
        <v>9186</v>
      </c>
      <c r="F457" s="55" t="s">
        <v>2467</v>
      </c>
      <c r="G457" s="56" t="s">
        <v>2470</v>
      </c>
      <c r="H457" s="59"/>
      <c r="I457" s="55" t="s">
        <v>2790</v>
      </c>
      <c r="J457" s="55" t="s">
        <v>276</v>
      </c>
      <c r="K457" s="55" t="s">
        <v>513</v>
      </c>
      <c r="L457" s="61" t="s">
        <v>2476</v>
      </c>
      <c r="M457" s="56"/>
    </row>
    <row r="458" customFormat="false" ht="25.5" hidden="false" customHeight="true" outlineLevel="0" collapsed="false">
      <c r="A458" s="55" t="n">
        <v>454</v>
      </c>
      <c r="B458" s="55" t="s">
        <v>1576</v>
      </c>
      <c r="C458" s="56" t="s">
        <v>1593</v>
      </c>
      <c r="D458" s="55" t="s">
        <v>1594</v>
      </c>
      <c r="E458" s="57" t="n">
        <v>18629</v>
      </c>
      <c r="F458" s="55" t="s">
        <v>2467</v>
      </c>
      <c r="G458" s="56" t="s">
        <v>2470</v>
      </c>
      <c r="H458" s="59"/>
      <c r="I458" s="55" t="s">
        <v>2790</v>
      </c>
      <c r="J458" s="55" t="s">
        <v>276</v>
      </c>
      <c r="K458" s="55" t="s">
        <v>513</v>
      </c>
      <c r="L458" s="61" t="s">
        <v>2476</v>
      </c>
      <c r="M458" s="56"/>
    </row>
    <row r="459" customFormat="false" ht="25.5" hidden="false" customHeight="true" outlineLevel="0" collapsed="false">
      <c r="A459" s="55" t="n">
        <v>455</v>
      </c>
      <c r="B459" s="55" t="s">
        <v>1576</v>
      </c>
      <c r="C459" s="56" t="s">
        <v>1595</v>
      </c>
      <c r="D459" s="55" t="s">
        <v>1596</v>
      </c>
      <c r="E459" s="57" t="n">
        <v>1705</v>
      </c>
      <c r="F459" s="55" t="s">
        <v>2467</v>
      </c>
      <c r="G459" s="56" t="s">
        <v>2470</v>
      </c>
      <c r="H459" s="59"/>
      <c r="I459" s="55" t="s">
        <v>2790</v>
      </c>
      <c r="J459" s="55" t="s">
        <v>276</v>
      </c>
      <c r="K459" s="55" t="s">
        <v>513</v>
      </c>
      <c r="L459" s="61" t="s">
        <v>2476</v>
      </c>
      <c r="M459" s="56"/>
    </row>
    <row r="460" customFormat="false" ht="25.5" hidden="false" customHeight="true" outlineLevel="0" collapsed="false">
      <c r="A460" s="55" t="n">
        <v>456</v>
      </c>
      <c r="B460" s="55" t="s">
        <v>1576</v>
      </c>
      <c r="C460" s="56" t="s">
        <v>1577</v>
      </c>
      <c r="D460" s="55" t="s">
        <v>1578</v>
      </c>
      <c r="E460" s="57" t="n">
        <v>3394</v>
      </c>
      <c r="F460" s="55" t="s">
        <v>2467</v>
      </c>
      <c r="G460" s="56" t="s">
        <v>2470</v>
      </c>
      <c r="H460" s="59"/>
      <c r="I460" s="55" t="s">
        <v>2790</v>
      </c>
      <c r="J460" s="55" t="s">
        <v>276</v>
      </c>
      <c r="K460" s="55" t="s">
        <v>513</v>
      </c>
      <c r="L460" s="61" t="s">
        <v>2476</v>
      </c>
      <c r="M460" s="56"/>
    </row>
    <row r="461" customFormat="false" ht="25.5" hidden="false" customHeight="true" outlineLevel="0" collapsed="false">
      <c r="A461" s="55" t="n">
        <v>457</v>
      </c>
      <c r="B461" s="55" t="s">
        <v>1576</v>
      </c>
      <c r="C461" s="56" t="s">
        <v>1591</v>
      </c>
      <c r="D461" s="55" t="s">
        <v>1592</v>
      </c>
      <c r="E461" s="57" t="n">
        <v>16856</v>
      </c>
      <c r="F461" s="55" t="s">
        <v>2467</v>
      </c>
      <c r="G461" s="56" t="s">
        <v>2470</v>
      </c>
      <c r="H461" s="59"/>
      <c r="I461" s="55" t="s">
        <v>2790</v>
      </c>
      <c r="J461" s="55" t="s">
        <v>276</v>
      </c>
      <c r="K461" s="55" t="s">
        <v>513</v>
      </c>
      <c r="L461" s="61" t="s">
        <v>2476</v>
      </c>
      <c r="M461" s="56"/>
    </row>
    <row r="462" customFormat="false" ht="51" hidden="false" customHeight="true" outlineLevel="0" collapsed="false">
      <c r="A462" s="55" t="n">
        <v>458</v>
      </c>
      <c r="B462" s="55" t="s">
        <v>1576</v>
      </c>
      <c r="C462" s="56" t="s">
        <v>1597</v>
      </c>
      <c r="D462" s="55" t="s">
        <v>1598</v>
      </c>
      <c r="E462" s="57" t="n">
        <v>30770</v>
      </c>
      <c r="F462" s="55" t="s">
        <v>2467</v>
      </c>
      <c r="G462" s="56" t="s">
        <v>2470</v>
      </c>
      <c r="H462" s="59"/>
      <c r="I462" s="55" t="s">
        <v>2790</v>
      </c>
      <c r="J462" s="55" t="s">
        <v>276</v>
      </c>
      <c r="K462" s="55" t="s">
        <v>513</v>
      </c>
      <c r="L462" s="61" t="s">
        <v>2476</v>
      </c>
      <c r="M462" s="56"/>
    </row>
    <row r="463" customFormat="false" ht="51" hidden="false" customHeight="true" outlineLevel="0" collapsed="false">
      <c r="A463" s="55" t="n">
        <v>459</v>
      </c>
      <c r="B463" s="55" t="s">
        <v>1576</v>
      </c>
      <c r="C463" s="56" t="s">
        <v>1601</v>
      </c>
      <c r="D463" s="55" t="s">
        <v>1602</v>
      </c>
      <c r="E463" s="57" t="n">
        <v>32755</v>
      </c>
      <c r="F463" s="55" t="s">
        <v>2467</v>
      </c>
      <c r="G463" s="56" t="s">
        <v>2470</v>
      </c>
      <c r="H463" s="59"/>
      <c r="I463" s="55" t="s">
        <v>2790</v>
      </c>
      <c r="J463" s="55" t="s">
        <v>276</v>
      </c>
      <c r="K463" s="55" t="s">
        <v>513</v>
      </c>
      <c r="L463" s="61" t="s">
        <v>2476</v>
      </c>
      <c r="M463" s="56"/>
    </row>
    <row r="464" customFormat="false" ht="38.25" hidden="false" customHeight="true" outlineLevel="0" collapsed="false">
      <c r="A464" s="55" t="n">
        <v>460</v>
      </c>
      <c r="B464" s="55" t="s">
        <v>1576</v>
      </c>
      <c r="C464" s="56" t="s">
        <v>1603</v>
      </c>
      <c r="D464" s="55" t="s">
        <v>1604</v>
      </c>
      <c r="E464" s="57" t="n">
        <v>33538</v>
      </c>
      <c r="F464" s="55" t="s">
        <v>2467</v>
      </c>
      <c r="G464" s="56" t="s">
        <v>2794</v>
      </c>
      <c r="H464" s="55"/>
      <c r="I464" s="55" t="s">
        <v>2794</v>
      </c>
      <c r="J464" s="55" t="s">
        <v>280</v>
      </c>
      <c r="K464" s="55" t="s">
        <v>502</v>
      </c>
      <c r="L464" s="58" t="s">
        <v>2469</v>
      </c>
      <c r="M464" s="56"/>
    </row>
    <row r="465" customFormat="false" ht="38.25" hidden="false" customHeight="true" outlineLevel="0" collapsed="false">
      <c r="A465" s="55" t="n">
        <v>461</v>
      </c>
      <c r="B465" s="55" t="s">
        <v>1576</v>
      </c>
      <c r="C465" s="56" t="s">
        <v>1609</v>
      </c>
      <c r="D465" s="55" t="s">
        <v>2795</v>
      </c>
      <c r="E465" s="57" t="n">
        <v>36204</v>
      </c>
      <c r="F465" s="55" t="s">
        <v>2467</v>
      </c>
      <c r="G465" s="56" t="s">
        <v>2470</v>
      </c>
      <c r="H465" s="59"/>
      <c r="I465" s="55" t="s">
        <v>2790</v>
      </c>
      <c r="J465" s="55" t="s">
        <v>276</v>
      </c>
      <c r="K465" s="55" t="s">
        <v>513</v>
      </c>
      <c r="L465" s="61" t="s">
        <v>2476</v>
      </c>
      <c r="M465" s="56"/>
    </row>
    <row r="466" customFormat="false" ht="51" hidden="false" customHeight="true" outlineLevel="0" collapsed="false">
      <c r="A466" s="55" t="n">
        <v>462</v>
      </c>
      <c r="B466" s="55" t="s">
        <v>1576</v>
      </c>
      <c r="C466" s="56" t="s">
        <v>1611</v>
      </c>
      <c r="D466" s="55" t="s">
        <v>1612</v>
      </c>
      <c r="E466" s="57" t="n">
        <v>77807</v>
      </c>
      <c r="F466" s="55" t="s">
        <v>2467</v>
      </c>
      <c r="G466" s="56" t="s">
        <v>2796</v>
      </c>
      <c r="H466" s="55"/>
      <c r="I466" s="55" t="s">
        <v>2796</v>
      </c>
      <c r="J466" s="55" t="s">
        <v>280</v>
      </c>
      <c r="K466" s="55" t="s">
        <v>502</v>
      </c>
      <c r="L466" s="58" t="s">
        <v>2469</v>
      </c>
      <c r="M466" s="56"/>
    </row>
    <row r="467" customFormat="false" ht="25.5" hidden="false" customHeight="true" outlineLevel="0" collapsed="false">
      <c r="A467" s="55" t="n">
        <v>463</v>
      </c>
      <c r="B467" s="55" t="s">
        <v>1576</v>
      </c>
      <c r="C467" s="56" t="s">
        <v>1614</v>
      </c>
      <c r="D467" s="55" t="s">
        <v>1615</v>
      </c>
      <c r="E467" s="57" t="n">
        <v>58898</v>
      </c>
      <c r="F467" s="55" t="s">
        <v>2467</v>
      </c>
      <c r="G467" s="56" t="s">
        <v>2470</v>
      </c>
      <c r="H467" s="59"/>
      <c r="I467" s="55" t="s">
        <v>2790</v>
      </c>
      <c r="J467" s="55" t="s">
        <v>276</v>
      </c>
      <c r="K467" s="55" t="s">
        <v>513</v>
      </c>
      <c r="L467" s="61" t="s">
        <v>2476</v>
      </c>
      <c r="M467" s="56"/>
    </row>
    <row r="468" customFormat="false" ht="25.5" hidden="false" customHeight="true" outlineLevel="0" collapsed="false">
      <c r="A468" s="55" t="n">
        <v>464</v>
      </c>
      <c r="B468" s="55" t="s">
        <v>1576</v>
      </c>
      <c r="C468" s="56" t="s">
        <v>1616</v>
      </c>
      <c r="D468" s="55" t="s">
        <v>2797</v>
      </c>
      <c r="E468" s="57" t="n">
        <v>41472</v>
      </c>
      <c r="F468" s="55" t="s">
        <v>2467</v>
      </c>
      <c r="G468" s="56" t="s">
        <v>2470</v>
      </c>
      <c r="H468" s="59"/>
      <c r="I468" s="55" t="s">
        <v>2790</v>
      </c>
      <c r="J468" s="55" t="s">
        <v>276</v>
      </c>
      <c r="K468" s="55" t="s">
        <v>513</v>
      </c>
      <c r="L468" s="61" t="s">
        <v>2476</v>
      </c>
      <c r="M468" s="56"/>
    </row>
    <row r="469" customFormat="false" ht="25.5" hidden="false" customHeight="true" outlineLevel="0" collapsed="false">
      <c r="A469" s="55" t="n">
        <v>465</v>
      </c>
      <c r="B469" s="55" t="s">
        <v>1576</v>
      </c>
      <c r="C469" s="56" t="s">
        <v>1633</v>
      </c>
      <c r="D469" s="55" t="s">
        <v>2798</v>
      </c>
      <c r="E469" s="57" t="n">
        <v>60452</v>
      </c>
      <c r="F469" s="55" t="s">
        <v>2467</v>
      </c>
      <c r="G469" s="56" t="s">
        <v>2470</v>
      </c>
      <c r="H469" s="59"/>
      <c r="I469" s="55" t="s">
        <v>2790</v>
      </c>
      <c r="J469" s="55" t="s">
        <v>276</v>
      </c>
      <c r="K469" s="55" t="s">
        <v>513</v>
      </c>
      <c r="L469" s="61" t="s">
        <v>2476</v>
      </c>
      <c r="M469" s="56"/>
    </row>
    <row r="470" customFormat="false" ht="38.25" hidden="false" customHeight="true" outlineLevel="0" collapsed="false">
      <c r="A470" s="55" t="n">
        <v>466</v>
      </c>
      <c r="B470" s="55" t="s">
        <v>1576</v>
      </c>
      <c r="C470" s="56" t="s">
        <v>1619</v>
      </c>
      <c r="D470" s="55" t="s">
        <v>1620</v>
      </c>
      <c r="E470" s="57" t="n">
        <v>71158</v>
      </c>
      <c r="F470" s="55" t="s">
        <v>2467</v>
      </c>
      <c r="G470" s="56" t="s">
        <v>2799</v>
      </c>
      <c r="H470" s="55"/>
      <c r="I470" s="55" t="s">
        <v>2799</v>
      </c>
      <c r="J470" s="55" t="s">
        <v>280</v>
      </c>
      <c r="K470" s="55" t="s">
        <v>502</v>
      </c>
      <c r="L470" s="58" t="s">
        <v>2469</v>
      </c>
      <c r="M470" s="56"/>
    </row>
    <row r="471" customFormat="false" ht="38.25" hidden="false" customHeight="true" outlineLevel="0" collapsed="false">
      <c r="A471" s="55" t="n">
        <v>467</v>
      </c>
      <c r="B471" s="55" t="s">
        <v>1576</v>
      </c>
      <c r="C471" s="56" t="s">
        <v>1624</v>
      </c>
      <c r="D471" s="55" t="s">
        <v>1625</v>
      </c>
      <c r="E471" s="57" t="n">
        <v>30558</v>
      </c>
      <c r="F471" s="55" t="s">
        <v>2467</v>
      </c>
      <c r="G471" s="56" t="s">
        <v>2800</v>
      </c>
      <c r="H471" s="55"/>
      <c r="I471" s="55" t="s">
        <v>2800</v>
      </c>
      <c r="J471" s="55" t="s">
        <v>280</v>
      </c>
      <c r="K471" s="55" t="s">
        <v>502</v>
      </c>
      <c r="L471" s="58" t="s">
        <v>2469</v>
      </c>
      <c r="M471" s="56"/>
    </row>
    <row r="472" customFormat="false" ht="38.25" hidden="false" customHeight="true" outlineLevel="0" collapsed="false">
      <c r="A472" s="55" t="n">
        <v>468</v>
      </c>
      <c r="B472" s="55" t="s">
        <v>1576</v>
      </c>
      <c r="C472" s="56" t="s">
        <v>1627</v>
      </c>
      <c r="D472" s="55" t="s">
        <v>1628</v>
      </c>
      <c r="E472" s="57" t="n">
        <v>39604</v>
      </c>
      <c r="F472" s="55" t="s">
        <v>2467</v>
      </c>
      <c r="G472" s="56" t="s">
        <v>2801</v>
      </c>
      <c r="H472" s="55"/>
      <c r="I472" s="55" t="s">
        <v>2801</v>
      </c>
      <c r="J472" s="55" t="s">
        <v>278</v>
      </c>
      <c r="K472" s="55" t="s">
        <v>513</v>
      </c>
      <c r="L472" s="58" t="s">
        <v>2469</v>
      </c>
      <c r="M472" s="56"/>
    </row>
    <row r="473" customFormat="false" ht="38.25" hidden="false" customHeight="true" outlineLevel="0" collapsed="false">
      <c r="A473" s="55" t="n">
        <v>469</v>
      </c>
      <c r="B473" s="55" t="s">
        <v>1576</v>
      </c>
      <c r="C473" s="56" t="s">
        <v>1630</v>
      </c>
      <c r="D473" s="55" t="s">
        <v>1631</v>
      </c>
      <c r="E473" s="57" t="n">
        <v>72967</v>
      </c>
      <c r="F473" s="55" t="s">
        <v>2467</v>
      </c>
      <c r="G473" s="56" t="s">
        <v>2802</v>
      </c>
      <c r="H473" s="55"/>
      <c r="I473" s="55" t="s">
        <v>2802</v>
      </c>
      <c r="J473" s="55" t="s">
        <v>280</v>
      </c>
      <c r="K473" s="55" t="s">
        <v>502</v>
      </c>
      <c r="L473" s="58" t="s">
        <v>2469</v>
      </c>
      <c r="M473" s="56"/>
    </row>
    <row r="474" customFormat="false" ht="38.25" hidden="false" customHeight="true" outlineLevel="0" collapsed="false">
      <c r="A474" s="55" t="n">
        <v>470</v>
      </c>
      <c r="B474" s="55" t="s">
        <v>1576</v>
      </c>
      <c r="C474" s="56" t="s">
        <v>1606</v>
      </c>
      <c r="D474" s="55" t="s">
        <v>1607</v>
      </c>
      <c r="E474" s="57" t="n">
        <v>31296</v>
      </c>
      <c r="F474" s="55" t="s">
        <v>2467</v>
      </c>
      <c r="G474" s="56" t="s">
        <v>2803</v>
      </c>
      <c r="H474" s="55"/>
      <c r="I474" s="55" t="s">
        <v>2803</v>
      </c>
      <c r="J474" s="55" t="s">
        <v>280</v>
      </c>
      <c r="K474" s="55" t="s">
        <v>502</v>
      </c>
      <c r="L474" s="58" t="s">
        <v>2469</v>
      </c>
      <c r="M474" s="56"/>
    </row>
    <row r="475" customFormat="false" ht="38.25" hidden="false" customHeight="true" outlineLevel="0" collapsed="false">
      <c r="A475" s="55" t="n">
        <v>471</v>
      </c>
      <c r="B475" s="55" t="s">
        <v>1576</v>
      </c>
      <c r="C475" s="56" t="s">
        <v>1622</v>
      </c>
      <c r="D475" s="55" t="s">
        <v>1623</v>
      </c>
      <c r="E475" s="57" t="n">
        <v>53883</v>
      </c>
      <c r="F475" s="55" t="s">
        <v>2467</v>
      </c>
      <c r="G475" s="56" t="s">
        <v>2791</v>
      </c>
      <c r="H475" s="55"/>
      <c r="I475" s="55" t="s">
        <v>2791</v>
      </c>
      <c r="J475" s="55" t="s">
        <v>280</v>
      </c>
      <c r="K475" s="55" t="s">
        <v>502</v>
      </c>
      <c r="L475" s="58" t="s">
        <v>2469</v>
      </c>
      <c r="M475" s="56"/>
    </row>
    <row r="476" customFormat="false" ht="25.5" hidden="false" customHeight="true" outlineLevel="0" collapsed="false">
      <c r="A476" s="55" t="n">
        <v>472</v>
      </c>
      <c r="B476" s="55" t="s">
        <v>1635</v>
      </c>
      <c r="C476" s="56" t="s">
        <v>1636</v>
      </c>
      <c r="D476" s="55" t="s">
        <v>1637</v>
      </c>
      <c r="E476" s="57" t="n">
        <v>12645</v>
      </c>
      <c r="F476" s="55" t="s">
        <v>2467</v>
      </c>
      <c r="G476" s="56" t="s">
        <v>2470</v>
      </c>
      <c r="H476" s="59"/>
      <c r="I476" s="55" t="s">
        <v>2804</v>
      </c>
      <c r="J476" s="55" t="s">
        <v>280</v>
      </c>
      <c r="K476" s="55" t="s">
        <v>502</v>
      </c>
      <c r="L476" s="60" t="s">
        <v>2472</v>
      </c>
      <c r="M476" s="56"/>
    </row>
    <row r="477" customFormat="false" ht="25.5" hidden="false" customHeight="true" outlineLevel="0" collapsed="false">
      <c r="A477" s="55" t="n">
        <v>473</v>
      </c>
      <c r="B477" s="55" t="s">
        <v>1635</v>
      </c>
      <c r="C477" s="56" t="s">
        <v>1639</v>
      </c>
      <c r="D477" s="55" t="s">
        <v>2805</v>
      </c>
      <c r="E477" s="57" t="n">
        <v>10355</v>
      </c>
      <c r="F477" s="55" t="s">
        <v>2467</v>
      </c>
      <c r="G477" s="56" t="s">
        <v>2470</v>
      </c>
      <c r="H477" s="59"/>
      <c r="I477" s="55" t="s">
        <v>2806</v>
      </c>
      <c r="J477" s="55" t="s">
        <v>280</v>
      </c>
      <c r="K477" s="55" t="s">
        <v>502</v>
      </c>
      <c r="L477" s="60" t="s">
        <v>2472</v>
      </c>
      <c r="M477" s="56"/>
    </row>
    <row r="478" customFormat="false" ht="25.5" hidden="false" customHeight="true" outlineLevel="0" collapsed="false">
      <c r="A478" s="55" t="n">
        <v>474</v>
      </c>
      <c r="B478" s="55" t="s">
        <v>1635</v>
      </c>
      <c r="C478" s="56" t="s">
        <v>1642</v>
      </c>
      <c r="D478" s="55" t="s">
        <v>1643</v>
      </c>
      <c r="E478" s="57" t="n">
        <v>25857</v>
      </c>
      <c r="F478" s="55" t="s">
        <v>2467</v>
      </c>
      <c r="G478" s="56" t="s">
        <v>2470</v>
      </c>
      <c r="H478" s="59"/>
      <c r="I478" s="55" t="s">
        <v>2807</v>
      </c>
      <c r="J478" s="55" t="s">
        <v>276</v>
      </c>
      <c r="K478" s="55" t="s">
        <v>513</v>
      </c>
      <c r="L478" s="61" t="s">
        <v>2476</v>
      </c>
      <c r="M478" s="56"/>
    </row>
    <row r="479" customFormat="false" ht="25.5" hidden="false" customHeight="true" outlineLevel="0" collapsed="false">
      <c r="A479" s="55" t="n">
        <v>475</v>
      </c>
      <c r="B479" s="55" t="s">
        <v>1635</v>
      </c>
      <c r="C479" s="56" t="s">
        <v>1645</v>
      </c>
      <c r="D479" s="55" t="s">
        <v>1646</v>
      </c>
      <c r="E479" s="57" t="n">
        <v>4937</v>
      </c>
      <c r="F479" s="55" t="s">
        <v>2467</v>
      </c>
      <c r="G479" s="56" t="s">
        <v>2470</v>
      </c>
      <c r="H479" s="59"/>
      <c r="I479" s="55" t="s">
        <v>2807</v>
      </c>
      <c r="J479" s="55" t="s">
        <v>276</v>
      </c>
      <c r="K479" s="55" t="s">
        <v>513</v>
      </c>
      <c r="L479" s="61" t="s">
        <v>2476</v>
      </c>
      <c r="M479" s="56"/>
    </row>
    <row r="480" customFormat="false" ht="25.5" hidden="false" customHeight="true" outlineLevel="0" collapsed="false">
      <c r="A480" s="55" t="n">
        <v>476</v>
      </c>
      <c r="B480" s="55" t="s">
        <v>1635</v>
      </c>
      <c r="C480" s="56" t="s">
        <v>1647</v>
      </c>
      <c r="D480" s="55" t="s">
        <v>1648</v>
      </c>
      <c r="E480" s="57" t="n">
        <v>35559</v>
      </c>
      <c r="F480" s="55" t="s">
        <v>2467</v>
      </c>
      <c r="G480" s="56" t="s">
        <v>2470</v>
      </c>
      <c r="H480" s="59"/>
      <c r="I480" s="55" t="s">
        <v>2804</v>
      </c>
      <c r="J480" s="55" t="s">
        <v>280</v>
      </c>
      <c r="K480" s="55" t="s">
        <v>502</v>
      </c>
      <c r="L480" s="60" t="s">
        <v>2472</v>
      </c>
      <c r="M480" s="56"/>
    </row>
    <row r="481" customFormat="false" ht="25.5" hidden="false" customHeight="true" outlineLevel="0" collapsed="false">
      <c r="A481" s="55" t="n">
        <v>477</v>
      </c>
      <c r="B481" s="55" t="s">
        <v>1635</v>
      </c>
      <c r="C481" s="56" t="s">
        <v>1650</v>
      </c>
      <c r="D481" s="55" t="s">
        <v>1651</v>
      </c>
      <c r="E481" s="57" t="n">
        <v>9903</v>
      </c>
      <c r="F481" s="55" t="s">
        <v>2467</v>
      </c>
      <c r="G481" s="56" t="s">
        <v>2470</v>
      </c>
      <c r="H481" s="59"/>
      <c r="I481" s="55" t="s">
        <v>2804</v>
      </c>
      <c r="J481" s="55" t="s">
        <v>280</v>
      </c>
      <c r="K481" s="55" t="s">
        <v>502</v>
      </c>
      <c r="L481" s="60" t="s">
        <v>2472</v>
      </c>
      <c r="M481" s="56"/>
    </row>
    <row r="482" customFormat="false" ht="25.5" hidden="false" customHeight="true" outlineLevel="0" collapsed="false">
      <c r="A482" s="55" t="n">
        <v>478</v>
      </c>
      <c r="B482" s="55" t="s">
        <v>1635</v>
      </c>
      <c r="C482" s="56" t="s">
        <v>1653</v>
      </c>
      <c r="D482" s="55" t="s">
        <v>1654</v>
      </c>
      <c r="E482" s="57" t="n">
        <v>23471</v>
      </c>
      <c r="F482" s="55" t="s">
        <v>2467</v>
      </c>
      <c r="G482" s="56" t="s">
        <v>2470</v>
      </c>
      <c r="H482" s="59"/>
      <c r="I482" s="55" t="s">
        <v>2807</v>
      </c>
      <c r="J482" s="55" t="s">
        <v>276</v>
      </c>
      <c r="K482" s="55" t="s">
        <v>513</v>
      </c>
      <c r="L482" s="61" t="s">
        <v>2476</v>
      </c>
      <c r="M482" s="56"/>
    </row>
    <row r="483" customFormat="false" ht="25.5" hidden="false" customHeight="true" outlineLevel="0" collapsed="false">
      <c r="A483" s="55" t="n">
        <v>479</v>
      </c>
      <c r="B483" s="55" t="s">
        <v>1635</v>
      </c>
      <c r="C483" s="56" t="s">
        <v>1668</v>
      </c>
      <c r="D483" s="55" t="s">
        <v>1669</v>
      </c>
      <c r="E483" s="57" t="n">
        <v>14339</v>
      </c>
      <c r="F483" s="55" t="s">
        <v>2467</v>
      </c>
      <c r="G483" s="56" t="s">
        <v>2470</v>
      </c>
      <c r="H483" s="59"/>
      <c r="I483" s="55" t="s">
        <v>2807</v>
      </c>
      <c r="J483" s="55" t="s">
        <v>276</v>
      </c>
      <c r="K483" s="55" t="s">
        <v>513</v>
      </c>
      <c r="L483" s="61" t="s">
        <v>2476</v>
      </c>
      <c r="M483" s="56"/>
    </row>
    <row r="484" customFormat="false" ht="25.5" hidden="false" customHeight="true" outlineLevel="0" collapsed="false">
      <c r="A484" s="55" t="n">
        <v>480</v>
      </c>
      <c r="B484" s="55" t="s">
        <v>1635</v>
      </c>
      <c r="C484" s="56" t="s">
        <v>1657</v>
      </c>
      <c r="D484" s="55" t="s">
        <v>1658</v>
      </c>
      <c r="E484" s="57" t="n">
        <v>6688</v>
      </c>
      <c r="F484" s="55" t="s">
        <v>2467</v>
      </c>
      <c r="G484" s="56" t="s">
        <v>2470</v>
      </c>
      <c r="H484" s="59"/>
      <c r="I484" s="55" t="s">
        <v>2808</v>
      </c>
      <c r="J484" s="55" t="s">
        <v>280</v>
      </c>
      <c r="K484" s="55" t="s">
        <v>502</v>
      </c>
      <c r="L484" s="60" t="s">
        <v>2472</v>
      </c>
      <c r="M484" s="56"/>
    </row>
    <row r="485" customFormat="false" ht="25.5" hidden="false" customHeight="true" outlineLevel="0" collapsed="false">
      <c r="A485" s="55" t="n">
        <v>481</v>
      </c>
      <c r="B485" s="55" t="s">
        <v>1635</v>
      </c>
      <c r="C485" s="56" t="s">
        <v>1660</v>
      </c>
      <c r="D485" s="55" t="s">
        <v>1661</v>
      </c>
      <c r="E485" s="57" t="n">
        <v>15366</v>
      </c>
      <c r="F485" s="55" t="s">
        <v>2467</v>
      </c>
      <c r="G485" s="56" t="s">
        <v>2470</v>
      </c>
      <c r="H485" s="59"/>
      <c r="I485" s="55" t="s">
        <v>2809</v>
      </c>
      <c r="J485" s="55" t="s">
        <v>278</v>
      </c>
      <c r="K485" s="55" t="s">
        <v>513</v>
      </c>
      <c r="L485" s="61" t="s">
        <v>2476</v>
      </c>
      <c r="M485" s="56"/>
    </row>
    <row r="486" customFormat="false" ht="25.5" hidden="false" customHeight="true" outlineLevel="0" collapsed="false">
      <c r="A486" s="55" t="n">
        <v>482</v>
      </c>
      <c r="B486" s="55" t="s">
        <v>1635</v>
      </c>
      <c r="C486" s="56" t="s">
        <v>1663</v>
      </c>
      <c r="D486" s="55" t="s">
        <v>1664</v>
      </c>
      <c r="E486" s="57" t="n">
        <v>3563</v>
      </c>
      <c r="F486" s="55" t="s">
        <v>2467</v>
      </c>
      <c r="G486" s="56" t="s">
        <v>2470</v>
      </c>
      <c r="H486" s="59"/>
      <c r="I486" s="55" t="s">
        <v>2810</v>
      </c>
      <c r="J486" s="55" t="s">
        <v>280</v>
      </c>
      <c r="K486" s="55" t="s">
        <v>502</v>
      </c>
      <c r="L486" s="60" t="s">
        <v>2472</v>
      </c>
      <c r="M486" s="56"/>
    </row>
    <row r="487" customFormat="false" ht="25.5" hidden="false" customHeight="true" outlineLevel="0" collapsed="false">
      <c r="A487" s="55" t="n">
        <v>483</v>
      </c>
      <c r="B487" s="55" t="s">
        <v>1635</v>
      </c>
      <c r="C487" s="56" t="s">
        <v>1655</v>
      </c>
      <c r="D487" s="55" t="s">
        <v>1656</v>
      </c>
      <c r="E487" s="57" t="n">
        <v>7867</v>
      </c>
      <c r="F487" s="55" t="s">
        <v>2467</v>
      </c>
      <c r="G487" s="56" t="s">
        <v>2470</v>
      </c>
      <c r="H487" s="59"/>
      <c r="I487" s="55" t="s">
        <v>2807</v>
      </c>
      <c r="J487" s="55" t="s">
        <v>276</v>
      </c>
      <c r="K487" s="55" t="s">
        <v>513</v>
      </c>
      <c r="L487" s="61" t="s">
        <v>2476</v>
      </c>
      <c r="M487" s="56"/>
    </row>
    <row r="488" customFormat="false" ht="25.5" hidden="false" customHeight="true" outlineLevel="0" collapsed="false">
      <c r="A488" s="55" t="n">
        <v>484</v>
      </c>
      <c r="B488" s="55" t="s">
        <v>1635</v>
      </c>
      <c r="C488" s="56" t="s">
        <v>1666</v>
      </c>
      <c r="D488" s="55" t="s">
        <v>1667</v>
      </c>
      <c r="E488" s="57" t="n">
        <v>9572</v>
      </c>
      <c r="F488" s="55" t="s">
        <v>2467</v>
      </c>
      <c r="G488" s="56" t="s">
        <v>2470</v>
      </c>
      <c r="H488" s="59"/>
      <c r="I488" s="55" t="s">
        <v>2807</v>
      </c>
      <c r="J488" s="55" t="s">
        <v>276</v>
      </c>
      <c r="K488" s="55" t="s">
        <v>513</v>
      </c>
      <c r="L488" s="61" t="s">
        <v>2476</v>
      </c>
      <c r="M488" s="56"/>
    </row>
    <row r="489" customFormat="false" ht="25.5" hidden="false" customHeight="true" outlineLevel="0" collapsed="false">
      <c r="A489" s="55" t="n">
        <v>485</v>
      </c>
      <c r="B489" s="55" t="s">
        <v>1635</v>
      </c>
      <c r="C489" s="56" t="s">
        <v>1670</v>
      </c>
      <c r="D489" s="55" t="s">
        <v>1671</v>
      </c>
      <c r="E489" s="57" t="n">
        <v>61573</v>
      </c>
      <c r="F489" s="55" t="s">
        <v>2467</v>
      </c>
      <c r="G489" s="56" t="s">
        <v>2470</v>
      </c>
      <c r="H489" s="59"/>
      <c r="I489" s="55" t="s">
        <v>2807</v>
      </c>
      <c r="J489" s="55" t="s">
        <v>276</v>
      </c>
      <c r="K489" s="55" t="s">
        <v>513</v>
      </c>
      <c r="L489" s="61" t="s">
        <v>2476</v>
      </c>
      <c r="M489" s="56"/>
    </row>
    <row r="490" customFormat="false" ht="25.5" hidden="false" customHeight="true" outlineLevel="0" collapsed="false">
      <c r="A490" s="55" t="n">
        <v>486</v>
      </c>
      <c r="B490" s="55" t="s">
        <v>1635</v>
      </c>
      <c r="C490" s="56" t="s">
        <v>1672</v>
      </c>
      <c r="D490" s="55" t="s">
        <v>1673</v>
      </c>
      <c r="E490" s="57" t="n">
        <v>29593</v>
      </c>
      <c r="F490" s="55" t="s">
        <v>2467</v>
      </c>
      <c r="G490" s="56" t="s">
        <v>2470</v>
      </c>
      <c r="H490" s="59"/>
      <c r="I490" s="55" t="s">
        <v>2807</v>
      </c>
      <c r="J490" s="55" t="s">
        <v>276</v>
      </c>
      <c r="K490" s="55" t="s">
        <v>513</v>
      </c>
      <c r="L490" s="61" t="s">
        <v>2476</v>
      </c>
      <c r="M490" s="56"/>
    </row>
    <row r="491" customFormat="false" ht="25.5" hidden="false" customHeight="true" outlineLevel="0" collapsed="false">
      <c r="A491" s="55" t="n">
        <v>487</v>
      </c>
      <c r="B491" s="55" t="s">
        <v>1635</v>
      </c>
      <c r="C491" s="56" t="s">
        <v>1674</v>
      </c>
      <c r="D491" s="55" t="s">
        <v>1675</v>
      </c>
      <c r="E491" s="57" t="n">
        <v>14553</v>
      </c>
      <c r="F491" s="55" t="s">
        <v>2467</v>
      </c>
      <c r="G491" s="56" t="s">
        <v>2470</v>
      </c>
      <c r="H491" s="59"/>
      <c r="I491" s="55" t="s">
        <v>2809</v>
      </c>
      <c r="J491" s="55" t="s">
        <v>278</v>
      </c>
      <c r="K491" s="55" t="s">
        <v>513</v>
      </c>
      <c r="L491" s="61" t="s">
        <v>2476</v>
      </c>
      <c r="M491" s="56"/>
    </row>
    <row r="492" customFormat="false" ht="38.25" hidden="false" customHeight="true" outlineLevel="0" collapsed="false">
      <c r="A492" s="55" t="n">
        <v>488</v>
      </c>
      <c r="B492" s="55" t="s">
        <v>1635</v>
      </c>
      <c r="C492" s="56" t="s">
        <v>1676</v>
      </c>
      <c r="D492" s="55" t="s">
        <v>2811</v>
      </c>
      <c r="E492" s="57" t="n">
        <v>37749</v>
      </c>
      <c r="F492" s="55" t="s">
        <v>2467</v>
      </c>
      <c r="G492" s="56" t="s">
        <v>2809</v>
      </c>
      <c r="H492" s="55"/>
      <c r="I492" s="55" t="s">
        <v>2809</v>
      </c>
      <c r="J492" s="55" t="s">
        <v>278</v>
      </c>
      <c r="K492" s="55" t="s">
        <v>513</v>
      </c>
      <c r="L492" s="58" t="s">
        <v>2469</v>
      </c>
      <c r="M492" s="56"/>
    </row>
    <row r="493" customFormat="false" ht="25.5" hidden="false" customHeight="true" outlineLevel="0" collapsed="false">
      <c r="A493" s="55" t="n">
        <v>489</v>
      </c>
      <c r="B493" s="55" t="s">
        <v>1635</v>
      </c>
      <c r="C493" s="56" t="s">
        <v>1678</v>
      </c>
      <c r="D493" s="55" t="s">
        <v>1679</v>
      </c>
      <c r="E493" s="57" t="n">
        <v>11812</v>
      </c>
      <c r="F493" s="55" t="s">
        <v>2467</v>
      </c>
      <c r="G493" s="56" t="s">
        <v>2470</v>
      </c>
      <c r="H493" s="59"/>
      <c r="I493" s="55" t="s">
        <v>2807</v>
      </c>
      <c r="J493" s="55" t="s">
        <v>276</v>
      </c>
      <c r="K493" s="55" t="s">
        <v>513</v>
      </c>
      <c r="L493" s="61" t="s">
        <v>2476</v>
      </c>
      <c r="M493" s="56"/>
    </row>
    <row r="494" customFormat="false" ht="25.5" hidden="false" customHeight="true" outlineLevel="0" collapsed="false">
      <c r="A494" s="55" t="n">
        <v>490</v>
      </c>
      <c r="B494" s="55" t="s">
        <v>1635</v>
      </c>
      <c r="C494" s="56" t="s">
        <v>1680</v>
      </c>
      <c r="D494" s="55" t="s">
        <v>1681</v>
      </c>
      <c r="E494" s="57" t="n">
        <v>7049</v>
      </c>
      <c r="F494" s="55" t="s">
        <v>2467</v>
      </c>
      <c r="G494" s="56" t="s">
        <v>2470</v>
      </c>
      <c r="H494" s="59"/>
      <c r="I494" s="55" t="s">
        <v>2804</v>
      </c>
      <c r="J494" s="55" t="s">
        <v>280</v>
      </c>
      <c r="K494" s="55" t="s">
        <v>502</v>
      </c>
      <c r="L494" s="60" t="s">
        <v>2472</v>
      </c>
      <c r="M494" s="56"/>
    </row>
    <row r="495" customFormat="false" ht="38.25" hidden="false" customHeight="true" outlineLevel="0" collapsed="false">
      <c r="A495" s="55" t="n">
        <v>491</v>
      </c>
      <c r="B495" s="55" t="s">
        <v>1635</v>
      </c>
      <c r="C495" s="56" t="s">
        <v>1682</v>
      </c>
      <c r="D495" s="55" t="s">
        <v>1683</v>
      </c>
      <c r="E495" s="57" t="n">
        <v>35610</v>
      </c>
      <c r="F495" s="55" t="s">
        <v>2467</v>
      </c>
      <c r="G495" s="56" t="s">
        <v>2809</v>
      </c>
      <c r="H495" s="55"/>
      <c r="I495" s="55" t="s">
        <v>2809</v>
      </c>
      <c r="J495" s="55" t="s">
        <v>278</v>
      </c>
      <c r="K495" s="55" t="s">
        <v>513</v>
      </c>
      <c r="L495" s="58" t="s">
        <v>2469</v>
      </c>
      <c r="M495" s="56"/>
    </row>
    <row r="496" customFormat="false" ht="38.25" hidden="false" customHeight="true" outlineLevel="0" collapsed="false">
      <c r="A496" s="55" t="n">
        <v>492</v>
      </c>
      <c r="B496" s="55" t="s">
        <v>1635</v>
      </c>
      <c r="C496" s="56" t="s">
        <v>1685</v>
      </c>
      <c r="D496" s="55" t="s">
        <v>1686</v>
      </c>
      <c r="E496" s="57" t="n">
        <v>43195</v>
      </c>
      <c r="F496" s="55" t="s">
        <v>2467</v>
      </c>
      <c r="G496" s="56" t="s">
        <v>2809</v>
      </c>
      <c r="H496" s="55"/>
      <c r="I496" s="55" t="s">
        <v>2809</v>
      </c>
      <c r="J496" s="55" t="s">
        <v>278</v>
      </c>
      <c r="K496" s="55" t="s">
        <v>513</v>
      </c>
      <c r="L496" s="58" t="s">
        <v>2469</v>
      </c>
      <c r="M496" s="56"/>
    </row>
    <row r="497" customFormat="false" ht="38.25" hidden="false" customHeight="true" outlineLevel="0" collapsed="false">
      <c r="A497" s="55" t="n">
        <v>493</v>
      </c>
      <c r="B497" s="55" t="s">
        <v>1635</v>
      </c>
      <c r="C497" s="56" t="s">
        <v>1688</v>
      </c>
      <c r="D497" s="55" t="s">
        <v>1689</v>
      </c>
      <c r="E497" s="57" t="n">
        <v>12330</v>
      </c>
      <c r="F497" s="55" t="s">
        <v>2467</v>
      </c>
      <c r="G497" s="56" t="s">
        <v>2806</v>
      </c>
      <c r="H497" s="55"/>
      <c r="I497" s="55" t="s">
        <v>2806</v>
      </c>
      <c r="J497" s="55" t="s">
        <v>280</v>
      </c>
      <c r="K497" s="55" t="s">
        <v>502</v>
      </c>
      <c r="L497" s="58" t="s">
        <v>2469</v>
      </c>
      <c r="M497" s="56"/>
    </row>
    <row r="498" customFormat="false" ht="38.25" hidden="false" customHeight="true" outlineLevel="0" collapsed="false">
      <c r="A498" s="55" t="n">
        <v>494</v>
      </c>
      <c r="B498" s="55" t="s">
        <v>1635</v>
      </c>
      <c r="C498" s="56" t="s">
        <v>1690</v>
      </c>
      <c r="D498" s="55" t="s">
        <v>1691</v>
      </c>
      <c r="E498" s="57" t="n">
        <v>15346</v>
      </c>
      <c r="F498" s="55" t="s">
        <v>2467</v>
      </c>
      <c r="G498" s="56" t="s">
        <v>2806</v>
      </c>
      <c r="H498" s="55"/>
      <c r="I498" s="55" t="s">
        <v>2806</v>
      </c>
      <c r="J498" s="55" t="s">
        <v>280</v>
      </c>
      <c r="K498" s="55" t="s">
        <v>502</v>
      </c>
      <c r="L498" s="58" t="s">
        <v>2469</v>
      </c>
      <c r="M498" s="56"/>
    </row>
    <row r="499" customFormat="false" ht="38.25" hidden="false" customHeight="true" outlineLevel="0" collapsed="false">
      <c r="A499" s="55" t="n">
        <v>495</v>
      </c>
      <c r="B499" s="55" t="s">
        <v>1635</v>
      </c>
      <c r="C499" s="56" t="s">
        <v>1693</v>
      </c>
      <c r="D499" s="55" t="s">
        <v>1694</v>
      </c>
      <c r="E499" s="57" t="n">
        <v>27058</v>
      </c>
      <c r="F499" s="55" t="s">
        <v>2467</v>
      </c>
      <c r="G499" s="56" t="s">
        <v>2810</v>
      </c>
      <c r="H499" s="55"/>
      <c r="I499" s="55" t="s">
        <v>2810</v>
      </c>
      <c r="J499" s="55" t="s">
        <v>280</v>
      </c>
      <c r="K499" s="55" t="s">
        <v>502</v>
      </c>
      <c r="L499" s="58" t="s">
        <v>2469</v>
      </c>
      <c r="M499" s="56"/>
    </row>
    <row r="500" customFormat="false" ht="38.25" hidden="false" customHeight="true" outlineLevel="0" collapsed="false">
      <c r="A500" s="55" t="n">
        <v>496</v>
      </c>
      <c r="B500" s="55" t="s">
        <v>1635</v>
      </c>
      <c r="C500" s="56" t="s">
        <v>1695</v>
      </c>
      <c r="D500" s="55" t="s">
        <v>1696</v>
      </c>
      <c r="E500" s="57" t="n">
        <v>56835</v>
      </c>
      <c r="F500" s="55" t="s">
        <v>2467</v>
      </c>
      <c r="G500" s="56" t="s">
        <v>2812</v>
      </c>
      <c r="H500" s="55"/>
      <c r="I500" s="55" t="s">
        <v>2812</v>
      </c>
      <c r="J500" s="55" t="s">
        <v>280</v>
      </c>
      <c r="K500" s="55" t="s">
        <v>502</v>
      </c>
      <c r="L500" s="58" t="s">
        <v>2469</v>
      </c>
      <c r="M500" s="56"/>
    </row>
    <row r="501" customFormat="false" ht="38.25" hidden="false" customHeight="true" outlineLevel="0" collapsed="false">
      <c r="A501" s="55" t="n">
        <v>497</v>
      </c>
      <c r="B501" s="55" t="s">
        <v>1635</v>
      </c>
      <c r="C501" s="56" t="s">
        <v>1698</v>
      </c>
      <c r="D501" s="55" t="s">
        <v>2813</v>
      </c>
      <c r="E501" s="57" t="n">
        <v>54536</v>
      </c>
      <c r="F501" s="55" t="s">
        <v>2467</v>
      </c>
      <c r="G501" s="56" t="s">
        <v>2807</v>
      </c>
      <c r="H501" s="55"/>
      <c r="I501" s="55" t="s">
        <v>2807</v>
      </c>
      <c r="J501" s="55" t="s">
        <v>276</v>
      </c>
      <c r="K501" s="55" t="s">
        <v>513</v>
      </c>
      <c r="L501" s="58" t="s">
        <v>2469</v>
      </c>
      <c r="M501" s="56"/>
    </row>
    <row r="502" customFormat="false" ht="63.75" hidden="false" customHeight="true" outlineLevel="0" collapsed="false">
      <c r="A502" s="55" t="n">
        <v>498</v>
      </c>
      <c r="B502" s="55" t="s">
        <v>1635</v>
      </c>
      <c r="C502" s="56" t="s">
        <v>1700</v>
      </c>
      <c r="D502" s="55" t="s">
        <v>1701</v>
      </c>
      <c r="E502" s="57" t="n">
        <v>25967</v>
      </c>
      <c r="F502" s="55" t="s">
        <v>2467</v>
      </c>
      <c r="G502" s="56" t="s">
        <v>2808</v>
      </c>
      <c r="H502" s="55"/>
      <c r="I502" s="55" t="s">
        <v>2808</v>
      </c>
      <c r="J502" s="55" t="s">
        <v>280</v>
      </c>
      <c r="K502" s="55" t="s">
        <v>502</v>
      </c>
      <c r="L502" s="58" t="s">
        <v>2469</v>
      </c>
      <c r="M502" s="56"/>
    </row>
    <row r="503" customFormat="false" ht="25.5" hidden="false" customHeight="true" outlineLevel="0" collapsed="false">
      <c r="A503" s="55" t="n">
        <v>499</v>
      </c>
      <c r="B503" s="55" t="s">
        <v>1635</v>
      </c>
      <c r="C503" s="56" t="s">
        <v>1703</v>
      </c>
      <c r="D503" s="55" t="s">
        <v>1704</v>
      </c>
      <c r="E503" s="57" t="n">
        <v>105286</v>
      </c>
      <c r="F503" s="55" t="s">
        <v>2467</v>
      </c>
      <c r="G503" s="56" t="s">
        <v>2804</v>
      </c>
      <c r="H503" s="55"/>
      <c r="I503" s="55" t="s">
        <v>2804</v>
      </c>
      <c r="J503" s="55" t="s">
        <v>280</v>
      </c>
      <c r="K503" s="55" t="s">
        <v>502</v>
      </c>
      <c r="L503" s="58" t="s">
        <v>2469</v>
      </c>
      <c r="M503" s="56"/>
    </row>
    <row r="504" customFormat="false" ht="25.5" hidden="false" customHeight="true" outlineLevel="0" collapsed="false">
      <c r="A504" s="55" t="n">
        <v>500</v>
      </c>
      <c r="B504" s="55" t="s">
        <v>1635</v>
      </c>
      <c r="C504" s="56" t="s">
        <v>1706</v>
      </c>
      <c r="D504" s="55" t="s">
        <v>1707</v>
      </c>
      <c r="E504" s="57" t="n">
        <v>25564</v>
      </c>
      <c r="F504" s="55" t="s">
        <v>2467</v>
      </c>
      <c r="G504" s="56" t="s">
        <v>2470</v>
      </c>
      <c r="H504" s="59"/>
      <c r="I504" s="55" t="s">
        <v>2807</v>
      </c>
      <c r="J504" s="55" t="s">
        <v>276</v>
      </c>
      <c r="K504" s="55" t="s">
        <v>513</v>
      </c>
      <c r="L504" s="61" t="s">
        <v>2476</v>
      </c>
      <c r="M504" s="56"/>
    </row>
    <row r="505" customFormat="false" ht="25.5" hidden="false" customHeight="true" outlineLevel="0" collapsed="false">
      <c r="A505" s="55" t="n">
        <v>501</v>
      </c>
      <c r="B505" s="55" t="s">
        <v>1635</v>
      </c>
      <c r="C505" s="56" t="s">
        <v>1708</v>
      </c>
      <c r="D505" s="55" t="s">
        <v>1709</v>
      </c>
      <c r="E505" s="57" t="n">
        <v>10330</v>
      </c>
      <c r="F505" s="55" t="s">
        <v>2467</v>
      </c>
      <c r="G505" s="56" t="s">
        <v>2470</v>
      </c>
      <c r="H505" s="59"/>
      <c r="I505" s="55" t="s">
        <v>2807</v>
      </c>
      <c r="J505" s="55" t="s">
        <v>276</v>
      </c>
      <c r="K505" s="55" t="s">
        <v>513</v>
      </c>
      <c r="L505" s="61" t="s">
        <v>2476</v>
      </c>
      <c r="M505" s="56"/>
    </row>
    <row r="506" customFormat="false" ht="25.5" hidden="false" customHeight="true" outlineLevel="0" collapsed="false">
      <c r="A506" s="55" t="n">
        <v>502</v>
      </c>
      <c r="B506" s="55" t="s">
        <v>1635</v>
      </c>
      <c r="C506" s="56" t="s">
        <v>1710</v>
      </c>
      <c r="D506" s="55" t="s">
        <v>1711</v>
      </c>
      <c r="E506" s="57" t="n">
        <v>3843</v>
      </c>
      <c r="F506" s="55" t="s">
        <v>2467</v>
      </c>
      <c r="G506" s="56" t="s">
        <v>2470</v>
      </c>
      <c r="H506" s="59"/>
      <c r="I506" s="55" t="s">
        <v>2807</v>
      </c>
      <c r="J506" s="55" t="s">
        <v>276</v>
      </c>
      <c r="K506" s="55" t="s">
        <v>513</v>
      </c>
      <c r="L506" s="61" t="s">
        <v>2476</v>
      </c>
      <c r="M506" s="56"/>
    </row>
    <row r="507" customFormat="false" ht="25.5" hidden="false" customHeight="true" outlineLevel="0" collapsed="false">
      <c r="A507" s="55" t="n">
        <v>503</v>
      </c>
      <c r="B507" s="55" t="s">
        <v>1635</v>
      </c>
      <c r="C507" s="56" t="s">
        <v>1712</v>
      </c>
      <c r="D507" s="55" t="s">
        <v>1713</v>
      </c>
      <c r="E507" s="57" t="n">
        <v>2032</v>
      </c>
      <c r="F507" s="55" t="s">
        <v>2467</v>
      </c>
      <c r="G507" s="56" t="s">
        <v>2470</v>
      </c>
      <c r="H507" s="59"/>
      <c r="I507" s="55" t="s">
        <v>2807</v>
      </c>
      <c r="J507" s="55" t="s">
        <v>276</v>
      </c>
      <c r="K507" s="55" t="s">
        <v>513</v>
      </c>
      <c r="L507" s="61" t="s">
        <v>2476</v>
      </c>
      <c r="M507" s="56"/>
    </row>
    <row r="508" customFormat="false" ht="51" hidden="false" customHeight="true" outlineLevel="0" collapsed="false">
      <c r="A508" s="55" t="n">
        <v>504</v>
      </c>
      <c r="B508" s="55" t="s">
        <v>1635</v>
      </c>
      <c r="C508" s="56" t="s">
        <v>1714</v>
      </c>
      <c r="D508" s="55" t="s">
        <v>2814</v>
      </c>
      <c r="E508" s="57" t="n">
        <v>61784</v>
      </c>
      <c r="F508" s="55" t="s">
        <v>2467</v>
      </c>
      <c r="G508" s="56" t="s">
        <v>2807</v>
      </c>
      <c r="H508" s="55"/>
      <c r="I508" s="55" t="s">
        <v>2807</v>
      </c>
      <c r="J508" s="55" t="s">
        <v>276</v>
      </c>
      <c r="K508" s="55" t="s">
        <v>513</v>
      </c>
      <c r="L508" s="58" t="s">
        <v>2469</v>
      </c>
      <c r="M508" s="56"/>
    </row>
    <row r="509" customFormat="false" ht="25.5" hidden="false" customHeight="true" outlineLevel="0" collapsed="false">
      <c r="A509" s="55" t="n">
        <v>505</v>
      </c>
      <c r="B509" s="55" t="s">
        <v>1716</v>
      </c>
      <c r="C509" s="56" t="s">
        <v>1717</v>
      </c>
      <c r="D509" s="55" t="s">
        <v>1718</v>
      </c>
      <c r="E509" s="57" t="n">
        <v>5955</v>
      </c>
      <c r="F509" s="55" t="s">
        <v>2467</v>
      </c>
      <c r="G509" s="56" t="s">
        <v>2470</v>
      </c>
      <c r="H509" s="59"/>
      <c r="I509" s="55" t="s">
        <v>2815</v>
      </c>
      <c r="J509" s="55" t="s">
        <v>276</v>
      </c>
      <c r="K509" s="55" t="s">
        <v>513</v>
      </c>
      <c r="L509" s="61" t="s">
        <v>2476</v>
      </c>
      <c r="M509" s="56"/>
    </row>
    <row r="510" customFormat="false" ht="25.5" hidden="false" customHeight="true" outlineLevel="0" collapsed="false">
      <c r="A510" s="55" t="n">
        <v>506</v>
      </c>
      <c r="B510" s="55" t="s">
        <v>1716</v>
      </c>
      <c r="C510" s="56" t="s">
        <v>1720</v>
      </c>
      <c r="D510" s="55" t="s">
        <v>1721</v>
      </c>
      <c r="E510" s="57" t="n">
        <v>6328</v>
      </c>
      <c r="F510" s="55" t="s">
        <v>2467</v>
      </c>
      <c r="G510" s="56" t="s">
        <v>2470</v>
      </c>
      <c r="H510" s="59"/>
      <c r="I510" s="55" t="s">
        <v>2815</v>
      </c>
      <c r="J510" s="55" t="s">
        <v>276</v>
      </c>
      <c r="K510" s="55" t="s">
        <v>513</v>
      </c>
      <c r="L510" s="61" t="s">
        <v>2476</v>
      </c>
      <c r="M510" s="56"/>
    </row>
    <row r="511" customFormat="false" ht="25.5" hidden="false" customHeight="true" outlineLevel="0" collapsed="false">
      <c r="A511" s="55" t="n">
        <v>507</v>
      </c>
      <c r="B511" s="55" t="s">
        <v>1716</v>
      </c>
      <c r="C511" s="56" t="s">
        <v>1722</v>
      </c>
      <c r="D511" s="55" t="s">
        <v>2816</v>
      </c>
      <c r="E511" s="57" t="n">
        <v>23482</v>
      </c>
      <c r="F511" s="55" t="s">
        <v>2467</v>
      </c>
      <c r="G511" s="56" t="s">
        <v>2470</v>
      </c>
      <c r="H511" s="59"/>
      <c r="I511" s="55" t="s">
        <v>2815</v>
      </c>
      <c r="J511" s="55" t="s">
        <v>276</v>
      </c>
      <c r="K511" s="55" t="s">
        <v>513</v>
      </c>
      <c r="L511" s="61" t="s">
        <v>2476</v>
      </c>
      <c r="M511" s="56"/>
    </row>
    <row r="512" customFormat="false" ht="25.5" hidden="false" customHeight="true" outlineLevel="0" collapsed="false">
      <c r="A512" s="55" t="n">
        <v>508</v>
      </c>
      <c r="B512" s="55" t="s">
        <v>1716</v>
      </c>
      <c r="C512" s="56" t="s">
        <v>1724</v>
      </c>
      <c r="D512" s="55" t="s">
        <v>1725</v>
      </c>
      <c r="E512" s="57" t="n">
        <v>8988</v>
      </c>
      <c r="F512" s="55" t="s">
        <v>2467</v>
      </c>
      <c r="G512" s="56" t="s">
        <v>2470</v>
      </c>
      <c r="H512" s="59"/>
      <c r="I512" s="55" t="s">
        <v>2815</v>
      </c>
      <c r="J512" s="55" t="s">
        <v>276</v>
      </c>
      <c r="K512" s="55" t="s">
        <v>513</v>
      </c>
      <c r="L512" s="61" t="s">
        <v>2476</v>
      </c>
      <c r="M512" s="56"/>
    </row>
    <row r="513" customFormat="false" ht="25.5" hidden="false" customHeight="true" outlineLevel="0" collapsed="false">
      <c r="A513" s="55" t="n">
        <v>509</v>
      </c>
      <c r="B513" s="55" t="s">
        <v>1716</v>
      </c>
      <c r="C513" s="56" t="s">
        <v>1726</v>
      </c>
      <c r="D513" s="55" t="s">
        <v>1727</v>
      </c>
      <c r="E513" s="57" t="n">
        <v>7001</v>
      </c>
      <c r="F513" s="55" t="s">
        <v>2467</v>
      </c>
      <c r="G513" s="56" t="s">
        <v>2470</v>
      </c>
      <c r="H513" s="59"/>
      <c r="I513" s="55" t="s">
        <v>2815</v>
      </c>
      <c r="J513" s="55" t="s">
        <v>276</v>
      </c>
      <c r="K513" s="55" t="s">
        <v>513</v>
      </c>
      <c r="L513" s="61" t="s">
        <v>2476</v>
      </c>
      <c r="M513" s="56"/>
    </row>
    <row r="514" customFormat="false" ht="25.5" hidden="false" customHeight="true" outlineLevel="0" collapsed="false">
      <c r="A514" s="55" t="n">
        <v>510</v>
      </c>
      <c r="B514" s="55" t="s">
        <v>1716</v>
      </c>
      <c r="C514" s="56" t="s">
        <v>1742</v>
      </c>
      <c r="D514" s="55" t="s">
        <v>1743</v>
      </c>
      <c r="E514" s="57" t="n">
        <v>62757</v>
      </c>
      <c r="F514" s="55" t="s">
        <v>2467</v>
      </c>
      <c r="G514" s="56" t="s">
        <v>2470</v>
      </c>
      <c r="H514" s="59"/>
      <c r="I514" s="55" t="s">
        <v>2815</v>
      </c>
      <c r="J514" s="55" t="s">
        <v>276</v>
      </c>
      <c r="K514" s="55" t="s">
        <v>513</v>
      </c>
      <c r="L514" s="61" t="s">
        <v>2476</v>
      </c>
      <c r="M514" s="56"/>
    </row>
    <row r="515" customFormat="false" ht="25.5" hidden="false" customHeight="true" outlineLevel="0" collapsed="false">
      <c r="A515" s="55" t="n">
        <v>511</v>
      </c>
      <c r="B515" s="55" t="s">
        <v>1716</v>
      </c>
      <c r="C515" s="56" t="s">
        <v>1728</v>
      </c>
      <c r="D515" s="55" t="s">
        <v>1729</v>
      </c>
      <c r="E515" s="57" t="n">
        <v>6969</v>
      </c>
      <c r="F515" s="55" t="s">
        <v>2467</v>
      </c>
      <c r="G515" s="56" t="s">
        <v>2470</v>
      </c>
      <c r="H515" s="59"/>
      <c r="I515" s="55" t="s">
        <v>2815</v>
      </c>
      <c r="J515" s="55" t="s">
        <v>276</v>
      </c>
      <c r="K515" s="55" t="s">
        <v>513</v>
      </c>
      <c r="L515" s="61" t="s">
        <v>2476</v>
      </c>
      <c r="M515" s="56"/>
    </row>
    <row r="516" customFormat="false" ht="25.5" hidden="false" customHeight="true" outlineLevel="0" collapsed="false">
      <c r="A516" s="55" t="n">
        <v>512</v>
      </c>
      <c r="B516" s="55" t="s">
        <v>1716</v>
      </c>
      <c r="C516" s="56" t="s">
        <v>1732</v>
      </c>
      <c r="D516" s="55" t="s">
        <v>1733</v>
      </c>
      <c r="E516" s="57" t="n">
        <v>6436</v>
      </c>
      <c r="F516" s="55" t="s">
        <v>2467</v>
      </c>
      <c r="G516" s="56" t="s">
        <v>2470</v>
      </c>
      <c r="H516" s="59"/>
      <c r="I516" s="55" t="s">
        <v>2817</v>
      </c>
      <c r="J516" s="55" t="s">
        <v>278</v>
      </c>
      <c r="K516" s="55" t="s">
        <v>513</v>
      </c>
      <c r="L516" s="61" t="s">
        <v>2476</v>
      </c>
      <c r="M516" s="56"/>
    </row>
    <row r="517" customFormat="false" ht="38.25" hidden="false" customHeight="true" outlineLevel="0" collapsed="false">
      <c r="A517" s="55" t="n">
        <v>513</v>
      </c>
      <c r="B517" s="55" t="s">
        <v>1716</v>
      </c>
      <c r="C517" s="56" t="s">
        <v>2550</v>
      </c>
      <c r="D517" s="55"/>
      <c r="E517" s="57" t="n">
        <v>4666</v>
      </c>
      <c r="F517" s="55" t="s">
        <v>2467</v>
      </c>
      <c r="G517" s="56" t="s">
        <v>2470</v>
      </c>
      <c r="H517" s="59"/>
      <c r="I517" s="55" t="s">
        <v>2815</v>
      </c>
      <c r="J517" s="55" t="s">
        <v>276</v>
      </c>
      <c r="K517" s="55" t="s">
        <v>513</v>
      </c>
      <c r="L517" s="60" t="s">
        <v>2479</v>
      </c>
      <c r="M517" s="56"/>
    </row>
    <row r="518" customFormat="false" ht="25.5" hidden="false" customHeight="true" outlineLevel="0" collapsed="false">
      <c r="A518" s="55" t="n">
        <v>514</v>
      </c>
      <c r="B518" s="55" t="s">
        <v>1716</v>
      </c>
      <c r="C518" s="56" t="s">
        <v>1737</v>
      </c>
      <c r="D518" s="55" t="s">
        <v>1738</v>
      </c>
      <c r="E518" s="57" t="n">
        <v>10161</v>
      </c>
      <c r="F518" s="55" t="s">
        <v>2467</v>
      </c>
      <c r="G518" s="56" t="s">
        <v>2470</v>
      </c>
      <c r="H518" s="59"/>
      <c r="I518" s="55" t="s">
        <v>2815</v>
      </c>
      <c r="J518" s="55" t="s">
        <v>276</v>
      </c>
      <c r="K518" s="55" t="s">
        <v>513</v>
      </c>
      <c r="L518" s="61" t="s">
        <v>2476</v>
      </c>
      <c r="M518" s="56"/>
    </row>
    <row r="519" customFormat="false" ht="25.5" hidden="false" customHeight="true" outlineLevel="0" collapsed="false">
      <c r="A519" s="55" t="n">
        <v>515</v>
      </c>
      <c r="B519" s="55" t="s">
        <v>1716</v>
      </c>
      <c r="C519" s="56" t="s">
        <v>1746</v>
      </c>
      <c r="D519" s="55" t="s">
        <v>1747</v>
      </c>
      <c r="E519" s="57" t="n">
        <v>20529</v>
      </c>
      <c r="F519" s="55" t="s">
        <v>2467</v>
      </c>
      <c r="G519" s="56" t="s">
        <v>2470</v>
      </c>
      <c r="H519" s="59"/>
      <c r="I519" s="55" t="s">
        <v>2815</v>
      </c>
      <c r="J519" s="55" t="s">
        <v>276</v>
      </c>
      <c r="K519" s="55" t="s">
        <v>513</v>
      </c>
      <c r="L519" s="61" t="s">
        <v>2476</v>
      </c>
      <c r="M519" s="56"/>
    </row>
    <row r="520" customFormat="false" ht="25.5" hidden="false" customHeight="true" outlineLevel="0" collapsed="false">
      <c r="A520" s="55" t="n">
        <v>516</v>
      </c>
      <c r="B520" s="55" t="s">
        <v>1716</v>
      </c>
      <c r="C520" s="56" t="s">
        <v>1739</v>
      </c>
      <c r="D520" s="55" t="s">
        <v>1740</v>
      </c>
      <c r="E520" s="57" t="n">
        <v>43269</v>
      </c>
      <c r="F520" s="55" t="s">
        <v>2467</v>
      </c>
      <c r="G520" s="56" t="s">
        <v>2470</v>
      </c>
      <c r="H520" s="59"/>
      <c r="I520" s="55" t="s">
        <v>2818</v>
      </c>
      <c r="J520" s="55" t="s">
        <v>278</v>
      </c>
      <c r="K520" s="55" t="s">
        <v>513</v>
      </c>
      <c r="L520" s="61" t="s">
        <v>2476</v>
      </c>
      <c r="M520" s="56"/>
    </row>
    <row r="521" customFormat="false" ht="25.5" hidden="false" customHeight="true" outlineLevel="0" collapsed="false">
      <c r="A521" s="55" t="n">
        <v>517</v>
      </c>
      <c r="B521" s="55" t="s">
        <v>1716</v>
      </c>
      <c r="C521" s="56" t="s">
        <v>1730</v>
      </c>
      <c r="D521" s="55" t="s">
        <v>1731</v>
      </c>
      <c r="E521" s="57" t="n">
        <v>68458</v>
      </c>
      <c r="F521" s="55" t="s">
        <v>2467</v>
      </c>
      <c r="G521" s="56" t="s">
        <v>2470</v>
      </c>
      <c r="H521" s="59"/>
      <c r="I521" s="55" t="s">
        <v>2815</v>
      </c>
      <c r="J521" s="55" t="s">
        <v>276</v>
      </c>
      <c r="K521" s="55" t="s">
        <v>513</v>
      </c>
      <c r="L521" s="61" t="s">
        <v>2476</v>
      </c>
      <c r="M521" s="56"/>
    </row>
    <row r="522" customFormat="false" ht="25.5" hidden="false" customHeight="true" outlineLevel="0" collapsed="false">
      <c r="A522" s="55" t="n">
        <v>518</v>
      </c>
      <c r="B522" s="55" t="s">
        <v>1716</v>
      </c>
      <c r="C522" s="56" t="s">
        <v>1744</v>
      </c>
      <c r="D522" s="55" t="s">
        <v>1745</v>
      </c>
      <c r="E522" s="57" t="n">
        <v>64812</v>
      </c>
      <c r="F522" s="55" t="s">
        <v>2467</v>
      </c>
      <c r="G522" s="56" t="s">
        <v>2470</v>
      </c>
      <c r="H522" s="59"/>
      <c r="I522" s="55" t="s">
        <v>2815</v>
      </c>
      <c r="J522" s="55" t="s">
        <v>276</v>
      </c>
      <c r="K522" s="55" t="s">
        <v>513</v>
      </c>
      <c r="L522" s="61" t="s">
        <v>2476</v>
      </c>
      <c r="M522" s="56"/>
    </row>
    <row r="523" customFormat="false" ht="25.5" hidden="false" customHeight="true" outlineLevel="0" collapsed="false">
      <c r="A523" s="55" t="n">
        <v>519</v>
      </c>
      <c r="B523" s="55" t="s">
        <v>1716</v>
      </c>
      <c r="C523" s="56" t="s">
        <v>1735</v>
      </c>
      <c r="D523" s="55" t="s">
        <v>1736</v>
      </c>
      <c r="E523" s="57" t="n">
        <v>3485</v>
      </c>
      <c r="F523" s="55" t="s">
        <v>2467</v>
      </c>
      <c r="G523" s="56" t="s">
        <v>2470</v>
      </c>
      <c r="H523" s="59"/>
      <c r="I523" s="55" t="s">
        <v>2815</v>
      </c>
      <c r="J523" s="55" t="s">
        <v>276</v>
      </c>
      <c r="K523" s="55" t="s">
        <v>513</v>
      </c>
      <c r="L523" s="61" t="s">
        <v>2476</v>
      </c>
      <c r="M523" s="56"/>
    </row>
    <row r="524" customFormat="false" ht="51" hidden="false" customHeight="true" outlineLevel="0" collapsed="false">
      <c r="A524" s="55" t="n">
        <v>520</v>
      </c>
      <c r="B524" s="55" t="s">
        <v>1716</v>
      </c>
      <c r="C524" s="56" t="s">
        <v>2819</v>
      </c>
      <c r="D524" s="55"/>
      <c r="E524" s="57" t="n">
        <v>51243</v>
      </c>
      <c r="F524" s="55" t="s">
        <v>2467</v>
      </c>
      <c r="G524" s="56" t="s">
        <v>2818</v>
      </c>
      <c r="H524" s="59"/>
      <c r="I524" s="55" t="s">
        <v>2818</v>
      </c>
      <c r="J524" s="55" t="s">
        <v>278</v>
      </c>
      <c r="K524" s="55" t="s">
        <v>513</v>
      </c>
      <c r="L524" s="61" t="s">
        <v>2501</v>
      </c>
      <c r="M524" s="56"/>
    </row>
    <row r="525" customFormat="false" ht="51" hidden="false" customHeight="true" outlineLevel="0" collapsed="false">
      <c r="A525" s="55" t="n">
        <v>521</v>
      </c>
      <c r="B525" s="55" t="s">
        <v>1716</v>
      </c>
      <c r="C525" s="56" t="s">
        <v>2820</v>
      </c>
      <c r="D525" s="55"/>
      <c r="E525" s="57" t="n">
        <v>49057</v>
      </c>
      <c r="F525" s="55" t="s">
        <v>2467</v>
      </c>
      <c r="G525" s="56" t="s">
        <v>2818</v>
      </c>
      <c r="H525" s="59"/>
      <c r="I525" s="55" t="s">
        <v>2818</v>
      </c>
      <c r="J525" s="55" t="s">
        <v>278</v>
      </c>
      <c r="K525" s="55" t="s">
        <v>513</v>
      </c>
      <c r="L525" s="61" t="s">
        <v>2501</v>
      </c>
      <c r="M525" s="56"/>
    </row>
    <row r="526" customFormat="false" ht="38.25" hidden="false" customHeight="true" outlineLevel="0" collapsed="false">
      <c r="A526" s="55" t="n">
        <v>522</v>
      </c>
      <c r="B526" s="55" t="s">
        <v>1716</v>
      </c>
      <c r="C526" s="56" t="s">
        <v>1753</v>
      </c>
      <c r="D526" s="55" t="s">
        <v>1754</v>
      </c>
      <c r="E526" s="57" t="n">
        <v>52486</v>
      </c>
      <c r="F526" s="55" t="s">
        <v>2467</v>
      </c>
      <c r="G526" s="56" t="s">
        <v>2470</v>
      </c>
      <c r="H526" s="59"/>
      <c r="I526" s="55" t="s">
        <v>2815</v>
      </c>
      <c r="J526" s="55" t="s">
        <v>276</v>
      </c>
      <c r="K526" s="55" t="s">
        <v>513</v>
      </c>
      <c r="L526" s="61" t="s">
        <v>2476</v>
      </c>
      <c r="M526" s="56"/>
    </row>
    <row r="527" customFormat="false" ht="51" hidden="false" customHeight="true" outlineLevel="0" collapsed="false">
      <c r="A527" s="55" t="n">
        <v>523</v>
      </c>
      <c r="B527" s="55" t="s">
        <v>1716</v>
      </c>
      <c r="C527" s="56" t="s">
        <v>1764</v>
      </c>
      <c r="D527" s="55" t="s">
        <v>2821</v>
      </c>
      <c r="E527" s="57" t="n">
        <v>10635</v>
      </c>
      <c r="F527" s="55" t="s">
        <v>2467</v>
      </c>
      <c r="G527" s="56" t="s">
        <v>2822</v>
      </c>
      <c r="H527" s="55"/>
      <c r="I527" s="55" t="s">
        <v>2822</v>
      </c>
      <c r="J527" s="55" t="s">
        <v>280</v>
      </c>
      <c r="K527" s="55" t="s">
        <v>502</v>
      </c>
      <c r="L527" s="58" t="s">
        <v>2469</v>
      </c>
      <c r="M527" s="56"/>
    </row>
    <row r="528" customFormat="false" ht="38.25" hidden="false" customHeight="true" outlineLevel="0" collapsed="false">
      <c r="A528" s="55" t="n">
        <v>524</v>
      </c>
      <c r="B528" s="55" t="s">
        <v>1716</v>
      </c>
      <c r="C528" s="56" t="s">
        <v>1758</v>
      </c>
      <c r="D528" s="55" t="s">
        <v>2823</v>
      </c>
      <c r="E528" s="57" t="n">
        <v>9687</v>
      </c>
      <c r="F528" s="55" t="s">
        <v>2467</v>
      </c>
      <c r="G528" s="56" t="s">
        <v>2824</v>
      </c>
      <c r="H528" s="55"/>
      <c r="I528" s="55" t="s">
        <v>2824</v>
      </c>
      <c r="J528" s="55" t="s">
        <v>280</v>
      </c>
      <c r="K528" s="55" t="s">
        <v>502</v>
      </c>
      <c r="L528" s="58" t="s">
        <v>2469</v>
      </c>
      <c r="M528" s="56"/>
    </row>
    <row r="529" customFormat="false" ht="38.25" hidden="false" customHeight="true" outlineLevel="0" collapsed="false">
      <c r="A529" s="55" t="n">
        <v>525</v>
      </c>
      <c r="B529" s="55" t="s">
        <v>1716</v>
      </c>
      <c r="C529" s="56" t="s">
        <v>1761</v>
      </c>
      <c r="D529" s="55" t="s">
        <v>2825</v>
      </c>
      <c r="E529" s="57" t="n">
        <v>19932</v>
      </c>
      <c r="F529" s="55" t="s">
        <v>2467</v>
      </c>
      <c r="G529" s="56" t="s">
        <v>2826</v>
      </c>
      <c r="H529" s="55"/>
      <c r="I529" s="55" t="s">
        <v>2826</v>
      </c>
      <c r="J529" s="55" t="s">
        <v>280</v>
      </c>
      <c r="K529" s="55" t="s">
        <v>502</v>
      </c>
      <c r="L529" s="58" t="s">
        <v>2469</v>
      </c>
      <c r="M529" s="56"/>
    </row>
    <row r="530" customFormat="false" ht="38.25" hidden="false" customHeight="true" outlineLevel="0" collapsed="false">
      <c r="A530" s="55" t="n">
        <v>526</v>
      </c>
      <c r="B530" s="55" t="s">
        <v>1716</v>
      </c>
      <c r="C530" s="56" t="s">
        <v>1781</v>
      </c>
      <c r="D530" s="55" t="s">
        <v>2827</v>
      </c>
      <c r="E530" s="57" t="n">
        <v>9437</v>
      </c>
      <c r="F530" s="55" t="s">
        <v>2467</v>
      </c>
      <c r="G530" s="56" t="s">
        <v>2828</v>
      </c>
      <c r="H530" s="55"/>
      <c r="I530" s="55" t="s">
        <v>2828</v>
      </c>
      <c r="J530" s="55" t="s">
        <v>280</v>
      </c>
      <c r="K530" s="55" t="s">
        <v>502</v>
      </c>
      <c r="L530" s="58" t="s">
        <v>2469</v>
      </c>
      <c r="M530" s="56"/>
    </row>
    <row r="531" customFormat="false" ht="38.25" hidden="false" customHeight="true" outlineLevel="0" collapsed="false">
      <c r="A531" s="55" t="n">
        <v>527</v>
      </c>
      <c r="B531" s="55" t="s">
        <v>1716</v>
      </c>
      <c r="C531" s="56" t="s">
        <v>1755</v>
      </c>
      <c r="D531" s="55" t="s">
        <v>2829</v>
      </c>
      <c r="E531" s="57" t="n">
        <v>16227</v>
      </c>
      <c r="F531" s="55" t="s">
        <v>2467</v>
      </c>
      <c r="G531" s="56" t="s">
        <v>2830</v>
      </c>
      <c r="H531" s="55"/>
      <c r="I531" s="55" t="s">
        <v>2830</v>
      </c>
      <c r="J531" s="55" t="s">
        <v>280</v>
      </c>
      <c r="K531" s="55" t="s">
        <v>502</v>
      </c>
      <c r="L531" s="58" t="s">
        <v>2469</v>
      </c>
      <c r="M531" s="56"/>
    </row>
    <row r="532" customFormat="false" ht="38.25" hidden="false" customHeight="true" outlineLevel="0" collapsed="false">
      <c r="A532" s="55" t="n">
        <v>528</v>
      </c>
      <c r="B532" s="55" t="s">
        <v>1716</v>
      </c>
      <c r="C532" s="56" t="s">
        <v>1770</v>
      </c>
      <c r="D532" s="55" t="s">
        <v>2831</v>
      </c>
      <c r="E532" s="57" t="n">
        <v>8245</v>
      </c>
      <c r="F532" s="55" t="s">
        <v>2467</v>
      </c>
      <c r="G532" s="56" t="s">
        <v>2832</v>
      </c>
      <c r="H532" s="55"/>
      <c r="I532" s="55" t="s">
        <v>2832</v>
      </c>
      <c r="J532" s="55" t="s">
        <v>280</v>
      </c>
      <c r="K532" s="55" t="s">
        <v>502</v>
      </c>
      <c r="L532" s="58" t="s">
        <v>2469</v>
      </c>
      <c r="M532" s="56"/>
    </row>
    <row r="533" customFormat="false" ht="38.25" hidden="false" customHeight="true" outlineLevel="0" collapsed="false">
      <c r="A533" s="55" t="n">
        <v>529</v>
      </c>
      <c r="B533" s="55" t="s">
        <v>1716</v>
      </c>
      <c r="C533" s="56" t="s">
        <v>1773</v>
      </c>
      <c r="D533" s="55" t="s">
        <v>1774</v>
      </c>
      <c r="E533" s="57" t="n">
        <v>51366</v>
      </c>
      <c r="F533" s="55" t="s">
        <v>2467</v>
      </c>
      <c r="G533" s="56" t="s">
        <v>2470</v>
      </c>
      <c r="H533" s="59"/>
      <c r="I533" s="55" t="s">
        <v>2815</v>
      </c>
      <c r="J533" s="55" t="s">
        <v>276</v>
      </c>
      <c r="K533" s="55" t="s">
        <v>513</v>
      </c>
      <c r="L533" s="61" t="s">
        <v>2476</v>
      </c>
      <c r="M533" s="56"/>
    </row>
    <row r="534" customFormat="false" ht="63.75" hidden="false" customHeight="true" outlineLevel="0" collapsed="false">
      <c r="A534" s="55" t="n">
        <v>530</v>
      </c>
      <c r="B534" s="55" t="s">
        <v>1716</v>
      </c>
      <c r="C534" s="56" t="s">
        <v>1775</v>
      </c>
      <c r="D534" s="55" t="s">
        <v>2833</v>
      </c>
      <c r="E534" s="57" t="n">
        <v>23193</v>
      </c>
      <c r="F534" s="55" t="s">
        <v>2467</v>
      </c>
      <c r="G534" s="56" t="s">
        <v>2834</v>
      </c>
      <c r="H534" s="59"/>
      <c r="I534" s="55" t="s">
        <v>2834</v>
      </c>
      <c r="J534" s="55" t="s">
        <v>280</v>
      </c>
      <c r="K534" s="55" t="s">
        <v>502</v>
      </c>
      <c r="L534" s="60" t="s">
        <v>2835</v>
      </c>
      <c r="M534" s="56" t="s">
        <v>2836</v>
      </c>
    </row>
    <row r="535" customFormat="false" ht="38.25" hidden="false" customHeight="true" outlineLevel="0" collapsed="false">
      <c r="A535" s="55" t="n">
        <v>531</v>
      </c>
      <c r="B535" s="55" t="s">
        <v>1716</v>
      </c>
      <c r="C535" s="56" t="s">
        <v>1778</v>
      </c>
      <c r="D535" s="55" t="s">
        <v>2837</v>
      </c>
      <c r="E535" s="57" t="n">
        <v>13793</v>
      </c>
      <c r="F535" s="55" t="s">
        <v>2467</v>
      </c>
      <c r="G535" s="56" t="s">
        <v>2838</v>
      </c>
      <c r="H535" s="55"/>
      <c r="I535" s="55" t="s">
        <v>2838</v>
      </c>
      <c r="J535" s="55" t="s">
        <v>280</v>
      </c>
      <c r="K535" s="55" t="s">
        <v>502</v>
      </c>
      <c r="L535" s="58" t="s">
        <v>2469</v>
      </c>
      <c r="M535" s="56"/>
    </row>
    <row r="536" customFormat="false" ht="51" hidden="false" customHeight="true" outlineLevel="0" collapsed="false">
      <c r="A536" s="55" t="n">
        <v>532</v>
      </c>
      <c r="B536" s="55" t="s">
        <v>1716</v>
      </c>
      <c r="C536" s="56" t="s">
        <v>1748</v>
      </c>
      <c r="D536" s="55" t="s">
        <v>1749</v>
      </c>
      <c r="E536" s="57" t="n">
        <v>62525</v>
      </c>
      <c r="F536" s="55" t="s">
        <v>2467</v>
      </c>
      <c r="G536" s="56" t="s">
        <v>2817</v>
      </c>
      <c r="H536" s="55"/>
      <c r="I536" s="55" t="s">
        <v>2817</v>
      </c>
      <c r="J536" s="55" t="s">
        <v>278</v>
      </c>
      <c r="K536" s="55" t="s">
        <v>513</v>
      </c>
      <c r="L536" s="58" t="s">
        <v>2469</v>
      </c>
      <c r="M536" s="56"/>
    </row>
    <row r="537" customFormat="false" ht="51" hidden="false" customHeight="true" outlineLevel="0" collapsed="false">
      <c r="A537" s="55" t="n">
        <v>533</v>
      </c>
      <c r="B537" s="55" t="s">
        <v>1716</v>
      </c>
      <c r="C537" s="56" t="s">
        <v>1750</v>
      </c>
      <c r="D537" s="55" t="s">
        <v>2839</v>
      </c>
      <c r="E537" s="57" t="n">
        <v>12345</v>
      </c>
      <c r="F537" s="55" t="s">
        <v>2467</v>
      </c>
      <c r="G537" s="56" t="s">
        <v>2840</v>
      </c>
      <c r="H537" s="55"/>
      <c r="I537" s="55" t="s">
        <v>2840</v>
      </c>
      <c r="J537" s="55" t="s">
        <v>280</v>
      </c>
      <c r="K537" s="55" t="s">
        <v>502</v>
      </c>
      <c r="L537" s="58" t="s">
        <v>2469</v>
      </c>
      <c r="M537" s="56"/>
    </row>
    <row r="538" customFormat="false" ht="38.25" hidden="false" customHeight="true" outlineLevel="0" collapsed="false">
      <c r="A538" s="55" t="n">
        <v>534</v>
      </c>
      <c r="B538" s="55" t="s">
        <v>1716</v>
      </c>
      <c r="C538" s="56" t="s">
        <v>1767</v>
      </c>
      <c r="D538" s="55" t="s">
        <v>2841</v>
      </c>
      <c r="E538" s="57" t="n">
        <v>16916</v>
      </c>
      <c r="F538" s="55" t="s">
        <v>2467</v>
      </c>
      <c r="G538" s="56" t="s">
        <v>2842</v>
      </c>
      <c r="H538" s="55"/>
      <c r="I538" s="55" t="s">
        <v>2842</v>
      </c>
      <c r="J538" s="55" t="s">
        <v>280</v>
      </c>
      <c r="K538" s="55" t="s">
        <v>502</v>
      </c>
      <c r="L538" s="58" t="s">
        <v>2469</v>
      </c>
      <c r="M538" s="56"/>
    </row>
    <row r="539" customFormat="false" ht="63.75" hidden="false" customHeight="true" outlineLevel="0" collapsed="false">
      <c r="A539" s="55" t="n">
        <v>535</v>
      </c>
      <c r="B539" s="55" t="s">
        <v>1784</v>
      </c>
      <c r="C539" s="56" t="s">
        <v>1785</v>
      </c>
      <c r="D539" s="55" t="s">
        <v>1786</v>
      </c>
      <c r="E539" s="57" t="n">
        <v>16075</v>
      </c>
      <c r="F539" s="55" t="s">
        <v>2467</v>
      </c>
      <c r="G539" s="56" t="s">
        <v>2843</v>
      </c>
      <c r="H539" s="55"/>
      <c r="I539" s="55" t="s">
        <v>2843</v>
      </c>
      <c r="J539" s="55" t="s">
        <v>280</v>
      </c>
      <c r="K539" s="55" t="s">
        <v>502</v>
      </c>
      <c r="L539" s="58" t="s">
        <v>2469</v>
      </c>
      <c r="M539" s="56"/>
    </row>
    <row r="540" customFormat="false" ht="25.5" hidden="false" customHeight="true" outlineLevel="0" collapsed="false">
      <c r="A540" s="55" t="n">
        <v>536</v>
      </c>
      <c r="B540" s="55" t="s">
        <v>1784</v>
      </c>
      <c r="C540" s="56" t="s">
        <v>1788</v>
      </c>
      <c r="D540" s="55" t="s">
        <v>1789</v>
      </c>
      <c r="E540" s="57" t="n">
        <v>30200</v>
      </c>
      <c r="F540" s="55" t="s">
        <v>2467</v>
      </c>
      <c r="G540" s="56" t="s">
        <v>2470</v>
      </c>
      <c r="H540" s="59"/>
      <c r="I540" s="55" t="s">
        <v>2844</v>
      </c>
      <c r="J540" s="55" t="s">
        <v>276</v>
      </c>
      <c r="K540" s="55" t="s">
        <v>513</v>
      </c>
      <c r="L540" s="61" t="s">
        <v>2476</v>
      </c>
      <c r="M540" s="56"/>
    </row>
    <row r="541" customFormat="false" ht="25.5" hidden="false" customHeight="true" outlineLevel="0" collapsed="false">
      <c r="A541" s="55" t="n">
        <v>537</v>
      </c>
      <c r="B541" s="55" t="s">
        <v>1784</v>
      </c>
      <c r="C541" s="56" t="s">
        <v>1791</v>
      </c>
      <c r="D541" s="55" t="s">
        <v>1792</v>
      </c>
      <c r="E541" s="57" t="n">
        <v>16220</v>
      </c>
      <c r="F541" s="55" t="s">
        <v>2467</v>
      </c>
      <c r="G541" s="56" t="s">
        <v>2470</v>
      </c>
      <c r="H541" s="59"/>
      <c r="I541" s="55" t="s">
        <v>2844</v>
      </c>
      <c r="J541" s="55" t="s">
        <v>276</v>
      </c>
      <c r="K541" s="55" t="s">
        <v>513</v>
      </c>
      <c r="L541" s="61" t="s">
        <v>2476</v>
      </c>
      <c r="M541" s="56"/>
    </row>
    <row r="542" customFormat="false" ht="25.5" hidden="false" customHeight="true" outlineLevel="0" collapsed="false">
      <c r="A542" s="55" t="n">
        <v>538</v>
      </c>
      <c r="B542" s="55" t="s">
        <v>1784</v>
      </c>
      <c r="C542" s="56" t="s">
        <v>1793</v>
      </c>
      <c r="D542" s="55" t="s">
        <v>1794</v>
      </c>
      <c r="E542" s="57" t="n">
        <v>17842</v>
      </c>
      <c r="F542" s="55" t="s">
        <v>2467</v>
      </c>
      <c r="G542" s="56" t="s">
        <v>2470</v>
      </c>
      <c r="H542" s="59"/>
      <c r="I542" s="55" t="s">
        <v>2844</v>
      </c>
      <c r="J542" s="55" t="s">
        <v>276</v>
      </c>
      <c r="K542" s="55" t="s">
        <v>513</v>
      </c>
      <c r="L542" s="61" t="s">
        <v>2476</v>
      </c>
      <c r="M542" s="56"/>
    </row>
    <row r="543" customFormat="false" ht="76.5" hidden="false" customHeight="true" outlineLevel="0" collapsed="false">
      <c r="A543" s="55" t="n">
        <v>539</v>
      </c>
      <c r="B543" s="55" t="s">
        <v>1784</v>
      </c>
      <c r="C543" s="56" t="s">
        <v>1795</v>
      </c>
      <c r="D543" s="55" t="s">
        <v>1796</v>
      </c>
      <c r="E543" s="57" t="n">
        <v>24484</v>
      </c>
      <c r="F543" s="55" t="s">
        <v>2467</v>
      </c>
      <c r="G543" s="56" t="s">
        <v>2845</v>
      </c>
      <c r="H543" s="55"/>
      <c r="I543" s="55" t="s">
        <v>2845</v>
      </c>
      <c r="J543" s="55" t="s">
        <v>280</v>
      </c>
      <c r="K543" s="55" t="s">
        <v>502</v>
      </c>
      <c r="L543" s="58" t="s">
        <v>2469</v>
      </c>
      <c r="M543" s="56"/>
    </row>
    <row r="544" customFormat="false" ht="63.75" hidden="false" customHeight="true" outlineLevel="0" collapsed="false">
      <c r="A544" s="55" t="n">
        <v>540</v>
      </c>
      <c r="B544" s="55" t="s">
        <v>1784</v>
      </c>
      <c r="C544" s="56" t="s">
        <v>1798</v>
      </c>
      <c r="D544" s="55" t="s">
        <v>1799</v>
      </c>
      <c r="E544" s="57" t="n">
        <v>64413</v>
      </c>
      <c r="F544" s="55" t="s">
        <v>2467</v>
      </c>
      <c r="G544" s="56" t="s">
        <v>2470</v>
      </c>
      <c r="H544" s="59"/>
      <c r="I544" s="55" t="s">
        <v>2844</v>
      </c>
      <c r="J544" s="55" t="s">
        <v>276</v>
      </c>
      <c r="K544" s="55" t="s">
        <v>513</v>
      </c>
      <c r="L544" s="61" t="s">
        <v>2476</v>
      </c>
      <c r="M544" s="56"/>
    </row>
    <row r="545" customFormat="false" ht="63.75" hidden="false" customHeight="true" outlineLevel="0" collapsed="false">
      <c r="A545" s="55" t="n">
        <v>541</v>
      </c>
      <c r="B545" s="55" t="s">
        <v>1784</v>
      </c>
      <c r="C545" s="56" t="s">
        <v>1800</v>
      </c>
      <c r="D545" s="55" t="s">
        <v>1801</v>
      </c>
      <c r="E545" s="57" t="n">
        <v>19659</v>
      </c>
      <c r="F545" s="55" t="s">
        <v>2467</v>
      </c>
      <c r="G545" s="56" t="s">
        <v>2470</v>
      </c>
      <c r="H545" s="59"/>
      <c r="I545" s="55" t="s">
        <v>2846</v>
      </c>
      <c r="J545" s="55" t="s">
        <v>280</v>
      </c>
      <c r="K545" s="55" t="s">
        <v>502</v>
      </c>
      <c r="L545" s="60" t="s">
        <v>2472</v>
      </c>
      <c r="M545" s="56"/>
    </row>
    <row r="546" customFormat="false" ht="63.75" hidden="false" customHeight="true" outlineLevel="0" collapsed="false">
      <c r="A546" s="55" t="n">
        <v>542</v>
      </c>
      <c r="B546" s="55" t="s">
        <v>1784</v>
      </c>
      <c r="C546" s="56" t="s">
        <v>1803</v>
      </c>
      <c r="D546" s="55" t="s">
        <v>1804</v>
      </c>
      <c r="E546" s="57" t="n">
        <v>16284</v>
      </c>
      <c r="F546" s="55" t="s">
        <v>2467</v>
      </c>
      <c r="G546" s="56" t="s">
        <v>2847</v>
      </c>
      <c r="H546" s="55"/>
      <c r="I546" s="55" t="s">
        <v>2847</v>
      </c>
      <c r="J546" s="55" t="s">
        <v>280</v>
      </c>
      <c r="K546" s="55" t="s">
        <v>502</v>
      </c>
      <c r="L546" s="58" t="s">
        <v>2469</v>
      </c>
      <c r="M546" s="56"/>
    </row>
    <row r="547" customFormat="false" ht="63.75" hidden="false" customHeight="true" outlineLevel="0" collapsed="false">
      <c r="A547" s="55" t="n">
        <v>543</v>
      </c>
      <c r="B547" s="55" t="s">
        <v>1784</v>
      </c>
      <c r="C547" s="56" t="s">
        <v>1808</v>
      </c>
      <c r="D547" s="55" t="s">
        <v>2848</v>
      </c>
      <c r="E547" s="57" t="n">
        <v>40610</v>
      </c>
      <c r="F547" s="55" t="s">
        <v>2467</v>
      </c>
      <c r="G547" s="56" t="s">
        <v>2849</v>
      </c>
      <c r="H547" s="55"/>
      <c r="I547" s="55" t="s">
        <v>2849</v>
      </c>
      <c r="J547" s="55" t="s">
        <v>280</v>
      </c>
      <c r="K547" s="55" t="s">
        <v>502</v>
      </c>
      <c r="L547" s="58" t="s">
        <v>2469</v>
      </c>
      <c r="M547" s="56"/>
    </row>
    <row r="548" customFormat="false" ht="63.75" hidden="false" customHeight="true" outlineLevel="0" collapsed="false">
      <c r="A548" s="55" t="n">
        <v>544</v>
      </c>
      <c r="B548" s="55" t="s">
        <v>1784</v>
      </c>
      <c r="C548" s="56" t="s">
        <v>1806</v>
      </c>
      <c r="D548" s="55" t="s">
        <v>2850</v>
      </c>
      <c r="E548" s="57" t="n">
        <v>50988</v>
      </c>
      <c r="F548" s="55" t="s">
        <v>2467</v>
      </c>
      <c r="G548" s="56" t="s">
        <v>2470</v>
      </c>
      <c r="H548" s="59"/>
      <c r="I548" s="55" t="s">
        <v>2844</v>
      </c>
      <c r="J548" s="55" t="s">
        <v>276</v>
      </c>
      <c r="K548" s="55" t="s">
        <v>513</v>
      </c>
      <c r="L548" s="61" t="s">
        <v>2476</v>
      </c>
      <c r="M548" s="56"/>
    </row>
    <row r="549" customFormat="false" ht="63.75" hidden="false" customHeight="true" outlineLevel="0" collapsed="false">
      <c r="A549" s="55" t="n">
        <v>545</v>
      </c>
      <c r="B549" s="55" t="s">
        <v>1784</v>
      </c>
      <c r="C549" s="56" t="s">
        <v>1835</v>
      </c>
      <c r="D549" s="55" t="s">
        <v>1836</v>
      </c>
      <c r="E549" s="57" t="n">
        <v>63518</v>
      </c>
      <c r="F549" s="55" t="s">
        <v>2467</v>
      </c>
      <c r="G549" s="56" t="s">
        <v>2470</v>
      </c>
      <c r="H549" s="59"/>
      <c r="I549" s="55" t="s">
        <v>2844</v>
      </c>
      <c r="J549" s="55" t="s">
        <v>276</v>
      </c>
      <c r="K549" s="55" t="s">
        <v>513</v>
      </c>
      <c r="L549" s="61" t="s">
        <v>2476</v>
      </c>
      <c r="M549" s="56"/>
    </row>
    <row r="550" customFormat="false" ht="63.75" hidden="false" customHeight="true" outlineLevel="0" collapsed="false">
      <c r="A550" s="55" t="n">
        <v>546</v>
      </c>
      <c r="B550" s="55" t="s">
        <v>1784</v>
      </c>
      <c r="C550" s="56" t="s">
        <v>1811</v>
      </c>
      <c r="D550" s="55" t="s">
        <v>1812</v>
      </c>
      <c r="E550" s="57" t="n">
        <v>29949</v>
      </c>
      <c r="F550" s="55" t="s">
        <v>2467</v>
      </c>
      <c r="G550" s="56" t="s">
        <v>2851</v>
      </c>
      <c r="H550" s="55"/>
      <c r="I550" s="55" t="s">
        <v>2851</v>
      </c>
      <c r="J550" s="55" t="s">
        <v>280</v>
      </c>
      <c r="K550" s="55" t="s">
        <v>502</v>
      </c>
      <c r="L550" s="58" t="s">
        <v>2469</v>
      </c>
      <c r="M550" s="56"/>
    </row>
    <row r="551" customFormat="false" ht="38.25" hidden="false" customHeight="true" outlineLevel="0" collapsed="false">
      <c r="A551" s="55" t="n">
        <v>547</v>
      </c>
      <c r="B551" s="55" t="s">
        <v>1784</v>
      </c>
      <c r="C551" s="56" t="s">
        <v>1814</v>
      </c>
      <c r="D551" s="55" t="s">
        <v>1815</v>
      </c>
      <c r="E551" s="57" t="n">
        <v>8743</v>
      </c>
      <c r="F551" s="55" t="s">
        <v>2467</v>
      </c>
      <c r="G551" s="56" t="s">
        <v>2852</v>
      </c>
      <c r="H551" s="55"/>
      <c r="I551" s="55" t="s">
        <v>2852</v>
      </c>
      <c r="J551" s="55" t="s">
        <v>280</v>
      </c>
      <c r="K551" s="55" t="s">
        <v>502</v>
      </c>
      <c r="L551" s="58" t="s">
        <v>2469</v>
      </c>
      <c r="M551" s="56"/>
    </row>
    <row r="552" customFormat="false" ht="38.25" hidden="false" customHeight="true" outlineLevel="0" collapsed="false">
      <c r="A552" s="55" t="n">
        <v>548</v>
      </c>
      <c r="B552" s="55" t="s">
        <v>1784</v>
      </c>
      <c r="C552" s="56" t="s">
        <v>1817</v>
      </c>
      <c r="D552" s="55" t="s">
        <v>1818</v>
      </c>
      <c r="E552" s="57" t="n">
        <v>16177</v>
      </c>
      <c r="F552" s="55" t="s">
        <v>2467</v>
      </c>
      <c r="G552" s="56" t="s">
        <v>2853</v>
      </c>
      <c r="H552" s="55"/>
      <c r="I552" s="55" t="s">
        <v>2853</v>
      </c>
      <c r="J552" s="55" t="s">
        <v>280</v>
      </c>
      <c r="K552" s="55" t="s">
        <v>502</v>
      </c>
      <c r="L552" s="58" t="s">
        <v>2469</v>
      </c>
      <c r="M552" s="56"/>
    </row>
    <row r="553" customFormat="false" ht="51" hidden="false" customHeight="true" outlineLevel="0" collapsed="false">
      <c r="A553" s="55" t="n">
        <v>549</v>
      </c>
      <c r="B553" s="55" t="s">
        <v>1784</v>
      </c>
      <c r="C553" s="56" t="s">
        <v>1820</v>
      </c>
      <c r="D553" s="55" t="s">
        <v>1821</v>
      </c>
      <c r="E553" s="57" t="n">
        <v>16837</v>
      </c>
      <c r="F553" s="55" t="s">
        <v>2467</v>
      </c>
      <c r="G553" s="56" t="s">
        <v>2854</v>
      </c>
      <c r="H553" s="55"/>
      <c r="I553" s="55" t="s">
        <v>2854</v>
      </c>
      <c r="J553" s="55" t="s">
        <v>280</v>
      </c>
      <c r="K553" s="55" t="s">
        <v>502</v>
      </c>
      <c r="L553" s="58" t="s">
        <v>2469</v>
      </c>
      <c r="M553" s="56"/>
    </row>
    <row r="554" customFormat="false" ht="51" hidden="false" customHeight="true" outlineLevel="0" collapsed="false">
      <c r="A554" s="55" t="n">
        <v>550</v>
      </c>
      <c r="B554" s="55" t="s">
        <v>1784</v>
      </c>
      <c r="C554" s="56" t="s">
        <v>1823</v>
      </c>
      <c r="D554" s="55" t="s">
        <v>1824</v>
      </c>
      <c r="E554" s="57" t="n">
        <v>10965</v>
      </c>
      <c r="F554" s="55" t="s">
        <v>2467</v>
      </c>
      <c r="G554" s="56" t="s">
        <v>2855</v>
      </c>
      <c r="H554" s="55"/>
      <c r="I554" s="55" t="s">
        <v>2855</v>
      </c>
      <c r="J554" s="55" t="s">
        <v>280</v>
      </c>
      <c r="K554" s="55" t="s">
        <v>502</v>
      </c>
      <c r="L554" s="58" t="s">
        <v>2469</v>
      </c>
      <c r="M554" s="56"/>
    </row>
    <row r="555" customFormat="false" ht="63.75" hidden="false" customHeight="true" outlineLevel="0" collapsed="false">
      <c r="A555" s="55" t="n">
        <v>551</v>
      </c>
      <c r="B555" s="55" t="s">
        <v>1784</v>
      </c>
      <c r="C555" s="56" t="s">
        <v>1826</v>
      </c>
      <c r="D555" s="55" t="s">
        <v>2856</v>
      </c>
      <c r="E555" s="57" t="n">
        <v>37235</v>
      </c>
      <c r="F555" s="55" t="s">
        <v>2467</v>
      </c>
      <c r="G555" s="56" t="s">
        <v>2857</v>
      </c>
      <c r="H555" s="55"/>
      <c r="I555" s="55" t="s">
        <v>2857</v>
      </c>
      <c r="J555" s="55" t="s">
        <v>280</v>
      </c>
      <c r="K555" s="55" t="s">
        <v>502</v>
      </c>
      <c r="L555" s="58" t="s">
        <v>2469</v>
      </c>
      <c r="M555" s="56"/>
    </row>
    <row r="556" customFormat="false" ht="51" hidden="false" customHeight="true" outlineLevel="0" collapsed="false">
      <c r="A556" s="55" t="n">
        <v>552</v>
      </c>
      <c r="B556" s="55" t="s">
        <v>1784</v>
      </c>
      <c r="C556" s="56" t="s">
        <v>1829</v>
      </c>
      <c r="D556" s="55" t="s">
        <v>1830</v>
      </c>
      <c r="E556" s="57" t="n">
        <v>33678</v>
      </c>
      <c r="F556" s="55" t="s">
        <v>2467</v>
      </c>
      <c r="G556" s="56" t="s">
        <v>2858</v>
      </c>
      <c r="H556" s="55"/>
      <c r="I556" s="55" t="s">
        <v>2858</v>
      </c>
      <c r="J556" s="55" t="s">
        <v>280</v>
      </c>
      <c r="K556" s="55" t="s">
        <v>502</v>
      </c>
      <c r="L556" s="58" t="s">
        <v>2469</v>
      </c>
      <c r="M556" s="56"/>
    </row>
    <row r="557" customFormat="false" ht="25.5" hidden="false" customHeight="true" outlineLevel="0" collapsed="false">
      <c r="A557" s="55" t="n">
        <v>553</v>
      </c>
      <c r="B557" s="55" t="s">
        <v>1784</v>
      </c>
      <c r="C557" s="56" t="s">
        <v>1832</v>
      </c>
      <c r="D557" s="55" t="s">
        <v>1833</v>
      </c>
      <c r="E557" s="57" t="n">
        <v>11276</v>
      </c>
      <c r="F557" s="55" t="s">
        <v>2467</v>
      </c>
      <c r="G557" s="56" t="s">
        <v>2859</v>
      </c>
      <c r="H557" s="55"/>
      <c r="I557" s="55" t="s">
        <v>2859</v>
      </c>
      <c r="J557" s="55" t="s">
        <v>280</v>
      </c>
      <c r="K557" s="55" t="s">
        <v>502</v>
      </c>
      <c r="L557" s="58" t="s">
        <v>2469</v>
      </c>
      <c r="M557" s="56"/>
    </row>
    <row r="558" customFormat="false" ht="25.5" hidden="false" customHeight="true" outlineLevel="0" collapsed="false">
      <c r="A558" s="55" t="n">
        <v>554</v>
      </c>
      <c r="B558" s="55" t="s">
        <v>1837</v>
      </c>
      <c r="C558" s="56" t="s">
        <v>1842</v>
      </c>
      <c r="D558" s="55" t="s">
        <v>1843</v>
      </c>
      <c r="E558" s="57" t="n">
        <v>8063</v>
      </c>
      <c r="F558" s="55" t="s">
        <v>2467</v>
      </c>
      <c r="G558" s="56" t="s">
        <v>2470</v>
      </c>
      <c r="H558" s="59"/>
      <c r="I558" s="55" t="s">
        <v>2860</v>
      </c>
      <c r="J558" s="55" t="s">
        <v>280</v>
      </c>
      <c r="K558" s="55" t="s">
        <v>502</v>
      </c>
      <c r="L558" s="60" t="s">
        <v>2472</v>
      </c>
      <c r="M558" s="56"/>
    </row>
    <row r="559" customFormat="false" ht="25.5" hidden="false" customHeight="true" outlineLevel="0" collapsed="false">
      <c r="A559" s="55" t="n">
        <v>555</v>
      </c>
      <c r="B559" s="55" t="s">
        <v>1837</v>
      </c>
      <c r="C559" s="56" t="s">
        <v>1846</v>
      </c>
      <c r="D559" s="55" t="s">
        <v>2861</v>
      </c>
      <c r="E559" s="57" t="n">
        <v>4954</v>
      </c>
      <c r="F559" s="55" t="s">
        <v>2467</v>
      </c>
      <c r="G559" s="56" t="s">
        <v>2470</v>
      </c>
      <c r="H559" s="59"/>
      <c r="I559" s="55" t="s">
        <v>2862</v>
      </c>
      <c r="J559" s="55" t="s">
        <v>280</v>
      </c>
      <c r="K559" s="55" t="s">
        <v>502</v>
      </c>
      <c r="L559" s="60" t="s">
        <v>2472</v>
      </c>
      <c r="M559" s="56"/>
    </row>
    <row r="560" customFormat="false" ht="25.5" hidden="false" customHeight="true" outlineLevel="0" collapsed="false">
      <c r="A560" s="55" t="n">
        <v>556</v>
      </c>
      <c r="B560" s="55" t="s">
        <v>1837</v>
      </c>
      <c r="C560" s="56" t="s">
        <v>1849</v>
      </c>
      <c r="D560" s="55" t="s">
        <v>1850</v>
      </c>
      <c r="E560" s="57" t="n">
        <v>42604</v>
      </c>
      <c r="F560" s="55" t="s">
        <v>2467</v>
      </c>
      <c r="G560" s="56" t="s">
        <v>2470</v>
      </c>
      <c r="H560" s="59"/>
      <c r="I560" s="55" t="s">
        <v>2863</v>
      </c>
      <c r="J560" s="55" t="s">
        <v>276</v>
      </c>
      <c r="K560" s="55" t="s">
        <v>513</v>
      </c>
      <c r="L560" s="61" t="s">
        <v>2476</v>
      </c>
      <c r="M560" s="56"/>
    </row>
    <row r="561" customFormat="false" ht="25.5" hidden="false" customHeight="true" outlineLevel="0" collapsed="false">
      <c r="A561" s="55" t="n">
        <v>557</v>
      </c>
      <c r="B561" s="55" t="s">
        <v>1837</v>
      </c>
      <c r="C561" s="56" t="s">
        <v>1852</v>
      </c>
      <c r="D561" s="55" t="s">
        <v>1853</v>
      </c>
      <c r="E561" s="57" t="n">
        <v>4780</v>
      </c>
      <c r="F561" s="55" t="s">
        <v>2467</v>
      </c>
      <c r="G561" s="56" t="s">
        <v>2470</v>
      </c>
      <c r="H561" s="59"/>
      <c r="I561" s="55" t="s">
        <v>2864</v>
      </c>
      <c r="J561" s="55" t="s">
        <v>280</v>
      </c>
      <c r="K561" s="55" t="s">
        <v>502</v>
      </c>
      <c r="L561" s="60" t="s">
        <v>2472</v>
      </c>
      <c r="M561" s="56"/>
    </row>
    <row r="562" customFormat="false" ht="25.5" hidden="false" customHeight="true" outlineLevel="0" collapsed="false">
      <c r="A562" s="55" t="n">
        <v>558</v>
      </c>
      <c r="B562" s="55" t="s">
        <v>1837</v>
      </c>
      <c r="C562" s="56" t="s">
        <v>1855</v>
      </c>
      <c r="D562" s="55" t="s">
        <v>1856</v>
      </c>
      <c r="E562" s="57" t="n">
        <v>6089</v>
      </c>
      <c r="F562" s="55" t="s">
        <v>2467</v>
      </c>
      <c r="G562" s="56" t="s">
        <v>2470</v>
      </c>
      <c r="H562" s="59"/>
      <c r="I562" s="55" t="s">
        <v>2864</v>
      </c>
      <c r="J562" s="55" t="s">
        <v>280</v>
      </c>
      <c r="K562" s="55" t="s">
        <v>502</v>
      </c>
      <c r="L562" s="60" t="s">
        <v>2472</v>
      </c>
      <c r="M562" s="56"/>
    </row>
    <row r="563" customFormat="false" ht="25.5" hidden="false" customHeight="true" outlineLevel="0" collapsed="false">
      <c r="A563" s="55" t="n">
        <v>559</v>
      </c>
      <c r="B563" s="55" t="s">
        <v>1837</v>
      </c>
      <c r="C563" s="56" t="s">
        <v>1859</v>
      </c>
      <c r="D563" s="55" t="s">
        <v>1860</v>
      </c>
      <c r="E563" s="57" t="n">
        <v>6076</v>
      </c>
      <c r="F563" s="55" t="s">
        <v>2467</v>
      </c>
      <c r="G563" s="56" t="s">
        <v>2470</v>
      </c>
      <c r="H563" s="59"/>
      <c r="I563" s="55" t="s">
        <v>2863</v>
      </c>
      <c r="J563" s="55" t="s">
        <v>276</v>
      </c>
      <c r="K563" s="55" t="s">
        <v>513</v>
      </c>
      <c r="L563" s="61" t="s">
        <v>2476</v>
      </c>
      <c r="M563" s="56"/>
    </row>
    <row r="564" customFormat="false" ht="25.5" hidden="false" customHeight="true" outlineLevel="0" collapsed="false">
      <c r="A564" s="55" t="n">
        <v>560</v>
      </c>
      <c r="B564" s="55" t="s">
        <v>1837</v>
      </c>
      <c r="C564" s="56" t="s">
        <v>1879</v>
      </c>
      <c r="D564" s="55" t="s">
        <v>1880</v>
      </c>
      <c r="E564" s="57" t="n">
        <v>4185</v>
      </c>
      <c r="F564" s="55" t="s">
        <v>2467</v>
      </c>
      <c r="G564" s="56" t="s">
        <v>2470</v>
      </c>
      <c r="H564" s="59"/>
      <c r="I564" s="55" t="s">
        <v>2862</v>
      </c>
      <c r="J564" s="55" t="s">
        <v>280</v>
      </c>
      <c r="K564" s="55" t="s">
        <v>502</v>
      </c>
      <c r="L564" s="60" t="s">
        <v>2472</v>
      </c>
      <c r="M564" s="56"/>
    </row>
    <row r="565" customFormat="false" ht="25.5" hidden="false" customHeight="true" outlineLevel="0" collapsed="false">
      <c r="A565" s="55" t="n">
        <v>561</v>
      </c>
      <c r="B565" s="55" t="s">
        <v>1837</v>
      </c>
      <c r="C565" s="56" t="s">
        <v>1861</v>
      </c>
      <c r="D565" s="55" t="s">
        <v>1862</v>
      </c>
      <c r="E565" s="57" t="n">
        <v>11008</v>
      </c>
      <c r="F565" s="55" t="s">
        <v>2467</v>
      </c>
      <c r="G565" s="56" t="s">
        <v>2470</v>
      </c>
      <c r="H565" s="59"/>
      <c r="I565" s="55" t="s">
        <v>2864</v>
      </c>
      <c r="J565" s="55" t="s">
        <v>280</v>
      </c>
      <c r="K565" s="55" t="s">
        <v>502</v>
      </c>
      <c r="L565" s="60" t="s">
        <v>2472</v>
      </c>
      <c r="M565" s="56"/>
    </row>
    <row r="566" customFormat="false" ht="25.5" hidden="false" customHeight="true" outlineLevel="0" collapsed="false">
      <c r="A566" s="55" t="n">
        <v>562</v>
      </c>
      <c r="B566" s="55" t="s">
        <v>1837</v>
      </c>
      <c r="C566" s="56" t="s">
        <v>1868</v>
      </c>
      <c r="D566" s="55" t="s">
        <v>1869</v>
      </c>
      <c r="E566" s="57" t="n">
        <v>4979</v>
      </c>
      <c r="F566" s="55" t="s">
        <v>2467</v>
      </c>
      <c r="G566" s="56" t="s">
        <v>2470</v>
      </c>
      <c r="H566" s="59"/>
      <c r="I566" s="55" t="s">
        <v>2865</v>
      </c>
      <c r="J566" s="55" t="s">
        <v>278</v>
      </c>
      <c r="K566" s="55" t="s">
        <v>513</v>
      </c>
      <c r="L566" s="61" t="s">
        <v>2476</v>
      </c>
      <c r="M566" s="56"/>
    </row>
    <row r="567" customFormat="false" ht="25.5" hidden="false" customHeight="true" outlineLevel="0" collapsed="false">
      <c r="A567" s="55" t="n">
        <v>563</v>
      </c>
      <c r="B567" s="55" t="s">
        <v>1837</v>
      </c>
      <c r="C567" s="56" t="s">
        <v>1871</v>
      </c>
      <c r="D567" s="55" t="s">
        <v>1872</v>
      </c>
      <c r="E567" s="57" t="n">
        <v>23582</v>
      </c>
      <c r="F567" s="55" t="s">
        <v>2467</v>
      </c>
      <c r="G567" s="56" t="s">
        <v>2470</v>
      </c>
      <c r="H567" s="59"/>
      <c r="I567" s="55" t="s">
        <v>2863</v>
      </c>
      <c r="J567" s="55" t="s">
        <v>276</v>
      </c>
      <c r="K567" s="55" t="s">
        <v>513</v>
      </c>
      <c r="L567" s="61" t="s">
        <v>2476</v>
      </c>
      <c r="M567" s="56"/>
    </row>
    <row r="568" customFormat="false" ht="25.5" hidden="false" customHeight="true" outlineLevel="0" collapsed="false">
      <c r="A568" s="55" t="n">
        <v>564</v>
      </c>
      <c r="B568" s="55" t="s">
        <v>1837</v>
      </c>
      <c r="C568" s="56" t="s">
        <v>1838</v>
      </c>
      <c r="D568" s="55" t="s">
        <v>1839</v>
      </c>
      <c r="E568" s="57" t="n">
        <v>12915</v>
      </c>
      <c r="F568" s="55" t="s">
        <v>2467</v>
      </c>
      <c r="G568" s="56" t="s">
        <v>2470</v>
      </c>
      <c r="H568" s="59"/>
      <c r="I568" s="55" t="s">
        <v>2866</v>
      </c>
      <c r="J568" s="55" t="s">
        <v>280</v>
      </c>
      <c r="K568" s="55" t="s">
        <v>502</v>
      </c>
      <c r="L568" s="60" t="s">
        <v>2472</v>
      </c>
      <c r="M568" s="56"/>
    </row>
    <row r="569" customFormat="false" ht="25.5" hidden="false" customHeight="true" outlineLevel="0" collapsed="false">
      <c r="A569" s="55" t="n">
        <v>565</v>
      </c>
      <c r="B569" s="55" t="s">
        <v>1837</v>
      </c>
      <c r="C569" s="56" t="s">
        <v>1873</v>
      </c>
      <c r="D569" s="55" t="s">
        <v>2867</v>
      </c>
      <c r="E569" s="57" t="n">
        <v>14594</v>
      </c>
      <c r="F569" s="55" t="s">
        <v>2467</v>
      </c>
      <c r="G569" s="56" t="s">
        <v>2470</v>
      </c>
      <c r="H569" s="59"/>
      <c r="I569" s="55" t="s">
        <v>2863</v>
      </c>
      <c r="J569" s="55" t="s">
        <v>276</v>
      </c>
      <c r="K569" s="55" t="s">
        <v>513</v>
      </c>
      <c r="L569" s="61" t="s">
        <v>2476</v>
      </c>
      <c r="M569" s="56"/>
    </row>
    <row r="570" customFormat="false" ht="25.5" hidden="false" customHeight="true" outlineLevel="0" collapsed="false">
      <c r="A570" s="55" t="n">
        <v>566</v>
      </c>
      <c r="B570" s="55" t="s">
        <v>1837</v>
      </c>
      <c r="C570" s="56" t="s">
        <v>1875</v>
      </c>
      <c r="D570" s="55" t="s">
        <v>1876</v>
      </c>
      <c r="E570" s="57" t="n">
        <v>12371</v>
      </c>
      <c r="F570" s="55" t="s">
        <v>2467</v>
      </c>
      <c r="G570" s="56" t="s">
        <v>2470</v>
      </c>
      <c r="H570" s="59"/>
      <c r="I570" s="55" t="s">
        <v>2864</v>
      </c>
      <c r="J570" s="55" t="s">
        <v>280</v>
      </c>
      <c r="K570" s="55" t="s">
        <v>502</v>
      </c>
      <c r="L570" s="60" t="s">
        <v>2472</v>
      </c>
      <c r="M570" s="56"/>
    </row>
    <row r="571" customFormat="false" ht="25.5" hidden="false" customHeight="true" outlineLevel="0" collapsed="false">
      <c r="A571" s="55" t="n">
        <v>567</v>
      </c>
      <c r="B571" s="55" t="s">
        <v>1837</v>
      </c>
      <c r="C571" s="56" t="s">
        <v>1877</v>
      </c>
      <c r="D571" s="55" t="s">
        <v>1878</v>
      </c>
      <c r="E571" s="57" t="n">
        <v>14867</v>
      </c>
      <c r="F571" s="55" t="s">
        <v>2467</v>
      </c>
      <c r="G571" s="56" t="s">
        <v>2470</v>
      </c>
      <c r="H571" s="59"/>
      <c r="I571" s="55" t="s">
        <v>2866</v>
      </c>
      <c r="J571" s="55" t="s">
        <v>280</v>
      </c>
      <c r="K571" s="55" t="s">
        <v>502</v>
      </c>
      <c r="L571" s="60" t="s">
        <v>2472</v>
      </c>
      <c r="M571" s="56"/>
    </row>
    <row r="572" customFormat="false" ht="25.5" hidden="false" customHeight="true" outlineLevel="0" collapsed="false">
      <c r="A572" s="55" t="n">
        <v>568</v>
      </c>
      <c r="B572" s="55" t="s">
        <v>1837</v>
      </c>
      <c r="C572" s="56" t="s">
        <v>1864</v>
      </c>
      <c r="D572" s="55" t="s">
        <v>2868</v>
      </c>
      <c r="E572" s="57" t="n">
        <v>15660</v>
      </c>
      <c r="F572" s="55" t="s">
        <v>2467</v>
      </c>
      <c r="G572" s="56" t="s">
        <v>2470</v>
      </c>
      <c r="H572" s="59"/>
      <c r="I572" s="55" t="s">
        <v>2866</v>
      </c>
      <c r="J572" s="55" t="s">
        <v>280</v>
      </c>
      <c r="K572" s="55" t="s">
        <v>502</v>
      </c>
      <c r="L572" s="60" t="s">
        <v>2472</v>
      </c>
      <c r="M572" s="56"/>
    </row>
    <row r="573" customFormat="false" ht="25.5" hidden="false" customHeight="true" outlineLevel="0" collapsed="false">
      <c r="A573" s="55" t="n">
        <v>569</v>
      </c>
      <c r="B573" s="55" t="s">
        <v>1837</v>
      </c>
      <c r="C573" s="56" t="s">
        <v>1882</v>
      </c>
      <c r="D573" s="55" t="s">
        <v>1883</v>
      </c>
      <c r="E573" s="57" t="n">
        <v>14315</v>
      </c>
      <c r="F573" s="55" t="s">
        <v>2467</v>
      </c>
      <c r="G573" s="56" t="s">
        <v>2470</v>
      </c>
      <c r="H573" s="59"/>
      <c r="I573" s="55" t="s">
        <v>2866</v>
      </c>
      <c r="J573" s="55" t="s">
        <v>280</v>
      </c>
      <c r="K573" s="55" t="s">
        <v>502</v>
      </c>
      <c r="L573" s="60" t="s">
        <v>2472</v>
      </c>
      <c r="M573" s="56"/>
    </row>
    <row r="574" customFormat="false" ht="38.25" hidden="false" customHeight="true" outlineLevel="0" collapsed="false">
      <c r="A574" s="55" t="n">
        <v>570</v>
      </c>
      <c r="B574" s="55" t="s">
        <v>1837</v>
      </c>
      <c r="C574" s="56" t="s">
        <v>1891</v>
      </c>
      <c r="D574" s="55" t="s">
        <v>2869</v>
      </c>
      <c r="E574" s="57" t="n">
        <v>19122</v>
      </c>
      <c r="F574" s="55" t="s">
        <v>2467</v>
      </c>
      <c r="G574" s="56" t="s">
        <v>2470</v>
      </c>
      <c r="H574" s="59"/>
      <c r="I574" s="55" t="s">
        <v>2863</v>
      </c>
      <c r="J574" s="55" t="s">
        <v>276</v>
      </c>
      <c r="K574" s="55" t="s">
        <v>513</v>
      </c>
      <c r="L574" s="61" t="s">
        <v>2476</v>
      </c>
      <c r="M574" s="56"/>
    </row>
    <row r="575" customFormat="false" ht="25.5" hidden="false" customHeight="true" outlineLevel="0" collapsed="false">
      <c r="A575" s="55" t="n">
        <v>571</v>
      </c>
      <c r="B575" s="55" t="s">
        <v>1837</v>
      </c>
      <c r="C575" s="56" t="s">
        <v>1886</v>
      </c>
      <c r="D575" s="55" t="s">
        <v>1887</v>
      </c>
      <c r="E575" s="57" t="n">
        <v>6849</v>
      </c>
      <c r="F575" s="55" t="s">
        <v>2467</v>
      </c>
      <c r="G575" s="56" t="s">
        <v>2470</v>
      </c>
      <c r="H575" s="59"/>
      <c r="I575" s="55" t="s">
        <v>2870</v>
      </c>
      <c r="J575" s="55" t="s">
        <v>280</v>
      </c>
      <c r="K575" s="55" t="s">
        <v>502</v>
      </c>
      <c r="L575" s="60" t="s">
        <v>2472</v>
      </c>
      <c r="M575" s="56"/>
    </row>
    <row r="576" customFormat="false" ht="25.5" hidden="false" customHeight="true" outlineLevel="0" collapsed="false">
      <c r="A576" s="55" t="n">
        <v>572</v>
      </c>
      <c r="B576" s="55" t="s">
        <v>1837</v>
      </c>
      <c r="C576" s="56" t="s">
        <v>1889</v>
      </c>
      <c r="D576" s="55" t="s">
        <v>1890</v>
      </c>
      <c r="E576" s="57" t="n">
        <v>14935</v>
      </c>
      <c r="F576" s="55" t="s">
        <v>2467</v>
      </c>
      <c r="G576" s="56" t="s">
        <v>2470</v>
      </c>
      <c r="H576" s="59"/>
      <c r="I576" s="55" t="s">
        <v>2863</v>
      </c>
      <c r="J576" s="55" t="s">
        <v>276</v>
      </c>
      <c r="K576" s="55" t="s">
        <v>513</v>
      </c>
      <c r="L576" s="61" t="s">
        <v>2476</v>
      </c>
      <c r="M576" s="56"/>
    </row>
    <row r="577" customFormat="false" ht="25.5" hidden="false" customHeight="true" outlineLevel="0" collapsed="false">
      <c r="A577" s="55" t="n">
        <v>573</v>
      </c>
      <c r="B577" s="55" t="s">
        <v>1837</v>
      </c>
      <c r="C577" s="56" t="s">
        <v>1893</v>
      </c>
      <c r="D577" s="55" t="s">
        <v>1894</v>
      </c>
      <c r="E577" s="57" t="n">
        <v>3526</v>
      </c>
      <c r="F577" s="55" t="s">
        <v>2467</v>
      </c>
      <c r="G577" s="56" t="s">
        <v>2470</v>
      </c>
      <c r="H577" s="59"/>
      <c r="I577" s="55" t="s">
        <v>2863</v>
      </c>
      <c r="J577" s="55" t="s">
        <v>276</v>
      </c>
      <c r="K577" s="55" t="s">
        <v>513</v>
      </c>
      <c r="L577" s="61" t="s">
        <v>2476</v>
      </c>
      <c r="M577" s="56"/>
    </row>
    <row r="578" customFormat="false" ht="25.5" hidden="false" customHeight="true" outlineLevel="0" collapsed="false">
      <c r="A578" s="55" t="n">
        <v>574</v>
      </c>
      <c r="B578" s="55" t="s">
        <v>1837</v>
      </c>
      <c r="C578" s="56" t="s">
        <v>1884</v>
      </c>
      <c r="D578" s="55" t="s">
        <v>1885</v>
      </c>
      <c r="E578" s="57" t="n">
        <v>28128</v>
      </c>
      <c r="F578" s="55" t="s">
        <v>2467</v>
      </c>
      <c r="G578" s="56" t="s">
        <v>2470</v>
      </c>
      <c r="H578" s="59"/>
      <c r="I578" s="55" t="s">
        <v>2863</v>
      </c>
      <c r="J578" s="55" t="s">
        <v>276</v>
      </c>
      <c r="K578" s="55" t="s">
        <v>513</v>
      </c>
      <c r="L578" s="61" t="s">
        <v>2476</v>
      </c>
      <c r="M578" s="56"/>
    </row>
    <row r="579" customFormat="false" ht="25.5" hidden="false" customHeight="true" outlineLevel="0" collapsed="false">
      <c r="A579" s="55" t="n">
        <v>575</v>
      </c>
      <c r="B579" s="55" t="s">
        <v>1837</v>
      </c>
      <c r="C579" s="56" t="s">
        <v>1895</v>
      </c>
      <c r="D579" s="55" t="s">
        <v>1896</v>
      </c>
      <c r="E579" s="57" t="n">
        <v>6889</v>
      </c>
      <c r="F579" s="55" t="s">
        <v>2467</v>
      </c>
      <c r="G579" s="56" t="s">
        <v>2470</v>
      </c>
      <c r="H579" s="59"/>
      <c r="I579" s="55" t="s">
        <v>2864</v>
      </c>
      <c r="J579" s="55" t="s">
        <v>280</v>
      </c>
      <c r="K579" s="55" t="s">
        <v>502</v>
      </c>
      <c r="L579" s="60" t="s">
        <v>2472</v>
      </c>
      <c r="M579" s="56"/>
    </row>
    <row r="580" customFormat="false" ht="25.5" hidden="false" customHeight="true" outlineLevel="0" collapsed="false">
      <c r="A580" s="55" t="n">
        <v>576</v>
      </c>
      <c r="B580" s="55" t="s">
        <v>1837</v>
      </c>
      <c r="C580" s="56" t="s">
        <v>1897</v>
      </c>
      <c r="D580" s="55" t="s">
        <v>1898</v>
      </c>
      <c r="E580" s="57" t="n">
        <v>9670</v>
      </c>
      <c r="F580" s="55" t="s">
        <v>2467</v>
      </c>
      <c r="G580" s="56" t="s">
        <v>2470</v>
      </c>
      <c r="H580" s="59"/>
      <c r="I580" s="55" t="s">
        <v>2871</v>
      </c>
      <c r="J580" s="55" t="s">
        <v>280</v>
      </c>
      <c r="K580" s="55" t="s">
        <v>502</v>
      </c>
      <c r="L580" s="60" t="s">
        <v>2472</v>
      </c>
      <c r="M580" s="56"/>
    </row>
    <row r="581" customFormat="false" ht="25.5" hidden="false" customHeight="true" outlineLevel="0" collapsed="false">
      <c r="A581" s="55" t="n">
        <v>577</v>
      </c>
      <c r="B581" s="55" t="s">
        <v>1837</v>
      </c>
      <c r="C581" s="56" t="s">
        <v>1900</v>
      </c>
      <c r="D581" s="55" t="s">
        <v>1901</v>
      </c>
      <c r="E581" s="57" t="n">
        <v>9949</v>
      </c>
      <c r="F581" s="55" t="s">
        <v>2467</v>
      </c>
      <c r="G581" s="56" t="s">
        <v>2470</v>
      </c>
      <c r="H581" s="59"/>
      <c r="I581" s="55" t="s">
        <v>2872</v>
      </c>
      <c r="J581" s="55" t="s">
        <v>280</v>
      </c>
      <c r="K581" s="55" t="s">
        <v>502</v>
      </c>
      <c r="L581" s="60" t="s">
        <v>2472</v>
      </c>
      <c r="M581" s="56"/>
    </row>
    <row r="582" customFormat="false" ht="25.5" hidden="false" customHeight="true" outlineLevel="0" collapsed="false">
      <c r="A582" s="55" t="n">
        <v>578</v>
      </c>
      <c r="B582" s="55" t="s">
        <v>1837</v>
      </c>
      <c r="C582" s="56" t="s">
        <v>1903</v>
      </c>
      <c r="D582" s="55" t="s">
        <v>1904</v>
      </c>
      <c r="E582" s="57" t="n">
        <v>1907</v>
      </c>
      <c r="F582" s="55" t="s">
        <v>2467</v>
      </c>
      <c r="G582" s="56" t="s">
        <v>2470</v>
      </c>
      <c r="H582" s="59"/>
      <c r="I582" s="55" t="s">
        <v>2873</v>
      </c>
      <c r="J582" s="55" t="s">
        <v>280</v>
      </c>
      <c r="K582" s="55" t="s">
        <v>502</v>
      </c>
      <c r="L582" s="60" t="s">
        <v>2472</v>
      </c>
      <c r="M582" s="56"/>
    </row>
    <row r="583" customFormat="false" ht="25.5" hidden="false" customHeight="true" outlineLevel="0" collapsed="false">
      <c r="A583" s="55" t="n">
        <v>579</v>
      </c>
      <c r="B583" s="55" t="s">
        <v>1837</v>
      </c>
      <c r="C583" s="56" t="s">
        <v>1906</v>
      </c>
      <c r="D583" s="55" t="s">
        <v>1907</v>
      </c>
      <c r="E583" s="57" t="n">
        <v>3187</v>
      </c>
      <c r="F583" s="55" t="s">
        <v>2467</v>
      </c>
      <c r="G583" s="56" t="s">
        <v>2470</v>
      </c>
      <c r="H583" s="59"/>
      <c r="I583" s="55" t="s">
        <v>2872</v>
      </c>
      <c r="J583" s="55" t="s">
        <v>280</v>
      </c>
      <c r="K583" s="55" t="s">
        <v>502</v>
      </c>
      <c r="L583" s="60" t="s">
        <v>2472</v>
      </c>
      <c r="M583" s="56"/>
    </row>
    <row r="584" customFormat="false" ht="25.5" hidden="false" customHeight="true" outlineLevel="0" collapsed="false">
      <c r="A584" s="55" t="n">
        <v>580</v>
      </c>
      <c r="B584" s="55" t="s">
        <v>1837</v>
      </c>
      <c r="C584" s="56" t="s">
        <v>1909</v>
      </c>
      <c r="D584" s="55" t="s">
        <v>1910</v>
      </c>
      <c r="E584" s="57" t="n">
        <v>3260</v>
      </c>
      <c r="F584" s="55" t="s">
        <v>2467</v>
      </c>
      <c r="G584" s="56" t="s">
        <v>2470</v>
      </c>
      <c r="H584" s="59"/>
      <c r="I584" s="55" t="s">
        <v>2864</v>
      </c>
      <c r="J584" s="55" t="s">
        <v>280</v>
      </c>
      <c r="K584" s="55" t="s">
        <v>502</v>
      </c>
      <c r="L584" s="60" t="s">
        <v>2472</v>
      </c>
      <c r="M584" s="56"/>
    </row>
    <row r="585" customFormat="false" ht="25.5" hidden="false" customHeight="true" outlineLevel="0" collapsed="false">
      <c r="A585" s="55" t="n">
        <v>581</v>
      </c>
      <c r="B585" s="55" t="s">
        <v>1837</v>
      </c>
      <c r="C585" s="56" t="s">
        <v>1911</v>
      </c>
      <c r="D585" s="55" t="s">
        <v>2874</v>
      </c>
      <c r="E585" s="57" t="n">
        <v>9712</v>
      </c>
      <c r="F585" s="55" t="s">
        <v>2467</v>
      </c>
      <c r="G585" s="56" t="s">
        <v>2470</v>
      </c>
      <c r="H585" s="59"/>
      <c r="I585" s="55" t="s">
        <v>2865</v>
      </c>
      <c r="J585" s="55" t="s">
        <v>278</v>
      </c>
      <c r="K585" s="55" t="s">
        <v>513</v>
      </c>
      <c r="L585" s="61" t="s">
        <v>2476</v>
      </c>
      <c r="M585" s="56"/>
    </row>
    <row r="586" customFormat="false" ht="25.5" hidden="false" customHeight="true" outlineLevel="0" collapsed="false">
      <c r="A586" s="55" t="n">
        <v>582</v>
      </c>
      <c r="B586" s="55" t="s">
        <v>1837</v>
      </c>
      <c r="C586" s="56" t="s">
        <v>1913</v>
      </c>
      <c r="D586" s="55" t="s">
        <v>1914</v>
      </c>
      <c r="E586" s="57" t="n">
        <v>8187</v>
      </c>
      <c r="F586" s="55" t="s">
        <v>2467</v>
      </c>
      <c r="G586" s="56" t="s">
        <v>2470</v>
      </c>
      <c r="H586" s="59"/>
      <c r="I586" s="55" t="s">
        <v>2870</v>
      </c>
      <c r="J586" s="55" t="s">
        <v>280</v>
      </c>
      <c r="K586" s="55" t="s">
        <v>502</v>
      </c>
      <c r="L586" s="60" t="s">
        <v>2472</v>
      </c>
      <c r="M586" s="56"/>
    </row>
    <row r="587" customFormat="false" ht="25.5" hidden="false" customHeight="true" outlineLevel="0" collapsed="false">
      <c r="A587" s="55" t="n">
        <v>583</v>
      </c>
      <c r="B587" s="55" t="s">
        <v>1837</v>
      </c>
      <c r="C587" s="56" t="s">
        <v>1915</v>
      </c>
      <c r="D587" s="55" t="s">
        <v>1916</v>
      </c>
      <c r="E587" s="57" t="n">
        <v>9506</v>
      </c>
      <c r="F587" s="55" t="s">
        <v>2467</v>
      </c>
      <c r="G587" s="56" t="s">
        <v>2470</v>
      </c>
      <c r="H587" s="59"/>
      <c r="I587" s="55" t="s">
        <v>2864</v>
      </c>
      <c r="J587" s="55" t="s">
        <v>280</v>
      </c>
      <c r="K587" s="55" t="s">
        <v>502</v>
      </c>
      <c r="L587" s="60" t="s">
        <v>2472</v>
      </c>
      <c r="M587" s="56"/>
    </row>
    <row r="588" customFormat="false" ht="25.5" hidden="false" customHeight="true" outlineLevel="0" collapsed="false">
      <c r="A588" s="55" t="n">
        <v>584</v>
      </c>
      <c r="B588" s="55" t="s">
        <v>1837</v>
      </c>
      <c r="C588" s="56" t="s">
        <v>1917</v>
      </c>
      <c r="D588" s="55" t="s">
        <v>1918</v>
      </c>
      <c r="E588" s="57" t="n">
        <v>14787</v>
      </c>
      <c r="F588" s="55" t="s">
        <v>2467</v>
      </c>
      <c r="G588" s="56" t="s">
        <v>2470</v>
      </c>
      <c r="H588" s="59"/>
      <c r="I588" s="55" t="s">
        <v>2863</v>
      </c>
      <c r="J588" s="55" t="s">
        <v>276</v>
      </c>
      <c r="K588" s="55" t="s">
        <v>513</v>
      </c>
      <c r="L588" s="61" t="s">
        <v>2476</v>
      </c>
      <c r="M588" s="56"/>
    </row>
    <row r="589" customFormat="false" ht="15" hidden="false" customHeight="false" outlineLevel="0" collapsed="false">
      <c r="A589" s="55" t="n">
        <v>585</v>
      </c>
      <c r="B589" s="55" t="s">
        <v>1837</v>
      </c>
      <c r="C589" s="56" t="s">
        <v>1919</v>
      </c>
      <c r="D589" s="55" t="s">
        <v>1920</v>
      </c>
      <c r="E589" s="57" t="n">
        <v>9727</v>
      </c>
      <c r="F589" s="55" t="s">
        <v>2467</v>
      </c>
      <c r="G589" s="56" t="s">
        <v>2865</v>
      </c>
      <c r="H589" s="55"/>
      <c r="I589" s="55" t="s">
        <v>2865</v>
      </c>
      <c r="J589" s="55" t="s">
        <v>278</v>
      </c>
      <c r="K589" s="55" t="s">
        <v>513</v>
      </c>
      <c r="L589" s="58" t="s">
        <v>2469</v>
      </c>
      <c r="M589" s="56"/>
    </row>
    <row r="590" customFormat="false" ht="25.5" hidden="false" customHeight="true" outlineLevel="0" collapsed="false">
      <c r="A590" s="55" t="n">
        <v>586</v>
      </c>
      <c r="B590" s="55" t="s">
        <v>1837</v>
      </c>
      <c r="C590" s="56" t="s">
        <v>1921</v>
      </c>
      <c r="D590" s="55" t="s">
        <v>1922</v>
      </c>
      <c r="E590" s="57" t="n">
        <v>11618</v>
      </c>
      <c r="F590" s="55" t="s">
        <v>2467</v>
      </c>
      <c r="G590" s="56" t="s">
        <v>2470</v>
      </c>
      <c r="H590" s="59"/>
      <c r="I590" s="55" t="s">
        <v>2875</v>
      </c>
      <c r="J590" s="55" t="s">
        <v>280</v>
      </c>
      <c r="K590" s="55" t="s">
        <v>502</v>
      </c>
      <c r="L590" s="60" t="s">
        <v>2472</v>
      </c>
      <c r="M590" s="56"/>
    </row>
    <row r="591" customFormat="false" ht="25.5" hidden="false" customHeight="true" outlineLevel="0" collapsed="false">
      <c r="A591" s="55" t="n">
        <v>587</v>
      </c>
      <c r="B591" s="55" t="s">
        <v>1837</v>
      </c>
      <c r="C591" s="56" t="s">
        <v>1924</v>
      </c>
      <c r="D591" s="55" t="s">
        <v>1925</v>
      </c>
      <c r="E591" s="57" t="n">
        <v>3012</v>
      </c>
      <c r="F591" s="55" t="s">
        <v>2467</v>
      </c>
      <c r="G591" s="56" t="s">
        <v>2470</v>
      </c>
      <c r="H591" s="59"/>
      <c r="I591" s="55" t="s">
        <v>2864</v>
      </c>
      <c r="J591" s="55" t="s">
        <v>280</v>
      </c>
      <c r="K591" s="55" t="s">
        <v>502</v>
      </c>
      <c r="L591" s="60" t="s">
        <v>2472</v>
      </c>
      <c r="M591" s="56"/>
    </row>
    <row r="592" customFormat="false" ht="25.5" hidden="false" customHeight="true" outlineLevel="0" collapsed="false">
      <c r="A592" s="55" t="n">
        <v>588</v>
      </c>
      <c r="B592" s="55" t="s">
        <v>1837</v>
      </c>
      <c r="C592" s="56" t="s">
        <v>1926</v>
      </c>
      <c r="D592" s="55" t="s">
        <v>1927</v>
      </c>
      <c r="E592" s="57" t="n">
        <v>17082</v>
      </c>
      <c r="F592" s="55" t="s">
        <v>2467</v>
      </c>
      <c r="G592" s="56" t="s">
        <v>2470</v>
      </c>
      <c r="H592" s="59"/>
      <c r="I592" s="55" t="s">
        <v>2872</v>
      </c>
      <c r="J592" s="55" t="s">
        <v>280</v>
      </c>
      <c r="K592" s="55" t="s">
        <v>502</v>
      </c>
      <c r="L592" s="60" t="s">
        <v>2472</v>
      </c>
      <c r="M592" s="56"/>
    </row>
    <row r="593" customFormat="false" ht="25.5" hidden="false" customHeight="true" outlineLevel="0" collapsed="false">
      <c r="A593" s="55" t="n">
        <v>589</v>
      </c>
      <c r="B593" s="55" t="s">
        <v>1837</v>
      </c>
      <c r="C593" s="56" t="s">
        <v>1928</v>
      </c>
      <c r="D593" s="55" t="s">
        <v>1929</v>
      </c>
      <c r="E593" s="57" t="n">
        <v>10171</v>
      </c>
      <c r="F593" s="55" t="s">
        <v>2467</v>
      </c>
      <c r="G593" s="56" t="s">
        <v>2470</v>
      </c>
      <c r="H593" s="59"/>
      <c r="I593" s="55" t="s">
        <v>2864</v>
      </c>
      <c r="J593" s="55" t="s">
        <v>280</v>
      </c>
      <c r="K593" s="55" t="s">
        <v>502</v>
      </c>
      <c r="L593" s="60" t="s">
        <v>2472</v>
      </c>
      <c r="M593" s="56"/>
    </row>
    <row r="594" customFormat="false" ht="25.5" hidden="false" customHeight="true" outlineLevel="0" collapsed="false">
      <c r="A594" s="55" t="n">
        <v>590</v>
      </c>
      <c r="B594" s="55" t="s">
        <v>1837</v>
      </c>
      <c r="C594" s="56" t="s">
        <v>1930</v>
      </c>
      <c r="D594" s="55" t="s">
        <v>1931</v>
      </c>
      <c r="E594" s="57" t="n">
        <v>3072</v>
      </c>
      <c r="F594" s="55" t="s">
        <v>2467</v>
      </c>
      <c r="G594" s="56" t="s">
        <v>2470</v>
      </c>
      <c r="H594" s="59"/>
      <c r="I594" s="55" t="s">
        <v>2864</v>
      </c>
      <c r="J594" s="55" t="s">
        <v>280</v>
      </c>
      <c r="K594" s="55" t="s">
        <v>502</v>
      </c>
      <c r="L594" s="60" t="s">
        <v>2472</v>
      </c>
      <c r="M594" s="56"/>
    </row>
    <row r="595" customFormat="false" ht="25.5" hidden="false" customHeight="true" outlineLevel="0" collapsed="false">
      <c r="A595" s="55" t="n">
        <v>591</v>
      </c>
      <c r="B595" s="55" t="s">
        <v>1837</v>
      </c>
      <c r="C595" s="56" t="s">
        <v>1934</v>
      </c>
      <c r="D595" s="55" t="s">
        <v>2876</v>
      </c>
      <c r="E595" s="57" t="n">
        <v>88568</v>
      </c>
      <c r="F595" s="55" t="s">
        <v>2467</v>
      </c>
      <c r="G595" s="56" t="s">
        <v>2863</v>
      </c>
      <c r="H595" s="55"/>
      <c r="I595" s="55" t="s">
        <v>2863</v>
      </c>
      <c r="J595" s="55" t="s">
        <v>276</v>
      </c>
      <c r="K595" s="55" t="s">
        <v>513</v>
      </c>
      <c r="L595" s="58" t="s">
        <v>2469</v>
      </c>
      <c r="M595" s="56"/>
    </row>
    <row r="596" customFormat="false" ht="51" hidden="false" customHeight="true" outlineLevel="0" collapsed="false">
      <c r="A596" s="55" t="n">
        <v>592</v>
      </c>
      <c r="B596" s="55" t="s">
        <v>1837</v>
      </c>
      <c r="C596" s="56" t="s">
        <v>1936</v>
      </c>
      <c r="D596" s="55"/>
      <c r="E596" s="57" t="n">
        <v>3015</v>
      </c>
      <c r="F596" s="55" t="s">
        <v>2467</v>
      </c>
      <c r="G596" s="56" t="s">
        <v>2470</v>
      </c>
      <c r="H596" s="59"/>
      <c r="I596" s="55" t="s">
        <v>2863</v>
      </c>
      <c r="J596" s="55" t="s">
        <v>276</v>
      </c>
      <c r="K596" s="55" t="s">
        <v>513</v>
      </c>
      <c r="L596" s="60" t="s">
        <v>2877</v>
      </c>
      <c r="M596" s="56" t="s">
        <v>2878</v>
      </c>
    </row>
    <row r="597" customFormat="false" ht="25.5" hidden="false" customHeight="true" outlineLevel="0" collapsed="false">
      <c r="A597" s="55" t="n">
        <v>593</v>
      </c>
      <c r="B597" s="55" t="s">
        <v>1837</v>
      </c>
      <c r="C597" s="56" t="s">
        <v>1939</v>
      </c>
      <c r="D597" s="55" t="s">
        <v>1940</v>
      </c>
      <c r="E597" s="57" t="n">
        <v>65931</v>
      </c>
      <c r="F597" s="55" t="s">
        <v>2467</v>
      </c>
      <c r="G597" s="56" t="s">
        <v>2865</v>
      </c>
      <c r="H597" s="55"/>
      <c r="I597" s="55" t="s">
        <v>2865</v>
      </c>
      <c r="J597" s="55" t="s">
        <v>278</v>
      </c>
      <c r="K597" s="55" t="s">
        <v>513</v>
      </c>
      <c r="L597" s="58" t="s">
        <v>2469</v>
      </c>
      <c r="M597" s="56"/>
    </row>
    <row r="598" customFormat="false" ht="38.25" hidden="false" customHeight="true" outlineLevel="0" collapsed="false">
      <c r="A598" s="55" t="n">
        <v>594</v>
      </c>
      <c r="B598" s="55" t="s">
        <v>1837</v>
      </c>
      <c r="C598" s="56" t="s">
        <v>1941</v>
      </c>
      <c r="D598" s="55" t="s">
        <v>2879</v>
      </c>
      <c r="E598" s="57" t="n">
        <v>43524</v>
      </c>
      <c r="F598" s="55" t="s">
        <v>2467</v>
      </c>
      <c r="G598" s="56" t="s">
        <v>2880</v>
      </c>
      <c r="H598" s="55"/>
      <c r="I598" s="55" t="s">
        <v>2880</v>
      </c>
      <c r="J598" s="55" t="s">
        <v>280</v>
      </c>
      <c r="K598" s="55" t="s">
        <v>502</v>
      </c>
      <c r="L598" s="58" t="s">
        <v>2469</v>
      </c>
      <c r="M598" s="56"/>
    </row>
    <row r="599" customFormat="false" ht="38.25" hidden="false" customHeight="true" outlineLevel="0" collapsed="false">
      <c r="A599" s="55" t="n">
        <v>595</v>
      </c>
      <c r="B599" s="55" t="s">
        <v>1837</v>
      </c>
      <c r="C599" s="56" t="s">
        <v>1944</v>
      </c>
      <c r="D599" s="55" t="s">
        <v>2881</v>
      </c>
      <c r="E599" s="57" t="n">
        <v>144122</v>
      </c>
      <c r="F599" s="55" t="s">
        <v>2467</v>
      </c>
      <c r="G599" s="56" t="s">
        <v>2866</v>
      </c>
      <c r="H599" s="55"/>
      <c r="I599" s="55" t="s">
        <v>2866</v>
      </c>
      <c r="J599" s="55" t="s">
        <v>280</v>
      </c>
      <c r="K599" s="55" t="s">
        <v>502</v>
      </c>
      <c r="L599" s="58" t="s">
        <v>2469</v>
      </c>
      <c r="M599" s="56"/>
    </row>
    <row r="600" customFormat="false" ht="25.5" hidden="false" customHeight="true" outlineLevel="0" collapsed="false">
      <c r="A600" s="55" t="n">
        <v>596</v>
      </c>
      <c r="B600" s="55" t="s">
        <v>1837</v>
      </c>
      <c r="C600" s="56" t="s">
        <v>1946</v>
      </c>
      <c r="D600" s="55" t="s">
        <v>2882</v>
      </c>
      <c r="E600" s="57" t="n">
        <v>67367</v>
      </c>
      <c r="F600" s="55" t="s">
        <v>2467</v>
      </c>
      <c r="G600" s="56" t="s">
        <v>2873</v>
      </c>
      <c r="H600" s="55"/>
      <c r="I600" s="55" t="s">
        <v>2873</v>
      </c>
      <c r="J600" s="55" t="s">
        <v>280</v>
      </c>
      <c r="K600" s="55" t="s">
        <v>502</v>
      </c>
      <c r="L600" s="58" t="s">
        <v>2469</v>
      </c>
      <c r="M600" s="56"/>
    </row>
    <row r="601" customFormat="false" ht="38.25" hidden="false" customHeight="true" outlineLevel="0" collapsed="false">
      <c r="A601" s="55" t="n">
        <v>597</v>
      </c>
      <c r="B601" s="55" t="s">
        <v>1837</v>
      </c>
      <c r="C601" s="56" t="s">
        <v>1949</v>
      </c>
      <c r="D601" s="55" t="s">
        <v>2883</v>
      </c>
      <c r="E601" s="57" t="n">
        <v>82634</v>
      </c>
      <c r="F601" s="55" t="s">
        <v>2467</v>
      </c>
      <c r="G601" s="56" t="s">
        <v>2870</v>
      </c>
      <c r="H601" s="55"/>
      <c r="I601" s="55" t="s">
        <v>2870</v>
      </c>
      <c r="J601" s="55" t="s">
        <v>280</v>
      </c>
      <c r="K601" s="55" t="s">
        <v>502</v>
      </c>
      <c r="L601" s="58" t="s">
        <v>2469</v>
      </c>
      <c r="M601" s="56"/>
    </row>
    <row r="602" customFormat="false" ht="38.25" hidden="false" customHeight="true" outlineLevel="0" collapsed="false">
      <c r="A602" s="55" t="n">
        <v>598</v>
      </c>
      <c r="B602" s="55" t="s">
        <v>1837</v>
      </c>
      <c r="C602" s="56" t="s">
        <v>1951</v>
      </c>
      <c r="D602" s="55" t="s">
        <v>2884</v>
      </c>
      <c r="E602" s="57" t="n">
        <v>65838</v>
      </c>
      <c r="F602" s="55" t="s">
        <v>2467</v>
      </c>
      <c r="G602" s="56" t="s">
        <v>2875</v>
      </c>
      <c r="H602" s="55"/>
      <c r="I602" s="55" t="s">
        <v>2875</v>
      </c>
      <c r="J602" s="55" t="s">
        <v>280</v>
      </c>
      <c r="K602" s="55" t="s">
        <v>502</v>
      </c>
      <c r="L602" s="58" t="s">
        <v>2469</v>
      </c>
      <c r="M602" s="56"/>
    </row>
    <row r="603" customFormat="false" ht="38.25" hidden="false" customHeight="true" outlineLevel="0" collapsed="false">
      <c r="A603" s="55" t="n">
        <v>599</v>
      </c>
      <c r="B603" s="55" t="s">
        <v>1837</v>
      </c>
      <c r="C603" s="56" t="s">
        <v>1954</v>
      </c>
      <c r="D603" s="55" t="s">
        <v>2885</v>
      </c>
      <c r="E603" s="57" t="n">
        <v>60068</v>
      </c>
      <c r="F603" s="55" t="s">
        <v>2467</v>
      </c>
      <c r="G603" s="56" t="s">
        <v>2864</v>
      </c>
      <c r="H603" s="55"/>
      <c r="I603" s="55" t="s">
        <v>2864</v>
      </c>
      <c r="J603" s="55" t="s">
        <v>280</v>
      </c>
      <c r="K603" s="55" t="s">
        <v>502</v>
      </c>
      <c r="L603" s="58" t="s">
        <v>2469</v>
      </c>
      <c r="M603" s="56"/>
    </row>
    <row r="604" customFormat="false" ht="38.25" hidden="false" customHeight="true" outlineLevel="0" collapsed="false">
      <c r="A604" s="55" t="n">
        <v>600</v>
      </c>
      <c r="B604" s="55" t="s">
        <v>1837</v>
      </c>
      <c r="C604" s="56" t="s">
        <v>1956</v>
      </c>
      <c r="D604" s="55" t="s">
        <v>2886</v>
      </c>
      <c r="E604" s="57" t="n">
        <v>36861</v>
      </c>
      <c r="F604" s="55" t="s">
        <v>2467</v>
      </c>
      <c r="G604" s="56" t="s">
        <v>2875</v>
      </c>
      <c r="H604" s="55"/>
      <c r="I604" s="55" t="s">
        <v>2875</v>
      </c>
      <c r="J604" s="55" t="s">
        <v>280</v>
      </c>
      <c r="K604" s="55" t="s">
        <v>502</v>
      </c>
      <c r="L604" s="58" t="s">
        <v>2469</v>
      </c>
      <c r="M604" s="56"/>
    </row>
    <row r="605" customFormat="false" ht="38.25" hidden="false" customHeight="true" outlineLevel="0" collapsed="false">
      <c r="A605" s="55" t="n">
        <v>601</v>
      </c>
      <c r="B605" s="55" t="s">
        <v>1837</v>
      </c>
      <c r="C605" s="56" t="s">
        <v>1958</v>
      </c>
      <c r="D605" s="55" t="s">
        <v>2887</v>
      </c>
      <c r="E605" s="57" t="n">
        <v>56808</v>
      </c>
      <c r="F605" s="55" t="s">
        <v>2467</v>
      </c>
      <c r="G605" s="56" t="s">
        <v>2888</v>
      </c>
      <c r="H605" s="55"/>
      <c r="I605" s="55" t="s">
        <v>2888</v>
      </c>
      <c r="J605" s="55" t="s">
        <v>278</v>
      </c>
      <c r="K605" s="55" t="s">
        <v>513</v>
      </c>
      <c r="L605" s="58" t="s">
        <v>2469</v>
      </c>
      <c r="M605" s="56"/>
    </row>
    <row r="606" customFormat="false" ht="38.25" hidden="false" customHeight="true" outlineLevel="0" collapsed="false">
      <c r="A606" s="55" t="n">
        <v>602</v>
      </c>
      <c r="B606" s="55" t="s">
        <v>1837</v>
      </c>
      <c r="C606" s="56" t="s">
        <v>1961</v>
      </c>
      <c r="D606" s="55" t="s">
        <v>2889</v>
      </c>
      <c r="E606" s="57" t="n">
        <v>78656</v>
      </c>
      <c r="F606" s="55" t="s">
        <v>2467</v>
      </c>
      <c r="G606" s="56" t="s">
        <v>2871</v>
      </c>
      <c r="H606" s="55"/>
      <c r="I606" s="55" t="s">
        <v>2871</v>
      </c>
      <c r="J606" s="55" t="s">
        <v>280</v>
      </c>
      <c r="K606" s="55" t="s">
        <v>502</v>
      </c>
      <c r="L606" s="58" t="s">
        <v>2469</v>
      </c>
      <c r="M606" s="56"/>
    </row>
    <row r="607" customFormat="false" ht="38.25" hidden="false" customHeight="true" outlineLevel="0" collapsed="false">
      <c r="A607" s="55" t="n">
        <v>603</v>
      </c>
      <c r="B607" s="55" t="s">
        <v>1837</v>
      </c>
      <c r="C607" s="56" t="s">
        <v>1964</v>
      </c>
      <c r="D607" s="55" t="s">
        <v>2890</v>
      </c>
      <c r="E607" s="57" t="n">
        <v>43264</v>
      </c>
      <c r="F607" s="55" t="s">
        <v>2467</v>
      </c>
      <c r="G607" s="56" t="s">
        <v>2891</v>
      </c>
      <c r="H607" s="55"/>
      <c r="I607" s="55" t="s">
        <v>2891</v>
      </c>
      <c r="J607" s="55" t="s">
        <v>280</v>
      </c>
      <c r="K607" s="55" t="s">
        <v>502</v>
      </c>
      <c r="L607" s="58" t="s">
        <v>2469</v>
      </c>
      <c r="M607" s="56"/>
    </row>
    <row r="608" customFormat="false" ht="25.5" hidden="false" customHeight="true" outlineLevel="0" collapsed="false">
      <c r="A608" s="55" t="n">
        <v>604</v>
      </c>
      <c r="B608" s="55" t="s">
        <v>1837</v>
      </c>
      <c r="C608" s="56" t="s">
        <v>1967</v>
      </c>
      <c r="D608" s="55" t="s">
        <v>1968</v>
      </c>
      <c r="E608" s="57" t="n">
        <v>10282</v>
      </c>
      <c r="F608" s="55" t="s">
        <v>2467</v>
      </c>
      <c r="G608" s="56" t="s">
        <v>2470</v>
      </c>
      <c r="H608" s="59"/>
      <c r="I608" s="55" t="s">
        <v>2864</v>
      </c>
      <c r="J608" s="55" t="s">
        <v>280</v>
      </c>
      <c r="K608" s="55" t="s">
        <v>502</v>
      </c>
      <c r="L608" s="60" t="s">
        <v>2472</v>
      </c>
      <c r="M608" s="56"/>
    </row>
    <row r="609" customFormat="false" ht="38.25" hidden="false" customHeight="true" outlineLevel="0" collapsed="false">
      <c r="A609" s="55" t="n">
        <v>605</v>
      </c>
      <c r="B609" s="55" t="s">
        <v>1837</v>
      </c>
      <c r="C609" s="56" t="s">
        <v>1969</v>
      </c>
      <c r="D609" s="55" t="s">
        <v>2892</v>
      </c>
      <c r="E609" s="57" t="n">
        <v>55087</v>
      </c>
      <c r="F609" s="55" t="s">
        <v>2467</v>
      </c>
      <c r="G609" s="56" t="s">
        <v>2893</v>
      </c>
      <c r="H609" s="55"/>
      <c r="I609" s="55" t="s">
        <v>2893</v>
      </c>
      <c r="J609" s="55" t="s">
        <v>280</v>
      </c>
      <c r="K609" s="55" t="s">
        <v>502</v>
      </c>
      <c r="L609" s="58" t="s">
        <v>2469</v>
      </c>
      <c r="M609" s="56"/>
    </row>
    <row r="610" customFormat="false" ht="51" hidden="false" customHeight="true" outlineLevel="0" collapsed="false">
      <c r="A610" s="55" t="n">
        <v>606</v>
      </c>
      <c r="B610" s="55" t="s">
        <v>1837</v>
      </c>
      <c r="C610" s="56" t="s">
        <v>1973</v>
      </c>
      <c r="D610" s="55" t="s">
        <v>2894</v>
      </c>
      <c r="E610" s="57" t="n">
        <v>83986</v>
      </c>
      <c r="F610" s="55" t="s">
        <v>2467</v>
      </c>
      <c r="G610" s="56" t="s">
        <v>2862</v>
      </c>
      <c r="H610" s="55"/>
      <c r="I610" s="55" t="s">
        <v>2862</v>
      </c>
      <c r="J610" s="55" t="s">
        <v>280</v>
      </c>
      <c r="K610" s="55" t="s">
        <v>502</v>
      </c>
      <c r="L610" s="58" t="s">
        <v>2469</v>
      </c>
      <c r="M610" s="56"/>
    </row>
    <row r="611" customFormat="false" ht="25.5" hidden="false" customHeight="true" outlineLevel="0" collapsed="false">
      <c r="A611" s="55" t="n">
        <v>607</v>
      </c>
      <c r="B611" s="55" t="s">
        <v>1837</v>
      </c>
      <c r="C611" s="56" t="s">
        <v>1976</v>
      </c>
      <c r="D611" s="55" t="s">
        <v>1977</v>
      </c>
      <c r="E611" s="57" t="n">
        <v>62656</v>
      </c>
      <c r="F611" s="55" t="s">
        <v>2467</v>
      </c>
      <c r="G611" s="56" t="s">
        <v>2860</v>
      </c>
      <c r="H611" s="55"/>
      <c r="I611" s="55" t="s">
        <v>2860</v>
      </c>
      <c r="J611" s="55" t="s">
        <v>280</v>
      </c>
      <c r="K611" s="55" t="s">
        <v>502</v>
      </c>
      <c r="L611" s="58" t="s">
        <v>2469</v>
      </c>
      <c r="M611" s="56"/>
    </row>
    <row r="612" customFormat="false" ht="51" hidden="false" customHeight="true" outlineLevel="0" collapsed="false">
      <c r="A612" s="55" t="n">
        <v>608</v>
      </c>
      <c r="B612" s="55" t="s">
        <v>1837</v>
      </c>
      <c r="C612" s="56" t="s">
        <v>1980</v>
      </c>
      <c r="D612" s="55" t="s">
        <v>2895</v>
      </c>
      <c r="E612" s="57" t="n">
        <v>62604</v>
      </c>
      <c r="F612" s="55" t="s">
        <v>2467</v>
      </c>
      <c r="G612" s="56" t="s">
        <v>2896</v>
      </c>
      <c r="H612" s="55"/>
      <c r="I612" s="55" t="s">
        <v>2896</v>
      </c>
      <c r="J612" s="55" t="s">
        <v>280</v>
      </c>
      <c r="K612" s="55" t="s">
        <v>502</v>
      </c>
      <c r="L612" s="58" t="s">
        <v>2469</v>
      </c>
      <c r="M612" s="56"/>
    </row>
    <row r="613" customFormat="false" ht="25.5" hidden="false" customHeight="true" outlineLevel="0" collapsed="false">
      <c r="A613" s="55" t="n">
        <v>609</v>
      </c>
      <c r="B613" s="55" t="s">
        <v>1837</v>
      </c>
      <c r="C613" s="56" t="s">
        <v>1983</v>
      </c>
      <c r="D613" s="55" t="s">
        <v>1984</v>
      </c>
      <c r="E613" s="57" t="n">
        <v>24756</v>
      </c>
      <c r="F613" s="55" t="s">
        <v>2467</v>
      </c>
      <c r="G613" s="56" t="s">
        <v>2872</v>
      </c>
      <c r="H613" s="55"/>
      <c r="I613" s="55" t="s">
        <v>2872</v>
      </c>
      <c r="J613" s="55" t="s">
        <v>280</v>
      </c>
      <c r="K613" s="55" t="s">
        <v>502</v>
      </c>
      <c r="L613" s="58" t="s">
        <v>2469</v>
      </c>
      <c r="M613" s="56"/>
    </row>
    <row r="614" customFormat="false" ht="25.5" hidden="false" customHeight="true" outlineLevel="0" collapsed="false">
      <c r="A614" s="55" t="n">
        <v>610</v>
      </c>
      <c r="B614" s="55" t="s">
        <v>1837</v>
      </c>
      <c r="C614" s="56" t="s">
        <v>1985</v>
      </c>
      <c r="D614" s="55" t="s">
        <v>1986</v>
      </c>
      <c r="E614" s="57" t="n">
        <v>6101</v>
      </c>
      <c r="F614" s="55" t="s">
        <v>2467</v>
      </c>
      <c r="G614" s="56" t="s">
        <v>2470</v>
      </c>
      <c r="H614" s="59"/>
      <c r="I614" s="55" t="s">
        <v>2864</v>
      </c>
      <c r="J614" s="55" t="s">
        <v>280</v>
      </c>
      <c r="K614" s="55" t="s">
        <v>502</v>
      </c>
      <c r="L614" s="60" t="s">
        <v>2472</v>
      </c>
      <c r="M614" s="56"/>
    </row>
    <row r="615" customFormat="false" ht="25.5" hidden="false" customHeight="true" outlineLevel="0" collapsed="false">
      <c r="A615" s="55" t="n">
        <v>611</v>
      </c>
      <c r="B615" s="55" t="s">
        <v>1837</v>
      </c>
      <c r="C615" s="56" t="s">
        <v>1988</v>
      </c>
      <c r="D615" s="55" t="s">
        <v>1989</v>
      </c>
      <c r="E615" s="57" t="n">
        <v>14317</v>
      </c>
      <c r="F615" s="55" t="s">
        <v>2467</v>
      </c>
      <c r="G615" s="56" t="s">
        <v>2470</v>
      </c>
      <c r="H615" s="59"/>
      <c r="I615" s="55" t="s">
        <v>2863</v>
      </c>
      <c r="J615" s="55" t="s">
        <v>276</v>
      </c>
      <c r="K615" s="55" t="s">
        <v>513</v>
      </c>
      <c r="L615" s="61" t="s">
        <v>2476</v>
      </c>
      <c r="M615" s="56"/>
    </row>
    <row r="616" customFormat="false" ht="25.5" hidden="false" customHeight="true" outlineLevel="0" collapsed="false">
      <c r="A616" s="55" t="n">
        <v>612</v>
      </c>
      <c r="B616" s="55" t="s">
        <v>1837</v>
      </c>
      <c r="C616" s="56" t="s">
        <v>1990</v>
      </c>
      <c r="D616" s="55" t="s">
        <v>1991</v>
      </c>
      <c r="E616" s="57" t="n">
        <v>11984</v>
      </c>
      <c r="F616" s="55" t="s">
        <v>2467</v>
      </c>
      <c r="G616" s="56" t="s">
        <v>2470</v>
      </c>
      <c r="H616" s="59"/>
      <c r="I616" s="55" t="s">
        <v>2863</v>
      </c>
      <c r="J616" s="55" t="s">
        <v>276</v>
      </c>
      <c r="K616" s="55" t="s">
        <v>513</v>
      </c>
      <c r="L616" s="61" t="s">
        <v>2476</v>
      </c>
      <c r="M616" s="56"/>
    </row>
    <row r="617" customFormat="false" ht="51" hidden="false" customHeight="true" outlineLevel="0" collapsed="false">
      <c r="A617" s="55" t="n">
        <v>613</v>
      </c>
      <c r="B617" s="55" t="s">
        <v>1837</v>
      </c>
      <c r="C617" s="56" t="s">
        <v>1992</v>
      </c>
      <c r="D617" s="55" t="s">
        <v>2897</v>
      </c>
      <c r="E617" s="57" t="n">
        <v>50413</v>
      </c>
      <c r="F617" s="55" t="s">
        <v>2467</v>
      </c>
      <c r="G617" s="56" t="s">
        <v>2896</v>
      </c>
      <c r="H617" s="55"/>
      <c r="I617" s="55" t="s">
        <v>2896</v>
      </c>
      <c r="J617" s="55" t="s">
        <v>280</v>
      </c>
      <c r="K617" s="55" t="s">
        <v>502</v>
      </c>
      <c r="L617" s="58" t="s">
        <v>2469</v>
      </c>
      <c r="M617" s="56"/>
    </row>
    <row r="618" customFormat="false" ht="25.5" hidden="false" customHeight="true" outlineLevel="0" collapsed="false">
      <c r="A618" s="55" t="n">
        <v>614</v>
      </c>
      <c r="B618" s="55" t="s">
        <v>1837</v>
      </c>
      <c r="C618" s="56" t="s">
        <v>1995</v>
      </c>
      <c r="D618" s="55" t="s">
        <v>1996</v>
      </c>
      <c r="E618" s="57" t="n">
        <v>11479</v>
      </c>
      <c r="F618" s="55" t="s">
        <v>2467</v>
      </c>
      <c r="G618" s="56" t="s">
        <v>2470</v>
      </c>
      <c r="H618" s="59"/>
      <c r="I618" s="55" t="s">
        <v>2898</v>
      </c>
      <c r="J618" s="55" t="s">
        <v>280</v>
      </c>
      <c r="K618" s="55" t="s">
        <v>502</v>
      </c>
      <c r="L618" s="60" t="s">
        <v>2472</v>
      </c>
      <c r="M618" s="56"/>
    </row>
    <row r="619" customFormat="false" ht="25.5" hidden="false" customHeight="true" outlineLevel="0" collapsed="false">
      <c r="A619" s="55" t="n">
        <v>615</v>
      </c>
      <c r="B619" s="55" t="s">
        <v>1837</v>
      </c>
      <c r="C619" s="56" t="s">
        <v>1998</v>
      </c>
      <c r="D619" s="55" t="s">
        <v>1999</v>
      </c>
      <c r="E619" s="57" t="n">
        <v>6060</v>
      </c>
      <c r="F619" s="55" t="s">
        <v>2467</v>
      </c>
      <c r="G619" s="56" t="s">
        <v>2470</v>
      </c>
      <c r="H619" s="59"/>
      <c r="I619" s="55" t="s">
        <v>2872</v>
      </c>
      <c r="J619" s="55" t="s">
        <v>280</v>
      </c>
      <c r="K619" s="55" t="s">
        <v>502</v>
      </c>
      <c r="L619" s="60" t="s">
        <v>2472</v>
      </c>
      <c r="M619" s="56"/>
    </row>
    <row r="620" customFormat="false" ht="25.5" hidden="false" customHeight="true" outlineLevel="0" collapsed="false">
      <c r="A620" s="55" t="n">
        <v>616</v>
      </c>
      <c r="B620" s="55" t="s">
        <v>1837</v>
      </c>
      <c r="C620" s="56" t="s">
        <v>2000</v>
      </c>
      <c r="D620" s="55" t="s">
        <v>2001</v>
      </c>
      <c r="E620" s="57" t="n">
        <v>8520</v>
      </c>
      <c r="F620" s="55" t="s">
        <v>2467</v>
      </c>
      <c r="G620" s="56" t="s">
        <v>2470</v>
      </c>
      <c r="H620" s="59"/>
      <c r="I620" s="55" t="s">
        <v>2871</v>
      </c>
      <c r="J620" s="55" t="s">
        <v>280</v>
      </c>
      <c r="K620" s="55" t="s">
        <v>502</v>
      </c>
      <c r="L620" s="60" t="s">
        <v>2472</v>
      </c>
      <c r="M620" s="56"/>
    </row>
    <row r="621" customFormat="false" ht="25.5" hidden="false" customHeight="true" outlineLevel="0" collapsed="false">
      <c r="A621" s="55" t="n">
        <v>617</v>
      </c>
      <c r="B621" s="55" t="s">
        <v>1837</v>
      </c>
      <c r="C621" s="56" t="s">
        <v>2002</v>
      </c>
      <c r="D621" s="55" t="s">
        <v>2003</v>
      </c>
      <c r="E621" s="57" t="n">
        <v>1498</v>
      </c>
      <c r="F621" s="55" t="s">
        <v>2467</v>
      </c>
      <c r="G621" s="56" t="s">
        <v>2470</v>
      </c>
      <c r="H621" s="59"/>
      <c r="I621" s="55" t="s">
        <v>2866</v>
      </c>
      <c r="J621" s="55" t="s">
        <v>280</v>
      </c>
      <c r="K621" s="55" t="s">
        <v>502</v>
      </c>
      <c r="L621" s="60" t="s">
        <v>2472</v>
      </c>
      <c r="M621" s="56"/>
    </row>
    <row r="622" customFormat="false" ht="25.5" hidden="false" customHeight="true" outlineLevel="0" collapsed="false">
      <c r="A622" s="55" t="n">
        <v>618</v>
      </c>
      <c r="B622" s="55" t="s">
        <v>1837</v>
      </c>
      <c r="C622" s="56" t="s">
        <v>2004</v>
      </c>
      <c r="D622" s="55" t="s">
        <v>2005</v>
      </c>
      <c r="E622" s="57" t="n">
        <v>41932</v>
      </c>
      <c r="F622" s="55" t="s">
        <v>2467</v>
      </c>
      <c r="G622" s="56" t="s">
        <v>2470</v>
      </c>
      <c r="H622" s="59"/>
      <c r="I622" s="55" t="s">
        <v>2898</v>
      </c>
      <c r="J622" s="55" t="s">
        <v>280</v>
      </c>
      <c r="K622" s="55" t="s">
        <v>502</v>
      </c>
      <c r="L622" s="60" t="s">
        <v>2472</v>
      </c>
      <c r="M622" s="56"/>
    </row>
    <row r="623" customFormat="false" ht="25.5" hidden="false" customHeight="true" outlineLevel="0" collapsed="false">
      <c r="A623" s="55" t="n">
        <v>619</v>
      </c>
      <c r="B623" s="55" t="s">
        <v>1837</v>
      </c>
      <c r="C623" s="56" t="s">
        <v>2006</v>
      </c>
      <c r="D623" s="55" t="s">
        <v>2007</v>
      </c>
      <c r="E623" s="57" t="n">
        <v>12583</v>
      </c>
      <c r="F623" s="55" t="s">
        <v>2467</v>
      </c>
      <c r="G623" s="56" t="s">
        <v>2470</v>
      </c>
      <c r="H623" s="59"/>
      <c r="I623" s="55" t="s">
        <v>2888</v>
      </c>
      <c r="J623" s="55" t="s">
        <v>278</v>
      </c>
      <c r="K623" s="55" t="s">
        <v>513</v>
      </c>
      <c r="L623" s="61" t="s">
        <v>2476</v>
      </c>
      <c r="M623" s="56"/>
    </row>
    <row r="624" customFormat="false" ht="51" hidden="false" customHeight="true" outlineLevel="0" collapsed="false">
      <c r="A624" s="55" t="n">
        <v>620</v>
      </c>
      <c r="B624" s="55" t="s">
        <v>1837</v>
      </c>
      <c r="C624" s="56" t="s">
        <v>2008</v>
      </c>
      <c r="D624" s="55" t="s">
        <v>2899</v>
      </c>
      <c r="E624" s="57" t="n">
        <v>92955</v>
      </c>
      <c r="F624" s="55" t="s">
        <v>2467</v>
      </c>
      <c r="G624" s="56" t="s">
        <v>2898</v>
      </c>
      <c r="H624" s="55"/>
      <c r="I624" s="55" t="s">
        <v>2898</v>
      </c>
      <c r="J624" s="55" t="s">
        <v>280</v>
      </c>
      <c r="K624" s="55" t="s">
        <v>502</v>
      </c>
      <c r="L624" s="58" t="s">
        <v>2469</v>
      </c>
      <c r="M624" s="56"/>
    </row>
    <row r="625" customFormat="false" ht="51" hidden="false" customHeight="true" outlineLevel="0" collapsed="false">
      <c r="A625" s="55" t="n">
        <v>621</v>
      </c>
      <c r="B625" s="55" t="s">
        <v>1837</v>
      </c>
      <c r="C625" s="56" t="s">
        <v>2010</v>
      </c>
      <c r="D625" s="55" t="s">
        <v>2900</v>
      </c>
      <c r="E625" s="57" t="n">
        <v>78289</v>
      </c>
      <c r="F625" s="55" t="s">
        <v>2467</v>
      </c>
      <c r="G625" s="56" t="s">
        <v>2862</v>
      </c>
      <c r="H625" s="55"/>
      <c r="I625" s="55" t="s">
        <v>2862</v>
      </c>
      <c r="J625" s="55" t="s">
        <v>280</v>
      </c>
      <c r="K625" s="55" t="s">
        <v>502</v>
      </c>
      <c r="L625" s="58" t="s">
        <v>2469</v>
      </c>
      <c r="M625" s="56"/>
    </row>
    <row r="626" customFormat="false" ht="51" hidden="false" customHeight="true" outlineLevel="0" collapsed="false">
      <c r="A626" s="55" t="n">
        <v>622</v>
      </c>
      <c r="B626" s="55" t="s">
        <v>1837</v>
      </c>
      <c r="C626" s="56" t="s">
        <v>2012</v>
      </c>
      <c r="D626" s="55" t="s">
        <v>2901</v>
      </c>
      <c r="E626" s="57" t="n">
        <v>111240</v>
      </c>
      <c r="F626" s="55" t="s">
        <v>2467</v>
      </c>
      <c r="G626" s="56" t="s">
        <v>2864</v>
      </c>
      <c r="H626" s="55"/>
      <c r="I626" s="55" t="s">
        <v>2864</v>
      </c>
      <c r="J626" s="55" t="s">
        <v>280</v>
      </c>
      <c r="K626" s="55" t="s">
        <v>502</v>
      </c>
      <c r="L626" s="58" t="s">
        <v>2469</v>
      </c>
      <c r="M626" s="56"/>
    </row>
    <row r="627" customFormat="false" ht="51" hidden="false" customHeight="true" outlineLevel="0" collapsed="false">
      <c r="A627" s="55" t="n">
        <v>623</v>
      </c>
      <c r="B627" s="55" t="s">
        <v>1837</v>
      </c>
      <c r="C627" s="56" t="s">
        <v>2016</v>
      </c>
      <c r="D627" s="55" t="s">
        <v>2902</v>
      </c>
      <c r="E627" s="57" t="n">
        <v>81420</v>
      </c>
      <c r="F627" s="55" t="s">
        <v>2467</v>
      </c>
      <c r="G627" s="56" t="s">
        <v>2470</v>
      </c>
      <c r="H627" s="59"/>
      <c r="I627" s="55" t="s">
        <v>2872</v>
      </c>
      <c r="J627" s="55" t="s">
        <v>280</v>
      </c>
      <c r="K627" s="55" t="s">
        <v>502</v>
      </c>
      <c r="L627" s="60" t="s">
        <v>2472</v>
      </c>
      <c r="M627" s="56"/>
    </row>
    <row r="628" customFormat="false" ht="25.5" hidden="false" customHeight="true" outlineLevel="0" collapsed="false">
      <c r="A628" s="55" t="n">
        <v>624</v>
      </c>
      <c r="B628" s="55" t="s">
        <v>1837</v>
      </c>
      <c r="C628" s="56" t="s">
        <v>2018</v>
      </c>
      <c r="D628" s="55" t="s">
        <v>2019</v>
      </c>
      <c r="E628" s="57" t="n">
        <v>5680</v>
      </c>
      <c r="F628" s="55" t="s">
        <v>2467</v>
      </c>
      <c r="G628" s="56" t="s">
        <v>2470</v>
      </c>
      <c r="H628" s="59"/>
      <c r="I628" s="55" t="s">
        <v>2860</v>
      </c>
      <c r="J628" s="55" t="s">
        <v>280</v>
      </c>
      <c r="K628" s="55" t="s">
        <v>502</v>
      </c>
      <c r="L628" s="60" t="s">
        <v>2472</v>
      </c>
      <c r="M628" s="56"/>
    </row>
    <row r="629" customFormat="false" ht="25.5" hidden="false" customHeight="true" outlineLevel="0" collapsed="false">
      <c r="A629" s="55" t="n">
        <v>625</v>
      </c>
      <c r="B629" s="55" t="s">
        <v>2022</v>
      </c>
      <c r="C629" s="56" t="s">
        <v>2038</v>
      </c>
      <c r="D629" s="55" t="s">
        <v>2039</v>
      </c>
      <c r="E629" s="57" t="n">
        <v>9802</v>
      </c>
      <c r="F629" s="55" t="s">
        <v>2467</v>
      </c>
      <c r="G629" s="56" t="s">
        <v>2470</v>
      </c>
      <c r="H629" s="59"/>
      <c r="I629" s="55" t="s">
        <v>2903</v>
      </c>
      <c r="J629" s="55" t="s">
        <v>276</v>
      </c>
      <c r="K629" s="55" t="s">
        <v>513</v>
      </c>
      <c r="L629" s="61" t="s">
        <v>2476</v>
      </c>
      <c r="M629" s="56"/>
    </row>
    <row r="630" customFormat="false" ht="25.5" hidden="false" customHeight="true" outlineLevel="0" collapsed="false">
      <c r="A630" s="55" t="n">
        <v>626</v>
      </c>
      <c r="B630" s="55" t="s">
        <v>2022</v>
      </c>
      <c r="C630" s="56" t="s">
        <v>2026</v>
      </c>
      <c r="D630" s="55" t="s">
        <v>2904</v>
      </c>
      <c r="E630" s="57" t="n">
        <v>11517</v>
      </c>
      <c r="F630" s="55" t="s">
        <v>2467</v>
      </c>
      <c r="G630" s="56" t="s">
        <v>2470</v>
      </c>
      <c r="H630" s="59"/>
      <c r="I630" s="55" t="s">
        <v>2903</v>
      </c>
      <c r="J630" s="55" t="s">
        <v>276</v>
      </c>
      <c r="K630" s="55" t="s">
        <v>513</v>
      </c>
      <c r="L630" s="61" t="s">
        <v>2476</v>
      </c>
      <c r="M630" s="56"/>
    </row>
    <row r="631" customFormat="false" ht="38.25" hidden="false" customHeight="true" outlineLevel="0" collapsed="false">
      <c r="A631" s="55" t="n">
        <v>627</v>
      </c>
      <c r="B631" s="55" t="s">
        <v>2022</v>
      </c>
      <c r="C631" s="56" t="s">
        <v>2905</v>
      </c>
      <c r="D631" s="55"/>
      <c r="E631" s="57" t="n">
        <v>11639</v>
      </c>
      <c r="F631" s="55" t="s">
        <v>2467</v>
      </c>
      <c r="G631" s="56" t="s">
        <v>2470</v>
      </c>
      <c r="H631" s="59"/>
      <c r="I631" s="55" t="s">
        <v>2903</v>
      </c>
      <c r="J631" s="55" t="s">
        <v>276</v>
      </c>
      <c r="K631" s="55" t="s">
        <v>513</v>
      </c>
      <c r="L631" s="60" t="s">
        <v>2479</v>
      </c>
      <c r="M631" s="56"/>
    </row>
    <row r="632" customFormat="false" ht="15" hidden="false" customHeight="false" outlineLevel="0" collapsed="false">
      <c r="A632" s="55" t="n">
        <v>628</v>
      </c>
      <c r="B632" s="55" t="s">
        <v>2022</v>
      </c>
      <c r="C632" s="56" t="s">
        <v>2029</v>
      </c>
      <c r="D632" s="55" t="s">
        <v>2030</v>
      </c>
      <c r="E632" s="57" t="n">
        <v>34374</v>
      </c>
      <c r="F632" s="55" t="s">
        <v>2467</v>
      </c>
      <c r="G632" s="56" t="s">
        <v>2903</v>
      </c>
      <c r="H632" s="55"/>
      <c r="I632" s="55" t="s">
        <v>2903</v>
      </c>
      <c r="J632" s="55" t="s">
        <v>276</v>
      </c>
      <c r="K632" s="55" t="s">
        <v>513</v>
      </c>
      <c r="L632" s="58" t="s">
        <v>2469</v>
      </c>
      <c r="M632" s="56"/>
    </row>
    <row r="633" customFormat="false" ht="25.5" hidden="false" customHeight="true" outlineLevel="0" collapsed="false">
      <c r="A633" s="55" t="n">
        <v>629</v>
      </c>
      <c r="B633" s="55" t="s">
        <v>2022</v>
      </c>
      <c r="C633" s="56" t="s">
        <v>2031</v>
      </c>
      <c r="D633" s="55" t="s">
        <v>2906</v>
      </c>
      <c r="E633" s="57" t="n">
        <v>12981</v>
      </c>
      <c r="F633" s="55" t="s">
        <v>2467</v>
      </c>
      <c r="G633" s="56" t="s">
        <v>2470</v>
      </c>
      <c r="H633" s="59"/>
      <c r="I633" s="55" t="s">
        <v>2903</v>
      </c>
      <c r="J633" s="55" t="s">
        <v>276</v>
      </c>
      <c r="K633" s="55" t="s">
        <v>513</v>
      </c>
      <c r="L633" s="61" t="s">
        <v>2476</v>
      </c>
      <c r="M633" s="56"/>
    </row>
    <row r="634" customFormat="false" ht="25.5" hidden="false" customHeight="true" outlineLevel="0" collapsed="false">
      <c r="A634" s="55" t="n">
        <v>630</v>
      </c>
      <c r="B634" s="55" t="s">
        <v>2022</v>
      </c>
      <c r="C634" s="56" t="s">
        <v>2033</v>
      </c>
      <c r="D634" s="55" t="s">
        <v>2907</v>
      </c>
      <c r="E634" s="57" t="n">
        <v>9122</v>
      </c>
      <c r="F634" s="55" t="s">
        <v>2467</v>
      </c>
      <c r="G634" s="56" t="s">
        <v>2470</v>
      </c>
      <c r="H634" s="59"/>
      <c r="I634" s="55" t="s">
        <v>2908</v>
      </c>
      <c r="J634" s="55" t="s">
        <v>278</v>
      </c>
      <c r="K634" s="55" t="s">
        <v>513</v>
      </c>
      <c r="L634" s="61" t="s">
        <v>2476</v>
      </c>
      <c r="M634" s="56"/>
    </row>
    <row r="635" customFormat="false" ht="25.5" hidden="false" customHeight="true" outlineLevel="0" collapsed="false">
      <c r="A635" s="55" t="n">
        <v>631</v>
      </c>
      <c r="B635" s="55" t="s">
        <v>2022</v>
      </c>
      <c r="C635" s="56" t="s">
        <v>2036</v>
      </c>
      <c r="D635" s="55" t="s">
        <v>2909</v>
      </c>
      <c r="E635" s="57" t="n">
        <v>6619</v>
      </c>
      <c r="F635" s="55" t="s">
        <v>2467</v>
      </c>
      <c r="G635" s="56" t="s">
        <v>2470</v>
      </c>
      <c r="H635" s="59"/>
      <c r="I635" s="55" t="s">
        <v>2903</v>
      </c>
      <c r="J635" s="55" t="s">
        <v>276</v>
      </c>
      <c r="K635" s="55" t="s">
        <v>513</v>
      </c>
      <c r="L635" s="61" t="s">
        <v>2476</v>
      </c>
      <c r="M635" s="56"/>
    </row>
    <row r="636" customFormat="false" ht="25.5" hidden="false" customHeight="true" outlineLevel="0" collapsed="false">
      <c r="A636" s="55" t="n">
        <v>632</v>
      </c>
      <c r="B636" s="55" t="s">
        <v>2022</v>
      </c>
      <c r="C636" s="56" t="s">
        <v>2023</v>
      </c>
      <c r="D636" s="55" t="s">
        <v>2910</v>
      </c>
      <c r="E636" s="57" t="n">
        <v>10362</v>
      </c>
      <c r="F636" s="55" t="s">
        <v>2467</v>
      </c>
      <c r="G636" s="56" t="s">
        <v>2470</v>
      </c>
      <c r="H636" s="59"/>
      <c r="I636" s="55" t="s">
        <v>2903</v>
      </c>
      <c r="J636" s="55" t="s">
        <v>276</v>
      </c>
      <c r="K636" s="55" t="s">
        <v>513</v>
      </c>
      <c r="L636" s="61" t="s">
        <v>2476</v>
      </c>
      <c r="M636" s="56"/>
    </row>
    <row r="637" customFormat="false" ht="51" hidden="false" customHeight="true" outlineLevel="0" collapsed="false">
      <c r="A637" s="55" t="n">
        <v>633</v>
      </c>
      <c r="B637" s="55" t="s">
        <v>2022</v>
      </c>
      <c r="C637" s="56" t="s">
        <v>2046</v>
      </c>
      <c r="D637" s="55" t="s">
        <v>2911</v>
      </c>
      <c r="E637" s="57" t="n">
        <v>27450</v>
      </c>
      <c r="F637" s="55" t="s">
        <v>2467</v>
      </c>
      <c r="G637" s="56" t="s">
        <v>2912</v>
      </c>
      <c r="H637" s="55"/>
      <c r="I637" s="55" t="s">
        <v>2912</v>
      </c>
      <c r="J637" s="55" t="s">
        <v>280</v>
      </c>
      <c r="K637" s="55" t="s">
        <v>502</v>
      </c>
      <c r="L637" s="58" t="s">
        <v>2469</v>
      </c>
      <c r="M637" s="56"/>
    </row>
    <row r="638" customFormat="false" ht="25.5" hidden="false" customHeight="true" outlineLevel="0" collapsed="false">
      <c r="A638" s="55" t="n">
        <v>634</v>
      </c>
      <c r="B638" s="55" t="s">
        <v>2022</v>
      </c>
      <c r="C638" s="56" t="s">
        <v>2049</v>
      </c>
      <c r="D638" s="55" t="s">
        <v>2913</v>
      </c>
      <c r="E638" s="57" t="n">
        <v>8232</v>
      </c>
      <c r="F638" s="55" t="s">
        <v>2467</v>
      </c>
      <c r="G638" s="56" t="s">
        <v>2470</v>
      </c>
      <c r="H638" s="59"/>
      <c r="I638" s="55" t="s">
        <v>2908</v>
      </c>
      <c r="J638" s="55" t="s">
        <v>278</v>
      </c>
      <c r="K638" s="55" t="s">
        <v>513</v>
      </c>
      <c r="L638" s="61" t="s">
        <v>2476</v>
      </c>
      <c r="M638" s="56"/>
    </row>
    <row r="639" customFormat="false" ht="25.5" hidden="false" customHeight="true" outlineLevel="0" collapsed="false">
      <c r="A639" s="55" t="n">
        <v>635</v>
      </c>
      <c r="B639" s="55" t="s">
        <v>2022</v>
      </c>
      <c r="C639" s="56" t="s">
        <v>2044</v>
      </c>
      <c r="D639" s="55" t="s">
        <v>2914</v>
      </c>
      <c r="E639" s="57" t="n">
        <v>6568</v>
      </c>
      <c r="F639" s="55" t="s">
        <v>2467</v>
      </c>
      <c r="G639" s="56" t="s">
        <v>2470</v>
      </c>
      <c r="H639" s="59"/>
      <c r="I639" s="55" t="s">
        <v>2903</v>
      </c>
      <c r="J639" s="55" t="s">
        <v>276</v>
      </c>
      <c r="K639" s="55" t="s">
        <v>513</v>
      </c>
      <c r="L639" s="61" t="s">
        <v>2476</v>
      </c>
      <c r="M639" s="56"/>
    </row>
    <row r="640" customFormat="false" ht="25.5" hidden="false" customHeight="true" outlineLevel="0" collapsed="false">
      <c r="A640" s="55" t="n">
        <v>636</v>
      </c>
      <c r="B640" s="55" t="s">
        <v>2022</v>
      </c>
      <c r="C640" s="56" t="s">
        <v>2040</v>
      </c>
      <c r="D640" s="55" t="s">
        <v>2915</v>
      </c>
      <c r="E640" s="57" t="n">
        <v>5922</v>
      </c>
      <c r="F640" s="55" t="s">
        <v>2467</v>
      </c>
      <c r="G640" s="56" t="s">
        <v>2470</v>
      </c>
      <c r="H640" s="59"/>
      <c r="I640" s="55" t="s">
        <v>2903</v>
      </c>
      <c r="J640" s="55" t="s">
        <v>276</v>
      </c>
      <c r="K640" s="55" t="s">
        <v>513</v>
      </c>
      <c r="L640" s="61" t="s">
        <v>2476</v>
      </c>
      <c r="M640" s="56"/>
    </row>
    <row r="641" customFormat="false" ht="25.5" hidden="false" customHeight="true" outlineLevel="0" collapsed="false">
      <c r="A641" s="55" t="n">
        <v>637</v>
      </c>
      <c r="B641" s="55" t="s">
        <v>2022</v>
      </c>
      <c r="C641" s="56" t="s">
        <v>2042</v>
      </c>
      <c r="D641" s="55" t="s">
        <v>2043</v>
      </c>
      <c r="E641" s="57" t="n">
        <v>14861</v>
      </c>
      <c r="F641" s="55" t="s">
        <v>2467</v>
      </c>
      <c r="G641" s="56" t="s">
        <v>2903</v>
      </c>
      <c r="H641" s="55"/>
      <c r="I641" s="55" t="s">
        <v>2903</v>
      </c>
      <c r="J641" s="55" t="s">
        <v>276</v>
      </c>
      <c r="K641" s="55" t="s">
        <v>513</v>
      </c>
      <c r="L641" s="58" t="s">
        <v>2469</v>
      </c>
      <c r="M641" s="56"/>
    </row>
    <row r="642" customFormat="false" ht="15" hidden="false" customHeight="false" outlineLevel="0" collapsed="false">
      <c r="A642" s="55" t="n">
        <v>638</v>
      </c>
      <c r="B642" s="55" t="s">
        <v>2022</v>
      </c>
      <c r="C642" s="56" t="s">
        <v>2051</v>
      </c>
      <c r="D642" s="55" t="s">
        <v>2916</v>
      </c>
      <c r="E642" s="57" t="n">
        <v>8244</v>
      </c>
      <c r="F642" s="55" t="s">
        <v>2467</v>
      </c>
      <c r="G642" s="56" t="s">
        <v>2917</v>
      </c>
      <c r="H642" s="55"/>
      <c r="I642" s="55" t="s">
        <v>2917</v>
      </c>
      <c r="J642" s="55" t="s">
        <v>280</v>
      </c>
      <c r="K642" s="55" t="s">
        <v>502</v>
      </c>
      <c r="L642" s="58" t="s">
        <v>2469</v>
      </c>
      <c r="M642" s="56"/>
    </row>
    <row r="643" customFormat="false" ht="15" hidden="false" customHeight="false" outlineLevel="0" collapsed="false">
      <c r="A643" s="55" t="n">
        <v>639</v>
      </c>
      <c r="B643" s="55" t="s">
        <v>2022</v>
      </c>
      <c r="C643" s="56" t="s">
        <v>2054</v>
      </c>
      <c r="D643" s="55" t="s">
        <v>2055</v>
      </c>
      <c r="E643" s="57" t="n">
        <v>7698</v>
      </c>
      <c r="F643" s="55" t="s">
        <v>2467</v>
      </c>
      <c r="G643" s="56" t="s">
        <v>2918</v>
      </c>
      <c r="H643" s="55"/>
      <c r="I643" s="55" t="s">
        <v>2918</v>
      </c>
      <c r="J643" s="55" t="s">
        <v>278</v>
      </c>
      <c r="K643" s="55" t="s">
        <v>513</v>
      </c>
      <c r="L643" s="58" t="s">
        <v>2469</v>
      </c>
      <c r="M643" s="56"/>
    </row>
    <row r="644" customFormat="false" ht="38.25" hidden="false" customHeight="true" outlineLevel="0" collapsed="false">
      <c r="A644" s="55" t="n">
        <v>640</v>
      </c>
      <c r="B644" s="55" t="s">
        <v>2022</v>
      </c>
      <c r="C644" s="56" t="s">
        <v>2057</v>
      </c>
      <c r="D644" s="55" t="s">
        <v>2919</v>
      </c>
      <c r="E644" s="57" t="n">
        <v>30711</v>
      </c>
      <c r="F644" s="55" t="s">
        <v>2467</v>
      </c>
      <c r="G644" s="56" t="s">
        <v>2908</v>
      </c>
      <c r="H644" s="55"/>
      <c r="I644" s="55" t="s">
        <v>2908</v>
      </c>
      <c r="J644" s="55" t="s">
        <v>278</v>
      </c>
      <c r="K644" s="55" t="s">
        <v>513</v>
      </c>
      <c r="L644" s="58" t="s">
        <v>2469</v>
      </c>
      <c r="M644" s="56"/>
    </row>
    <row r="645" customFormat="false" ht="25.5" hidden="false" customHeight="true" outlineLevel="0" collapsed="false">
      <c r="A645" s="55" t="n">
        <v>641</v>
      </c>
      <c r="B645" s="55" t="s">
        <v>2022</v>
      </c>
      <c r="C645" s="56" t="s">
        <v>2059</v>
      </c>
      <c r="D645" s="55" t="s">
        <v>2060</v>
      </c>
      <c r="E645" s="57" t="n">
        <v>8631</v>
      </c>
      <c r="F645" s="55" t="s">
        <v>2467</v>
      </c>
      <c r="G645" s="56" t="s">
        <v>2470</v>
      </c>
      <c r="H645" s="59"/>
      <c r="I645" s="55" t="s">
        <v>2918</v>
      </c>
      <c r="J645" s="55" t="s">
        <v>278</v>
      </c>
      <c r="K645" s="55" t="s">
        <v>513</v>
      </c>
      <c r="L645" s="61" t="s">
        <v>2476</v>
      </c>
      <c r="M645" s="56"/>
    </row>
    <row r="646" customFormat="false" ht="25.5" hidden="false" customHeight="true" outlineLevel="0" collapsed="false">
      <c r="A646" s="55" t="n">
        <v>642</v>
      </c>
      <c r="B646" s="55" t="s">
        <v>2062</v>
      </c>
      <c r="C646" s="56" t="s">
        <v>2063</v>
      </c>
      <c r="D646" s="55" t="s">
        <v>2064</v>
      </c>
      <c r="E646" s="57" t="n">
        <v>35818</v>
      </c>
      <c r="F646" s="55" t="s">
        <v>26</v>
      </c>
      <c r="G646" s="56" t="s">
        <v>26</v>
      </c>
      <c r="H646" s="55"/>
      <c r="I646" s="55" t="s">
        <v>2920</v>
      </c>
      <c r="J646" s="55" t="s">
        <v>483</v>
      </c>
      <c r="K646" s="55" t="s">
        <v>513</v>
      </c>
      <c r="L646" s="58" t="s">
        <v>2600</v>
      </c>
      <c r="M646" s="56"/>
    </row>
    <row r="647" customFormat="false" ht="25.5" hidden="false" customHeight="true" outlineLevel="0" collapsed="false">
      <c r="A647" s="55" t="n">
        <v>643</v>
      </c>
      <c r="B647" s="55" t="s">
        <v>2062</v>
      </c>
      <c r="C647" s="56" t="s">
        <v>2066</v>
      </c>
      <c r="D647" s="55" t="s">
        <v>2921</v>
      </c>
      <c r="E647" s="57" t="n">
        <v>36436</v>
      </c>
      <c r="F647" s="55" t="s">
        <v>26</v>
      </c>
      <c r="G647" s="56" t="s">
        <v>26</v>
      </c>
      <c r="H647" s="55"/>
      <c r="I647" s="55" t="s">
        <v>2920</v>
      </c>
      <c r="J647" s="55" t="s">
        <v>483</v>
      </c>
      <c r="K647" s="55" t="s">
        <v>513</v>
      </c>
      <c r="L647" s="58" t="s">
        <v>2600</v>
      </c>
      <c r="M647" s="56"/>
    </row>
    <row r="648" customFormat="false" ht="25.5" hidden="false" customHeight="true" outlineLevel="0" collapsed="false">
      <c r="A648" s="55" t="n">
        <v>644</v>
      </c>
      <c r="B648" s="55" t="s">
        <v>2062</v>
      </c>
      <c r="C648" s="56" t="s">
        <v>2069</v>
      </c>
      <c r="D648" s="55" t="s">
        <v>2070</v>
      </c>
      <c r="E648" s="57" t="n">
        <v>5099</v>
      </c>
      <c r="F648" s="55" t="s">
        <v>26</v>
      </c>
      <c r="G648" s="56" t="s">
        <v>26</v>
      </c>
      <c r="H648" s="55"/>
      <c r="I648" s="55" t="s">
        <v>2920</v>
      </c>
      <c r="J648" s="55" t="s">
        <v>483</v>
      </c>
      <c r="K648" s="55" t="s">
        <v>513</v>
      </c>
      <c r="L648" s="58" t="s">
        <v>2600</v>
      </c>
      <c r="M648" s="56"/>
    </row>
    <row r="649" customFormat="false" ht="25.5" hidden="false" customHeight="true" outlineLevel="0" collapsed="false">
      <c r="A649" s="55" t="n">
        <v>645</v>
      </c>
      <c r="B649" s="55" t="s">
        <v>2062</v>
      </c>
      <c r="C649" s="56" t="s">
        <v>2071</v>
      </c>
      <c r="D649" s="55" t="s">
        <v>2072</v>
      </c>
      <c r="E649" s="57" t="n">
        <v>10325</v>
      </c>
      <c r="F649" s="55" t="s">
        <v>26</v>
      </c>
      <c r="G649" s="56" t="s">
        <v>26</v>
      </c>
      <c r="H649" s="55"/>
      <c r="I649" s="55" t="s">
        <v>2920</v>
      </c>
      <c r="J649" s="55" t="s">
        <v>483</v>
      </c>
      <c r="K649" s="55" t="s">
        <v>513</v>
      </c>
      <c r="L649" s="58" t="s">
        <v>2600</v>
      </c>
      <c r="M649" s="56"/>
    </row>
    <row r="650" customFormat="false" ht="25.5" hidden="false" customHeight="true" outlineLevel="0" collapsed="false">
      <c r="A650" s="55" t="n">
        <v>646</v>
      </c>
      <c r="B650" s="55" t="s">
        <v>2062</v>
      </c>
      <c r="C650" s="56" t="s">
        <v>2073</v>
      </c>
      <c r="D650" s="55" t="s">
        <v>2074</v>
      </c>
      <c r="E650" s="57" t="n">
        <v>9465</v>
      </c>
      <c r="F650" s="55" t="s">
        <v>26</v>
      </c>
      <c r="G650" s="56" t="s">
        <v>26</v>
      </c>
      <c r="H650" s="55"/>
      <c r="I650" s="55" t="s">
        <v>2920</v>
      </c>
      <c r="J650" s="55" t="s">
        <v>483</v>
      </c>
      <c r="K650" s="55" t="s">
        <v>513</v>
      </c>
      <c r="L650" s="58" t="s">
        <v>2600</v>
      </c>
      <c r="M650" s="56"/>
    </row>
    <row r="651" customFormat="false" ht="25.5" hidden="false" customHeight="true" outlineLevel="0" collapsed="false">
      <c r="A651" s="55" t="n">
        <v>647</v>
      </c>
      <c r="B651" s="55" t="s">
        <v>2062</v>
      </c>
      <c r="C651" s="56" t="s">
        <v>2075</v>
      </c>
      <c r="D651" s="55" t="s">
        <v>2076</v>
      </c>
      <c r="E651" s="57" t="n">
        <v>8417</v>
      </c>
      <c r="F651" s="55" t="s">
        <v>26</v>
      </c>
      <c r="G651" s="56" t="s">
        <v>26</v>
      </c>
      <c r="H651" s="55"/>
      <c r="I651" s="55" t="s">
        <v>2920</v>
      </c>
      <c r="J651" s="55" t="s">
        <v>483</v>
      </c>
      <c r="K651" s="55" t="s">
        <v>513</v>
      </c>
      <c r="L651" s="58" t="s">
        <v>2600</v>
      </c>
      <c r="M651" s="56"/>
    </row>
    <row r="652" customFormat="false" ht="25.5" hidden="false" customHeight="true" outlineLevel="0" collapsed="false">
      <c r="A652" s="55" t="n">
        <v>648</v>
      </c>
      <c r="B652" s="55" t="s">
        <v>2062</v>
      </c>
      <c r="C652" s="56" t="s">
        <v>2077</v>
      </c>
      <c r="D652" s="55" t="s">
        <v>2078</v>
      </c>
      <c r="E652" s="57" t="n">
        <v>9803</v>
      </c>
      <c r="F652" s="55" t="s">
        <v>26</v>
      </c>
      <c r="G652" s="56" t="s">
        <v>26</v>
      </c>
      <c r="H652" s="55"/>
      <c r="I652" s="55" t="s">
        <v>2920</v>
      </c>
      <c r="J652" s="55" t="s">
        <v>483</v>
      </c>
      <c r="K652" s="55" t="s">
        <v>513</v>
      </c>
      <c r="L652" s="58" t="s">
        <v>2600</v>
      </c>
      <c r="M652" s="56"/>
    </row>
    <row r="653" customFormat="false" ht="25.5" hidden="false" customHeight="true" outlineLevel="0" collapsed="false">
      <c r="A653" s="55" t="n">
        <v>649</v>
      </c>
      <c r="B653" s="55" t="s">
        <v>2062</v>
      </c>
      <c r="C653" s="56" t="s">
        <v>2080</v>
      </c>
      <c r="D653" s="55" t="s">
        <v>2081</v>
      </c>
      <c r="E653" s="57" t="n">
        <v>14148</v>
      </c>
      <c r="F653" s="55" t="s">
        <v>26</v>
      </c>
      <c r="G653" s="56" t="s">
        <v>26</v>
      </c>
      <c r="H653" s="55"/>
      <c r="I653" s="55" t="s">
        <v>2920</v>
      </c>
      <c r="J653" s="55" t="s">
        <v>483</v>
      </c>
      <c r="K653" s="55" t="s">
        <v>513</v>
      </c>
      <c r="L653" s="58" t="s">
        <v>2600</v>
      </c>
      <c r="M653" s="56"/>
    </row>
    <row r="654" customFormat="false" ht="25.5" hidden="false" customHeight="true" outlineLevel="0" collapsed="false">
      <c r="A654" s="55" t="n">
        <v>650</v>
      </c>
      <c r="B654" s="55" t="s">
        <v>2062</v>
      </c>
      <c r="C654" s="56" t="s">
        <v>2082</v>
      </c>
      <c r="D654" s="55" t="s">
        <v>2083</v>
      </c>
      <c r="E654" s="57" t="n">
        <v>18339</v>
      </c>
      <c r="F654" s="55" t="s">
        <v>26</v>
      </c>
      <c r="G654" s="56" t="s">
        <v>26</v>
      </c>
      <c r="H654" s="55"/>
      <c r="I654" s="55" t="s">
        <v>2920</v>
      </c>
      <c r="J654" s="55" t="s">
        <v>483</v>
      </c>
      <c r="K654" s="55" t="s">
        <v>513</v>
      </c>
      <c r="L654" s="58" t="s">
        <v>2600</v>
      </c>
      <c r="M654" s="56"/>
    </row>
    <row r="655" customFormat="false" ht="25.5" hidden="false" customHeight="true" outlineLevel="0" collapsed="false">
      <c r="A655" s="55" t="n">
        <v>651</v>
      </c>
      <c r="B655" s="55" t="s">
        <v>2062</v>
      </c>
      <c r="C655" s="56" t="s">
        <v>2084</v>
      </c>
      <c r="D655" s="55" t="s">
        <v>2085</v>
      </c>
      <c r="E655" s="57" t="n">
        <v>59497</v>
      </c>
      <c r="F655" s="55" t="s">
        <v>26</v>
      </c>
      <c r="G655" s="56" t="s">
        <v>26</v>
      </c>
      <c r="H655" s="55"/>
      <c r="I655" s="55" t="s">
        <v>2920</v>
      </c>
      <c r="J655" s="55" t="s">
        <v>483</v>
      </c>
      <c r="K655" s="55" t="s">
        <v>513</v>
      </c>
      <c r="L655" s="58" t="s">
        <v>2600</v>
      </c>
      <c r="M655" s="56"/>
    </row>
    <row r="656" customFormat="false" ht="25.5" hidden="false" customHeight="true" outlineLevel="0" collapsed="false">
      <c r="A656" s="55" t="n">
        <v>652</v>
      </c>
      <c r="B656" s="55" t="s">
        <v>2062</v>
      </c>
      <c r="C656" s="56" t="s">
        <v>2086</v>
      </c>
      <c r="D656" s="55" t="s">
        <v>2087</v>
      </c>
      <c r="E656" s="57" t="n">
        <v>55211</v>
      </c>
      <c r="F656" s="55" t="s">
        <v>26</v>
      </c>
      <c r="G656" s="56" t="s">
        <v>26</v>
      </c>
      <c r="H656" s="55"/>
      <c r="I656" s="55" t="s">
        <v>2920</v>
      </c>
      <c r="J656" s="55" t="s">
        <v>483</v>
      </c>
      <c r="K656" s="55" t="s">
        <v>513</v>
      </c>
      <c r="L656" s="58" t="s">
        <v>2600</v>
      </c>
      <c r="M656" s="56"/>
    </row>
    <row r="657" customFormat="false" ht="25.5" hidden="false" customHeight="true" outlineLevel="0" collapsed="false">
      <c r="A657" s="55" t="n">
        <v>653</v>
      </c>
      <c r="B657" s="55" t="s">
        <v>2062</v>
      </c>
      <c r="C657" s="56" t="s">
        <v>2088</v>
      </c>
      <c r="D657" s="55" t="s">
        <v>2922</v>
      </c>
      <c r="E657" s="57" t="n">
        <v>3039</v>
      </c>
      <c r="F657" s="55" t="s">
        <v>26</v>
      </c>
      <c r="G657" s="56" t="s">
        <v>26</v>
      </c>
      <c r="H657" s="55"/>
      <c r="I657" s="55" t="s">
        <v>2920</v>
      </c>
      <c r="J657" s="55" t="s">
        <v>483</v>
      </c>
      <c r="K657" s="55" t="s">
        <v>513</v>
      </c>
      <c r="L657" s="58" t="s">
        <v>2600</v>
      </c>
      <c r="M657" s="56"/>
    </row>
    <row r="658" customFormat="false" ht="25.5" hidden="false" customHeight="true" outlineLevel="0" collapsed="false">
      <c r="A658" s="55" t="n">
        <v>654</v>
      </c>
      <c r="B658" s="55" t="s">
        <v>2062</v>
      </c>
      <c r="C658" s="56" t="s">
        <v>2090</v>
      </c>
      <c r="D658" s="55" t="s">
        <v>2091</v>
      </c>
      <c r="E658" s="57" t="n">
        <v>26396</v>
      </c>
      <c r="F658" s="55" t="s">
        <v>26</v>
      </c>
      <c r="G658" s="56" t="s">
        <v>26</v>
      </c>
      <c r="H658" s="55"/>
      <c r="I658" s="55" t="s">
        <v>2920</v>
      </c>
      <c r="J658" s="55" t="s">
        <v>483</v>
      </c>
      <c r="K658" s="55" t="s">
        <v>513</v>
      </c>
      <c r="L658" s="58" t="s">
        <v>2600</v>
      </c>
      <c r="M658" s="56"/>
    </row>
    <row r="659" customFormat="false" ht="25.5" hidden="false" customHeight="true" outlineLevel="0" collapsed="false">
      <c r="A659" s="55" t="n">
        <v>655</v>
      </c>
      <c r="B659" s="55" t="s">
        <v>2062</v>
      </c>
      <c r="C659" s="56" t="s">
        <v>2096</v>
      </c>
      <c r="D659" s="55" t="s">
        <v>2097</v>
      </c>
      <c r="E659" s="57" t="n">
        <v>3533</v>
      </c>
      <c r="F659" s="55" t="s">
        <v>26</v>
      </c>
      <c r="G659" s="56" t="s">
        <v>26</v>
      </c>
      <c r="H659" s="55"/>
      <c r="I659" s="55" t="s">
        <v>2920</v>
      </c>
      <c r="J659" s="55" t="s">
        <v>483</v>
      </c>
      <c r="K659" s="55" t="s">
        <v>513</v>
      </c>
      <c r="L659" s="58" t="s">
        <v>2600</v>
      </c>
      <c r="M659" s="56"/>
    </row>
    <row r="660" customFormat="false" ht="25.5" hidden="false" customHeight="true" outlineLevel="0" collapsed="false">
      <c r="A660" s="55" t="n">
        <v>656</v>
      </c>
      <c r="B660" s="55" t="s">
        <v>2062</v>
      </c>
      <c r="C660" s="56" t="s">
        <v>2094</v>
      </c>
      <c r="D660" s="55" t="s">
        <v>2095</v>
      </c>
      <c r="E660" s="57" t="n">
        <v>43939</v>
      </c>
      <c r="F660" s="55" t="s">
        <v>26</v>
      </c>
      <c r="G660" s="56" t="s">
        <v>26</v>
      </c>
      <c r="H660" s="55"/>
      <c r="I660" s="55" t="s">
        <v>2920</v>
      </c>
      <c r="J660" s="55" t="s">
        <v>483</v>
      </c>
      <c r="K660" s="55" t="s">
        <v>513</v>
      </c>
      <c r="L660" s="58" t="s">
        <v>2600</v>
      </c>
      <c r="M660" s="56"/>
    </row>
    <row r="661" customFormat="false" ht="25.5" hidden="false" customHeight="true" outlineLevel="0" collapsed="false">
      <c r="A661" s="55" t="n">
        <v>657</v>
      </c>
      <c r="B661" s="55" t="s">
        <v>2062</v>
      </c>
      <c r="C661" s="56" t="s">
        <v>2092</v>
      </c>
      <c r="D661" s="55" t="s">
        <v>2093</v>
      </c>
      <c r="E661" s="57" t="n">
        <v>11472</v>
      </c>
      <c r="F661" s="55" t="s">
        <v>26</v>
      </c>
      <c r="G661" s="56" t="s">
        <v>26</v>
      </c>
      <c r="H661" s="55"/>
      <c r="I661" s="55" t="s">
        <v>2920</v>
      </c>
      <c r="J661" s="55" t="s">
        <v>483</v>
      </c>
      <c r="K661" s="55" t="s">
        <v>513</v>
      </c>
      <c r="L661" s="58" t="s">
        <v>2600</v>
      </c>
      <c r="M661" s="56"/>
    </row>
    <row r="662" customFormat="false" ht="25.5" hidden="false" customHeight="true" outlineLevel="0" collapsed="false">
      <c r="A662" s="55" t="n">
        <v>658</v>
      </c>
      <c r="B662" s="55" t="s">
        <v>2062</v>
      </c>
      <c r="C662" s="56" t="s">
        <v>2098</v>
      </c>
      <c r="D662" s="55" t="s">
        <v>2099</v>
      </c>
      <c r="E662" s="57" t="n">
        <v>19856</v>
      </c>
      <c r="F662" s="55" t="s">
        <v>26</v>
      </c>
      <c r="G662" s="56" t="s">
        <v>26</v>
      </c>
      <c r="H662" s="55"/>
      <c r="I662" s="55" t="s">
        <v>2920</v>
      </c>
      <c r="J662" s="55" t="s">
        <v>483</v>
      </c>
      <c r="K662" s="55" t="s">
        <v>513</v>
      </c>
      <c r="L662" s="58" t="s">
        <v>2600</v>
      </c>
      <c r="M662" s="56"/>
    </row>
    <row r="663" customFormat="false" ht="25.5" hidden="false" customHeight="true" outlineLevel="0" collapsed="false">
      <c r="A663" s="55" t="n">
        <v>659</v>
      </c>
      <c r="B663" s="55" t="s">
        <v>2062</v>
      </c>
      <c r="C663" s="56" t="s">
        <v>2100</v>
      </c>
      <c r="D663" s="55" t="s">
        <v>2923</v>
      </c>
      <c r="E663" s="57" t="n">
        <v>17760</v>
      </c>
      <c r="F663" s="55" t="s">
        <v>26</v>
      </c>
      <c r="G663" s="56" t="s">
        <v>26</v>
      </c>
      <c r="H663" s="55"/>
      <c r="I663" s="55" t="s">
        <v>2920</v>
      </c>
      <c r="J663" s="55" t="s">
        <v>483</v>
      </c>
      <c r="K663" s="55" t="s">
        <v>513</v>
      </c>
      <c r="L663" s="58" t="s">
        <v>2600</v>
      </c>
      <c r="M663" s="56"/>
    </row>
    <row r="664" customFormat="false" ht="25.5" hidden="false" customHeight="true" outlineLevel="0" collapsed="false">
      <c r="A664" s="55" t="n">
        <v>660</v>
      </c>
      <c r="B664" s="55" t="s">
        <v>2062</v>
      </c>
      <c r="C664" s="56" t="s">
        <v>2102</v>
      </c>
      <c r="D664" s="55" t="s">
        <v>2103</v>
      </c>
      <c r="E664" s="57" t="n">
        <v>7581</v>
      </c>
      <c r="F664" s="55" t="s">
        <v>26</v>
      </c>
      <c r="G664" s="56" t="s">
        <v>26</v>
      </c>
      <c r="H664" s="55"/>
      <c r="I664" s="55" t="s">
        <v>2920</v>
      </c>
      <c r="J664" s="55" t="s">
        <v>483</v>
      </c>
      <c r="K664" s="55" t="s">
        <v>513</v>
      </c>
      <c r="L664" s="58" t="s">
        <v>2600</v>
      </c>
      <c r="M664" s="56"/>
    </row>
    <row r="665" customFormat="false" ht="25.5" hidden="false" customHeight="true" outlineLevel="0" collapsed="false">
      <c r="A665" s="55" t="n">
        <v>661</v>
      </c>
      <c r="B665" s="55" t="s">
        <v>2062</v>
      </c>
      <c r="C665" s="56" t="s">
        <v>2104</v>
      </c>
      <c r="D665" s="55" t="s">
        <v>2105</v>
      </c>
      <c r="E665" s="57" t="n">
        <v>23978</v>
      </c>
      <c r="F665" s="55" t="s">
        <v>26</v>
      </c>
      <c r="G665" s="56" t="s">
        <v>26</v>
      </c>
      <c r="H665" s="55"/>
      <c r="I665" s="55" t="s">
        <v>2920</v>
      </c>
      <c r="J665" s="55" t="s">
        <v>483</v>
      </c>
      <c r="K665" s="55" t="s">
        <v>513</v>
      </c>
      <c r="L665" s="58" t="s">
        <v>2600</v>
      </c>
      <c r="M665" s="56"/>
    </row>
    <row r="666" customFormat="false" ht="25.5" hidden="false" customHeight="true" outlineLevel="0" collapsed="false">
      <c r="A666" s="55" t="n">
        <v>662</v>
      </c>
      <c r="B666" s="55" t="s">
        <v>2062</v>
      </c>
      <c r="C666" s="56" t="s">
        <v>2106</v>
      </c>
      <c r="D666" s="55" t="s">
        <v>2107</v>
      </c>
      <c r="E666" s="57" t="n">
        <v>4330</v>
      </c>
      <c r="F666" s="55" t="s">
        <v>26</v>
      </c>
      <c r="G666" s="56" t="s">
        <v>26</v>
      </c>
      <c r="H666" s="55"/>
      <c r="I666" s="55" t="s">
        <v>2920</v>
      </c>
      <c r="J666" s="55" t="s">
        <v>483</v>
      </c>
      <c r="K666" s="55" t="s">
        <v>513</v>
      </c>
      <c r="L666" s="58" t="s">
        <v>2600</v>
      </c>
      <c r="M666" s="56"/>
    </row>
    <row r="667" customFormat="false" ht="25.5" hidden="false" customHeight="true" outlineLevel="0" collapsed="false">
      <c r="A667" s="55" t="n">
        <v>663</v>
      </c>
      <c r="B667" s="55" t="s">
        <v>2062</v>
      </c>
      <c r="C667" s="56" t="s">
        <v>2110</v>
      </c>
      <c r="D667" s="55" t="s">
        <v>2111</v>
      </c>
      <c r="E667" s="57" t="n">
        <v>4501</v>
      </c>
      <c r="F667" s="55" t="s">
        <v>26</v>
      </c>
      <c r="G667" s="56" t="s">
        <v>26</v>
      </c>
      <c r="H667" s="55"/>
      <c r="I667" s="55" t="s">
        <v>2920</v>
      </c>
      <c r="J667" s="55" t="s">
        <v>483</v>
      </c>
      <c r="K667" s="55" t="s">
        <v>513</v>
      </c>
      <c r="L667" s="58" t="s">
        <v>2600</v>
      </c>
      <c r="M667" s="56"/>
    </row>
    <row r="668" customFormat="false" ht="25.5" hidden="false" customHeight="true" outlineLevel="0" collapsed="false">
      <c r="A668" s="55" t="n">
        <v>664</v>
      </c>
      <c r="B668" s="55" t="s">
        <v>2062</v>
      </c>
      <c r="C668" s="56" t="s">
        <v>2108</v>
      </c>
      <c r="D668" s="55" t="s">
        <v>2109</v>
      </c>
      <c r="E668" s="57" t="n">
        <v>21615</v>
      </c>
      <c r="F668" s="55" t="s">
        <v>26</v>
      </c>
      <c r="G668" s="56" t="s">
        <v>26</v>
      </c>
      <c r="H668" s="55"/>
      <c r="I668" s="55" t="s">
        <v>2920</v>
      </c>
      <c r="J668" s="55" t="s">
        <v>483</v>
      </c>
      <c r="K668" s="55" t="s">
        <v>513</v>
      </c>
      <c r="L668" s="58" t="s">
        <v>2600</v>
      </c>
      <c r="M668" s="56"/>
    </row>
    <row r="669" customFormat="false" ht="25.5" hidden="false" customHeight="true" outlineLevel="0" collapsed="false">
      <c r="A669" s="55" t="n">
        <v>665</v>
      </c>
      <c r="B669" s="55" t="s">
        <v>2062</v>
      </c>
      <c r="C669" s="56" t="s">
        <v>2112</v>
      </c>
      <c r="D669" s="55" t="s">
        <v>2113</v>
      </c>
      <c r="E669" s="57" t="n">
        <v>12733</v>
      </c>
      <c r="F669" s="55" t="s">
        <v>26</v>
      </c>
      <c r="G669" s="56" t="s">
        <v>26</v>
      </c>
      <c r="H669" s="55"/>
      <c r="I669" s="55" t="s">
        <v>2920</v>
      </c>
      <c r="J669" s="55" t="s">
        <v>483</v>
      </c>
      <c r="K669" s="55" t="s">
        <v>513</v>
      </c>
      <c r="L669" s="58" t="s">
        <v>2600</v>
      </c>
      <c r="M669" s="56"/>
    </row>
    <row r="670" customFormat="false" ht="25.5" hidden="false" customHeight="true" outlineLevel="0" collapsed="false">
      <c r="A670" s="55" t="n">
        <v>666</v>
      </c>
      <c r="B670" s="55" t="s">
        <v>2062</v>
      </c>
      <c r="C670" s="56" t="s">
        <v>2114</v>
      </c>
      <c r="D670" s="55" t="s">
        <v>2115</v>
      </c>
      <c r="E670" s="57" t="n">
        <v>15245</v>
      </c>
      <c r="F670" s="55" t="s">
        <v>26</v>
      </c>
      <c r="G670" s="56" t="s">
        <v>26</v>
      </c>
      <c r="H670" s="55"/>
      <c r="I670" s="55" t="s">
        <v>2920</v>
      </c>
      <c r="J670" s="55" t="s">
        <v>483</v>
      </c>
      <c r="K670" s="55" t="s">
        <v>513</v>
      </c>
      <c r="L670" s="58" t="s">
        <v>2600</v>
      </c>
      <c r="M670" s="56"/>
    </row>
    <row r="671" customFormat="false" ht="25.5" hidden="false" customHeight="true" outlineLevel="0" collapsed="false">
      <c r="A671" s="55" t="n">
        <v>667</v>
      </c>
      <c r="B671" s="55" t="s">
        <v>2062</v>
      </c>
      <c r="C671" s="56" t="s">
        <v>2924</v>
      </c>
      <c r="D671" s="55" t="s">
        <v>2925</v>
      </c>
      <c r="E671" s="57" t="n">
        <v>305</v>
      </c>
      <c r="F671" s="55" t="s">
        <v>26</v>
      </c>
      <c r="G671" s="56" t="s">
        <v>26</v>
      </c>
      <c r="H671" s="55"/>
      <c r="I671" s="55" t="s">
        <v>2920</v>
      </c>
      <c r="J671" s="55" t="s">
        <v>483</v>
      </c>
      <c r="K671" s="55" t="s">
        <v>513</v>
      </c>
      <c r="L671" s="58" t="s">
        <v>2600</v>
      </c>
      <c r="M671" s="56"/>
    </row>
    <row r="672" customFormat="false" ht="25.5" hidden="false" customHeight="true" outlineLevel="0" collapsed="false">
      <c r="A672" s="55" t="n">
        <v>668</v>
      </c>
      <c r="B672" s="55" t="s">
        <v>2062</v>
      </c>
      <c r="C672" s="56" t="s">
        <v>2116</v>
      </c>
      <c r="D672" s="55" t="s">
        <v>2117</v>
      </c>
      <c r="E672" s="57" t="n">
        <v>2986</v>
      </c>
      <c r="F672" s="55" t="s">
        <v>26</v>
      </c>
      <c r="G672" s="56" t="s">
        <v>26</v>
      </c>
      <c r="H672" s="55"/>
      <c r="I672" s="55" t="s">
        <v>2920</v>
      </c>
      <c r="J672" s="55" t="s">
        <v>483</v>
      </c>
      <c r="K672" s="55" t="s">
        <v>513</v>
      </c>
      <c r="L672" s="58" t="s">
        <v>2600</v>
      </c>
      <c r="M672" s="56"/>
    </row>
    <row r="673" customFormat="false" ht="25.5" hidden="false" customHeight="true" outlineLevel="0" collapsed="false">
      <c r="A673" s="55" t="n">
        <v>669</v>
      </c>
      <c r="B673" s="55" t="s">
        <v>2062</v>
      </c>
      <c r="C673" s="56" t="s">
        <v>2118</v>
      </c>
      <c r="D673" s="55" t="s">
        <v>2119</v>
      </c>
      <c r="E673" s="57" t="n">
        <v>3753</v>
      </c>
      <c r="F673" s="55" t="s">
        <v>26</v>
      </c>
      <c r="G673" s="56" t="s">
        <v>26</v>
      </c>
      <c r="H673" s="55"/>
      <c r="I673" s="55" t="s">
        <v>2920</v>
      </c>
      <c r="J673" s="55" t="s">
        <v>483</v>
      </c>
      <c r="K673" s="55" t="s">
        <v>513</v>
      </c>
      <c r="L673" s="58" t="s">
        <v>2600</v>
      </c>
      <c r="M673" s="56"/>
    </row>
    <row r="674" customFormat="false" ht="25.5" hidden="false" customHeight="true" outlineLevel="0" collapsed="false">
      <c r="A674" s="55" t="n">
        <v>670</v>
      </c>
      <c r="B674" s="55" t="s">
        <v>2062</v>
      </c>
      <c r="C674" s="56" t="s">
        <v>2120</v>
      </c>
      <c r="D674" s="55" t="s">
        <v>2121</v>
      </c>
      <c r="E674" s="57" t="n">
        <v>3160</v>
      </c>
      <c r="F674" s="55" t="s">
        <v>26</v>
      </c>
      <c r="G674" s="56" t="s">
        <v>26</v>
      </c>
      <c r="H674" s="55"/>
      <c r="I674" s="55" t="s">
        <v>2920</v>
      </c>
      <c r="J674" s="55" t="s">
        <v>483</v>
      </c>
      <c r="K674" s="55" t="s">
        <v>513</v>
      </c>
      <c r="L674" s="58" t="s">
        <v>2600</v>
      </c>
      <c r="M674" s="56"/>
    </row>
    <row r="675" customFormat="false" ht="38.25" hidden="false" customHeight="true" outlineLevel="0" collapsed="false">
      <c r="A675" s="55" t="n">
        <v>671</v>
      </c>
      <c r="B675" s="55" t="s">
        <v>2062</v>
      </c>
      <c r="C675" s="56" t="s">
        <v>2122</v>
      </c>
      <c r="D675" s="55" t="s">
        <v>2926</v>
      </c>
      <c r="E675" s="57" t="n">
        <v>36156</v>
      </c>
      <c r="F675" s="55" t="s">
        <v>26</v>
      </c>
      <c r="G675" s="56" t="s">
        <v>26</v>
      </c>
      <c r="H675" s="55"/>
      <c r="I675" s="55" t="s">
        <v>2920</v>
      </c>
      <c r="J675" s="55" t="s">
        <v>483</v>
      </c>
      <c r="K675" s="55" t="s">
        <v>513</v>
      </c>
      <c r="L675" s="58" t="s">
        <v>2600</v>
      </c>
      <c r="M675" s="56"/>
    </row>
    <row r="676" customFormat="false" ht="25.5" hidden="false" customHeight="true" outlineLevel="0" collapsed="false">
      <c r="A676" s="55" t="n">
        <v>672</v>
      </c>
      <c r="B676" s="55" t="s">
        <v>2062</v>
      </c>
      <c r="C676" s="56" t="s">
        <v>2124</v>
      </c>
      <c r="D676" s="55" t="s">
        <v>2125</v>
      </c>
      <c r="E676" s="57" t="n">
        <v>16853</v>
      </c>
      <c r="F676" s="55" t="s">
        <v>26</v>
      </c>
      <c r="G676" s="56" t="s">
        <v>26</v>
      </c>
      <c r="H676" s="55"/>
      <c r="I676" s="55" t="s">
        <v>2920</v>
      </c>
      <c r="J676" s="55" t="s">
        <v>483</v>
      </c>
      <c r="K676" s="55" t="s">
        <v>513</v>
      </c>
      <c r="L676" s="58" t="s">
        <v>2600</v>
      </c>
      <c r="M676" s="56"/>
    </row>
    <row r="677" customFormat="false" ht="25.5" hidden="false" customHeight="true" outlineLevel="0" collapsed="false">
      <c r="A677" s="55" t="n">
        <v>673</v>
      </c>
      <c r="B677" s="55" t="s">
        <v>2062</v>
      </c>
      <c r="C677" s="56" t="s">
        <v>2126</v>
      </c>
      <c r="D677" s="55" t="s">
        <v>2127</v>
      </c>
      <c r="E677" s="57" t="n">
        <v>12802</v>
      </c>
      <c r="F677" s="55" t="s">
        <v>26</v>
      </c>
      <c r="G677" s="56" t="s">
        <v>26</v>
      </c>
      <c r="H677" s="55"/>
      <c r="I677" s="55" t="s">
        <v>2920</v>
      </c>
      <c r="J677" s="55" t="s">
        <v>483</v>
      </c>
      <c r="K677" s="55" t="s">
        <v>513</v>
      </c>
      <c r="L677" s="58" t="s">
        <v>2600</v>
      </c>
      <c r="M677" s="56"/>
    </row>
    <row r="678" customFormat="false" ht="38.25" hidden="false" customHeight="true" outlineLevel="0" collapsed="false">
      <c r="A678" s="55" t="n">
        <v>674</v>
      </c>
      <c r="B678" s="55" t="s">
        <v>2062</v>
      </c>
      <c r="C678" s="56" t="s">
        <v>2128</v>
      </c>
      <c r="D678" s="55" t="s">
        <v>2129</v>
      </c>
      <c r="E678" s="57" t="n">
        <v>37783</v>
      </c>
      <c r="F678" s="55" t="s">
        <v>26</v>
      </c>
      <c r="G678" s="56" t="s">
        <v>26</v>
      </c>
      <c r="H678" s="55"/>
      <c r="I678" s="55" t="s">
        <v>2920</v>
      </c>
      <c r="J678" s="55" t="s">
        <v>483</v>
      </c>
      <c r="K678" s="55" t="s">
        <v>513</v>
      </c>
      <c r="L678" s="58" t="s">
        <v>2600</v>
      </c>
      <c r="M678" s="56"/>
    </row>
    <row r="679" customFormat="false" ht="38.25" hidden="false" customHeight="true" outlineLevel="0" collapsed="false">
      <c r="A679" s="55" t="n">
        <v>675</v>
      </c>
      <c r="B679" s="55" t="s">
        <v>2062</v>
      </c>
      <c r="C679" s="56" t="s">
        <v>2130</v>
      </c>
      <c r="D679" s="55" t="s">
        <v>2131</v>
      </c>
      <c r="E679" s="57" t="n">
        <v>32452</v>
      </c>
      <c r="F679" s="55" t="s">
        <v>26</v>
      </c>
      <c r="G679" s="56" t="s">
        <v>26</v>
      </c>
      <c r="H679" s="55"/>
      <c r="I679" s="55" t="s">
        <v>2920</v>
      </c>
      <c r="J679" s="55" t="s">
        <v>483</v>
      </c>
      <c r="K679" s="55" t="s">
        <v>513</v>
      </c>
      <c r="L679" s="58" t="s">
        <v>2600</v>
      </c>
      <c r="M679" s="56"/>
    </row>
    <row r="680" customFormat="false" ht="38.25" hidden="false" customHeight="true" outlineLevel="0" collapsed="false">
      <c r="A680" s="55" t="n">
        <v>676</v>
      </c>
      <c r="B680" s="55" t="s">
        <v>2062</v>
      </c>
      <c r="C680" s="56" t="s">
        <v>2132</v>
      </c>
      <c r="D680" s="55" t="s">
        <v>2133</v>
      </c>
      <c r="E680" s="57" t="n">
        <v>54134</v>
      </c>
      <c r="F680" s="55" t="s">
        <v>26</v>
      </c>
      <c r="G680" s="56" t="s">
        <v>26</v>
      </c>
      <c r="H680" s="55"/>
      <c r="I680" s="55" t="s">
        <v>2920</v>
      </c>
      <c r="J680" s="55" t="s">
        <v>483</v>
      </c>
      <c r="K680" s="55" t="s">
        <v>513</v>
      </c>
      <c r="L680" s="58" t="s">
        <v>2600</v>
      </c>
      <c r="M680" s="56"/>
    </row>
    <row r="681" customFormat="false" ht="38.25" hidden="false" customHeight="true" outlineLevel="0" collapsed="false">
      <c r="A681" s="55" t="n">
        <v>677</v>
      </c>
      <c r="B681" s="55" t="s">
        <v>2062</v>
      </c>
      <c r="C681" s="56" t="s">
        <v>2134</v>
      </c>
      <c r="D681" s="55" t="s">
        <v>2927</v>
      </c>
      <c r="E681" s="57" t="n">
        <v>62662</v>
      </c>
      <c r="F681" s="55" t="s">
        <v>26</v>
      </c>
      <c r="G681" s="56" t="s">
        <v>26</v>
      </c>
      <c r="H681" s="55"/>
      <c r="I681" s="55" t="s">
        <v>2920</v>
      </c>
      <c r="J681" s="55" t="s">
        <v>483</v>
      </c>
      <c r="K681" s="55" t="s">
        <v>513</v>
      </c>
      <c r="L681" s="58" t="s">
        <v>2600</v>
      </c>
      <c r="M681" s="56"/>
    </row>
    <row r="682" customFormat="false" ht="38.25" hidden="false" customHeight="true" outlineLevel="0" collapsed="false">
      <c r="A682" s="55" t="n">
        <v>678</v>
      </c>
      <c r="B682" s="55" t="s">
        <v>2062</v>
      </c>
      <c r="C682" s="56" t="s">
        <v>2136</v>
      </c>
      <c r="D682" s="55" t="s">
        <v>2137</v>
      </c>
      <c r="E682" s="57" t="n">
        <v>53917</v>
      </c>
      <c r="F682" s="55" t="s">
        <v>26</v>
      </c>
      <c r="G682" s="56" t="s">
        <v>26</v>
      </c>
      <c r="H682" s="55"/>
      <c r="I682" s="55" t="s">
        <v>2920</v>
      </c>
      <c r="J682" s="55" t="s">
        <v>483</v>
      </c>
      <c r="K682" s="55" t="s">
        <v>513</v>
      </c>
      <c r="L682" s="58" t="s">
        <v>2600</v>
      </c>
      <c r="M682" s="56"/>
    </row>
    <row r="683" customFormat="false" ht="38.25" hidden="false" customHeight="true" outlineLevel="0" collapsed="false">
      <c r="A683" s="55" t="n">
        <v>679</v>
      </c>
      <c r="B683" s="55" t="s">
        <v>2062</v>
      </c>
      <c r="C683" s="56" t="s">
        <v>2138</v>
      </c>
      <c r="D683" s="55" t="s">
        <v>2139</v>
      </c>
      <c r="E683" s="57" t="n">
        <v>35586</v>
      </c>
      <c r="F683" s="55" t="s">
        <v>26</v>
      </c>
      <c r="G683" s="56" t="s">
        <v>26</v>
      </c>
      <c r="H683" s="55"/>
      <c r="I683" s="55" t="s">
        <v>2920</v>
      </c>
      <c r="J683" s="55" t="s">
        <v>483</v>
      </c>
      <c r="K683" s="55" t="s">
        <v>513</v>
      </c>
      <c r="L683" s="58" t="s">
        <v>2600</v>
      </c>
      <c r="M683" s="56"/>
    </row>
    <row r="684" customFormat="false" ht="38.25" hidden="false" customHeight="true" outlineLevel="0" collapsed="false">
      <c r="A684" s="55" t="n">
        <v>680</v>
      </c>
      <c r="B684" s="55" t="s">
        <v>2062</v>
      </c>
      <c r="C684" s="56" t="s">
        <v>2140</v>
      </c>
      <c r="D684" s="55" t="s">
        <v>2141</v>
      </c>
      <c r="E684" s="57" t="n">
        <v>55248</v>
      </c>
      <c r="F684" s="55" t="s">
        <v>26</v>
      </c>
      <c r="G684" s="56" t="s">
        <v>26</v>
      </c>
      <c r="H684" s="55"/>
      <c r="I684" s="55" t="s">
        <v>2920</v>
      </c>
      <c r="J684" s="55" t="s">
        <v>483</v>
      </c>
      <c r="K684" s="55" t="s">
        <v>513</v>
      </c>
      <c r="L684" s="58" t="s">
        <v>2600</v>
      </c>
      <c r="M684" s="56"/>
    </row>
    <row r="685" customFormat="false" ht="38.25" hidden="false" customHeight="true" outlineLevel="0" collapsed="false">
      <c r="A685" s="55" t="n">
        <v>681</v>
      </c>
      <c r="B685" s="55" t="s">
        <v>2062</v>
      </c>
      <c r="C685" s="56" t="s">
        <v>2142</v>
      </c>
      <c r="D685" s="55" t="s">
        <v>2143</v>
      </c>
      <c r="E685" s="57" t="n">
        <v>60792</v>
      </c>
      <c r="F685" s="55" t="s">
        <v>26</v>
      </c>
      <c r="G685" s="56" t="s">
        <v>26</v>
      </c>
      <c r="H685" s="55"/>
      <c r="I685" s="55" t="s">
        <v>2920</v>
      </c>
      <c r="J685" s="55" t="s">
        <v>483</v>
      </c>
      <c r="K685" s="55" t="s">
        <v>513</v>
      </c>
      <c r="L685" s="58" t="s">
        <v>2600</v>
      </c>
      <c r="M685" s="56"/>
    </row>
    <row r="686" customFormat="false" ht="38.25" hidden="false" customHeight="true" outlineLevel="0" collapsed="false">
      <c r="A686" s="55" t="n">
        <v>682</v>
      </c>
      <c r="B686" s="55" t="s">
        <v>2062</v>
      </c>
      <c r="C686" s="56" t="s">
        <v>2144</v>
      </c>
      <c r="D686" s="55" t="s">
        <v>2145</v>
      </c>
      <c r="E686" s="57" t="n">
        <v>40851</v>
      </c>
      <c r="F686" s="55" t="s">
        <v>26</v>
      </c>
      <c r="G686" s="56" t="s">
        <v>26</v>
      </c>
      <c r="H686" s="55"/>
      <c r="I686" s="55" t="s">
        <v>2920</v>
      </c>
      <c r="J686" s="55" t="s">
        <v>483</v>
      </c>
      <c r="K686" s="55" t="s">
        <v>513</v>
      </c>
      <c r="L686" s="58" t="s">
        <v>2600</v>
      </c>
      <c r="M686" s="56"/>
    </row>
    <row r="687" customFormat="false" ht="38.25" hidden="false" customHeight="true" outlineLevel="0" collapsed="false">
      <c r="A687" s="55" t="n">
        <v>683</v>
      </c>
      <c r="B687" s="55" t="s">
        <v>2062</v>
      </c>
      <c r="C687" s="56" t="s">
        <v>2146</v>
      </c>
      <c r="D687" s="55" t="s">
        <v>2147</v>
      </c>
      <c r="E687" s="57" t="n">
        <v>25982</v>
      </c>
      <c r="F687" s="55" t="s">
        <v>26</v>
      </c>
      <c r="G687" s="56" t="s">
        <v>26</v>
      </c>
      <c r="H687" s="55"/>
      <c r="I687" s="55" t="s">
        <v>2920</v>
      </c>
      <c r="J687" s="55" t="s">
        <v>483</v>
      </c>
      <c r="K687" s="55" t="s">
        <v>513</v>
      </c>
      <c r="L687" s="58" t="s">
        <v>2600</v>
      </c>
      <c r="M687" s="56"/>
    </row>
    <row r="688" customFormat="false" ht="38.25" hidden="false" customHeight="true" outlineLevel="0" collapsed="false">
      <c r="A688" s="55" t="n">
        <v>684</v>
      </c>
      <c r="B688" s="55" t="s">
        <v>2062</v>
      </c>
      <c r="C688" s="56" t="s">
        <v>2148</v>
      </c>
      <c r="D688" s="55" t="s">
        <v>2149</v>
      </c>
      <c r="E688" s="57" t="n">
        <v>32728</v>
      </c>
      <c r="F688" s="55" t="s">
        <v>26</v>
      </c>
      <c r="G688" s="56" t="s">
        <v>26</v>
      </c>
      <c r="H688" s="55"/>
      <c r="I688" s="55" t="s">
        <v>2920</v>
      </c>
      <c r="J688" s="55" t="s">
        <v>483</v>
      </c>
      <c r="K688" s="55" t="s">
        <v>513</v>
      </c>
      <c r="L688" s="58" t="s">
        <v>2600</v>
      </c>
      <c r="M688" s="56"/>
    </row>
    <row r="689" customFormat="false" ht="38.25" hidden="false" customHeight="true" outlineLevel="0" collapsed="false">
      <c r="A689" s="55" t="n">
        <v>685</v>
      </c>
      <c r="B689" s="55" t="s">
        <v>2062</v>
      </c>
      <c r="C689" s="56" t="s">
        <v>2150</v>
      </c>
      <c r="D689" s="55" t="s">
        <v>2151</v>
      </c>
      <c r="E689" s="57" t="n">
        <v>24538</v>
      </c>
      <c r="F689" s="55" t="s">
        <v>26</v>
      </c>
      <c r="G689" s="56" t="s">
        <v>26</v>
      </c>
      <c r="H689" s="55"/>
      <c r="I689" s="55" t="s">
        <v>2920</v>
      </c>
      <c r="J689" s="55" t="s">
        <v>483</v>
      </c>
      <c r="K689" s="55" t="s">
        <v>513</v>
      </c>
      <c r="L689" s="58" t="s">
        <v>2600</v>
      </c>
      <c r="M689" s="56"/>
    </row>
    <row r="690" customFormat="false" ht="38.25" hidden="false" customHeight="true" outlineLevel="0" collapsed="false">
      <c r="A690" s="55" t="n">
        <v>686</v>
      </c>
      <c r="B690" s="55" t="s">
        <v>2062</v>
      </c>
      <c r="C690" s="56" t="s">
        <v>2176</v>
      </c>
      <c r="D690" s="55" t="s">
        <v>2177</v>
      </c>
      <c r="E690" s="57" t="n">
        <v>43620</v>
      </c>
      <c r="F690" s="55" t="s">
        <v>26</v>
      </c>
      <c r="G690" s="56" t="s">
        <v>26</v>
      </c>
      <c r="H690" s="55"/>
      <c r="I690" s="55" t="s">
        <v>2920</v>
      </c>
      <c r="J690" s="55" t="s">
        <v>483</v>
      </c>
      <c r="K690" s="55" t="s">
        <v>513</v>
      </c>
      <c r="L690" s="58" t="s">
        <v>2600</v>
      </c>
      <c r="M690" s="56"/>
    </row>
    <row r="691" customFormat="false" ht="25.5" hidden="false" customHeight="true" outlineLevel="0" collapsed="false">
      <c r="A691" s="55" t="n">
        <v>687</v>
      </c>
      <c r="B691" s="55" t="s">
        <v>2062</v>
      </c>
      <c r="C691" s="56" t="s">
        <v>2152</v>
      </c>
      <c r="D691" s="55" t="s">
        <v>2153</v>
      </c>
      <c r="E691" s="57" t="n">
        <v>19902</v>
      </c>
      <c r="F691" s="55" t="s">
        <v>26</v>
      </c>
      <c r="G691" s="56" t="s">
        <v>26</v>
      </c>
      <c r="H691" s="55"/>
      <c r="I691" s="55" t="s">
        <v>2920</v>
      </c>
      <c r="J691" s="55" t="s">
        <v>483</v>
      </c>
      <c r="K691" s="55" t="s">
        <v>513</v>
      </c>
      <c r="L691" s="58" t="s">
        <v>2600</v>
      </c>
      <c r="M691" s="56"/>
    </row>
    <row r="692" customFormat="false" ht="25.5" hidden="false" customHeight="true" outlineLevel="0" collapsed="false">
      <c r="A692" s="55" t="n">
        <v>688</v>
      </c>
      <c r="B692" s="55" t="s">
        <v>2062</v>
      </c>
      <c r="C692" s="56" t="s">
        <v>2154</v>
      </c>
      <c r="D692" s="55" t="s">
        <v>2155</v>
      </c>
      <c r="E692" s="57" t="n">
        <v>16559</v>
      </c>
      <c r="F692" s="55" t="s">
        <v>26</v>
      </c>
      <c r="G692" s="56" t="s">
        <v>26</v>
      </c>
      <c r="H692" s="55"/>
      <c r="I692" s="55" t="s">
        <v>2920</v>
      </c>
      <c r="J692" s="55" t="s">
        <v>483</v>
      </c>
      <c r="K692" s="55" t="s">
        <v>513</v>
      </c>
      <c r="L692" s="58" t="s">
        <v>2600</v>
      </c>
      <c r="M692" s="56"/>
    </row>
    <row r="693" customFormat="false" ht="25.5" hidden="false" customHeight="true" outlineLevel="0" collapsed="false">
      <c r="A693" s="55" t="n">
        <v>689</v>
      </c>
      <c r="B693" s="55" t="s">
        <v>2062</v>
      </c>
      <c r="C693" s="56" t="s">
        <v>2156</v>
      </c>
      <c r="D693" s="55" t="s">
        <v>2157</v>
      </c>
      <c r="E693" s="57" t="n">
        <v>10243</v>
      </c>
      <c r="F693" s="55" t="s">
        <v>26</v>
      </c>
      <c r="G693" s="56" t="s">
        <v>26</v>
      </c>
      <c r="H693" s="55"/>
      <c r="I693" s="55" t="s">
        <v>2920</v>
      </c>
      <c r="J693" s="55" t="s">
        <v>483</v>
      </c>
      <c r="K693" s="55" t="s">
        <v>513</v>
      </c>
      <c r="L693" s="58" t="s">
        <v>2600</v>
      </c>
      <c r="M693" s="56"/>
    </row>
    <row r="694" customFormat="false" ht="25.5" hidden="false" customHeight="true" outlineLevel="0" collapsed="false">
      <c r="A694" s="55" t="n">
        <v>690</v>
      </c>
      <c r="B694" s="55" t="s">
        <v>2062</v>
      </c>
      <c r="C694" s="56" t="s">
        <v>2158</v>
      </c>
      <c r="D694" s="55" t="s">
        <v>2159</v>
      </c>
      <c r="E694" s="57" t="n">
        <v>5884</v>
      </c>
      <c r="F694" s="55" t="s">
        <v>26</v>
      </c>
      <c r="G694" s="56" t="s">
        <v>26</v>
      </c>
      <c r="H694" s="55"/>
      <c r="I694" s="55" t="s">
        <v>2920</v>
      </c>
      <c r="J694" s="55" t="s">
        <v>483</v>
      </c>
      <c r="K694" s="55" t="s">
        <v>513</v>
      </c>
      <c r="L694" s="58" t="s">
        <v>2600</v>
      </c>
      <c r="M694" s="56"/>
    </row>
    <row r="695" customFormat="false" ht="25.5" hidden="false" customHeight="true" outlineLevel="0" collapsed="false">
      <c r="A695" s="55" t="n">
        <v>691</v>
      </c>
      <c r="B695" s="55" t="s">
        <v>2062</v>
      </c>
      <c r="C695" s="56" t="s">
        <v>2160</v>
      </c>
      <c r="D695" s="55" t="s">
        <v>2161</v>
      </c>
      <c r="E695" s="57" t="n">
        <v>29453</v>
      </c>
      <c r="F695" s="55" t="s">
        <v>26</v>
      </c>
      <c r="G695" s="56" t="s">
        <v>26</v>
      </c>
      <c r="H695" s="55"/>
      <c r="I695" s="55" t="s">
        <v>2920</v>
      </c>
      <c r="J695" s="55" t="s">
        <v>483</v>
      </c>
      <c r="K695" s="55" t="s">
        <v>513</v>
      </c>
      <c r="L695" s="58" t="s">
        <v>2600</v>
      </c>
      <c r="M695" s="56"/>
    </row>
    <row r="696" customFormat="false" ht="25.5" hidden="false" customHeight="true" outlineLevel="0" collapsed="false">
      <c r="A696" s="55" t="n">
        <v>692</v>
      </c>
      <c r="B696" s="55" t="s">
        <v>2062</v>
      </c>
      <c r="C696" s="56" t="s">
        <v>2162</v>
      </c>
      <c r="D696" s="55" t="s">
        <v>2163</v>
      </c>
      <c r="E696" s="57" t="n">
        <v>6708</v>
      </c>
      <c r="F696" s="55" t="s">
        <v>26</v>
      </c>
      <c r="G696" s="56" t="s">
        <v>26</v>
      </c>
      <c r="H696" s="55"/>
      <c r="I696" s="55" t="s">
        <v>2920</v>
      </c>
      <c r="J696" s="55" t="s">
        <v>483</v>
      </c>
      <c r="K696" s="55" t="s">
        <v>513</v>
      </c>
      <c r="L696" s="58" t="s">
        <v>2600</v>
      </c>
      <c r="M696" s="56"/>
    </row>
    <row r="697" customFormat="false" ht="25.5" hidden="false" customHeight="true" outlineLevel="0" collapsed="false">
      <c r="A697" s="55" t="n">
        <v>693</v>
      </c>
      <c r="B697" s="55" t="s">
        <v>2062</v>
      </c>
      <c r="C697" s="56" t="s">
        <v>2164</v>
      </c>
      <c r="D697" s="55" t="s">
        <v>2165</v>
      </c>
      <c r="E697" s="57" t="n">
        <v>11365</v>
      </c>
      <c r="F697" s="55" t="s">
        <v>26</v>
      </c>
      <c r="G697" s="56" t="s">
        <v>26</v>
      </c>
      <c r="H697" s="55"/>
      <c r="I697" s="55" t="s">
        <v>2920</v>
      </c>
      <c r="J697" s="55" t="s">
        <v>483</v>
      </c>
      <c r="K697" s="55" t="s">
        <v>513</v>
      </c>
      <c r="L697" s="58" t="s">
        <v>2600</v>
      </c>
      <c r="M697" s="56"/>
    </row>
    <row r="698" customFormat="false" ht="25.5" hidden="false" customHeight="true" outlineLevel="0" collapsed="false">
      <c r="A698" s="55" t="n">
        <v>694</v>
      </c>
      <c r="B698" s="55" t="s">
        <v>2062</v>
      </c>
      <c r="C698" s="56" t="s">
        <v>2166</v>
      </c>
      <c r="D698" s="55" t="s">
        <v>2167</v>
      </c>
      <c r="E698" s="57" t="n">
        <v>3464</v>
      </c>
      <c r="F698" s="55" t="s">
        <v>26</v>
      </c>
      <c r="G698" s="56" t="s">
        <v>26</v>
      </c>
      <c r="H698" s="55"/>
      <c r="I698" s="55" t="s">
        <v>2920</v>
      </c>
      <c r="J698" s="55" t="s">
        <v>483</v>
      </c>
      <c r="K698" s="55" t="s">
        <v>513</v>
      </c>
      <c r="L698" s="58" t="s">
        <v>2600</v>
      </c>
      <c r="M698" s="56"/>
    </row>
    <row r="699" customFormat="false" ht="25.5" hidden="false" customHeight="true" outlineLevel="0" collapsed="false">
      <c r="A699" s="55" t="n">
        <v>695</v>
      </c>
      <c r="B699" s="55" t="s">
        <v>2062</v>
      </c>
      <c r="C699" s="56" t="s">
        <v>2168</v>
      </c>
      <c r="D699" s="55" t="s">
        <v>2169</v>
      </c>
      <c r="E699" s="57" t="n">
        <v>22764</v>
      </c>
      <c r="F699" s="55" t="s">
        <v>26</v>
      </c>
      <c r="G699" s="56" t="s">
        <v>26</v>
      </c>
      <c r="H699" s="55"/>
      <c r="I699" s="55" t="s">
        <v>2920</v>
      </c>
      <c r="J699" s="55" t="s">
        <v>483</v>
      </c>
      <c r="K699" s="55" t="s">
        <v>513</v>
      </c>
      <c r="L699" s="58" t="s">
        <v>2600</v>
      </c>
      <c r="M699" s="56"/>
    </row>
    <row r="700" customFormat="false" ht="25.5" hidden="false" customHeight="true" outlineLevel="0" collapsed="false">
      <c r="A700" s="55" t="n">
        <v>696</v>
      </c>
      <c r="B700" s="55" t="s">
        <v>2062</v>
      </c>
      <c r="C700" s="56" t="s">
        <v>2170</v>
      </c>
      <c r="D700" s="55" t="s">
        <v>2171</v>
      </c>
      <c r="E700" s="57" t="n">
        <v>5963</v>
      </c>
      <c r="F700" s="55" t="s">
        <v>26</v>
      </c>
      <c r="G700" s="56" t="s">
        <v>26</v>
      </c>
      <c r="H700" s="55"/>
      <c r="I700" s="55" t="s">
        <v>2920</v>
      </c>
      <c r="J700" s="55" t="s">
        <v>483</v>
      </c>
      <c r="K700" s="55" t="s">
        <v>513</v>
      </c>
      <c r="L700" s="58" t="s">
        <v>2600</v>
      </c>
      <c r="M700" s="56"/>
    </row>
    <row r="701" customFormat="false" ht="25.5" hidden="false" customHeight="true" outlineLevel="0" collapsed="false">
      <c r="A701" s="55" t="n">
        <v>697</v>
      </c>
      <c r="B701" s="55" t="s">
        <v>2062</v>
      </c>
      <c r="C701" s="56" t="s">
        <v>2928</v>
      </c>
      <c r="D701" s="55"/>
      <c r="E701" s="57" t="n">
        <v>1725</v>
      </c>
      <c r="F701" s="55" t="s">
        <v>26</v>
      </c>
      <c r="G701" s="56" t="s">
        <v>26</v>
      </c>
      <c r="H701" s="55"/>
      <c r="I701" s="55" t="s">
        <v>2920</v>
      </c>
      <c r="J701" s="55" t="s">
        <v>483</v>
      </c>
      <c r="K701" s="55" t="s">
        <v>513</v>
      </c>
      <c r="L701" s="58" t="s">
        <v>2600</v>
      </c>
      <c r="M701" s="56"/>
    </row>
    <row r="702" customFormat="false" ht="25.5" hidden="false" customHeight="true" outlineLevel="0" collapsed="false">
      <c r="A702" s="55" t="n">
        <v>698</v>
      </c>
      <c r="B702" s="55" t="s">
        <v>2062</v>
      </c>
      <c r="C702" s="56" t="s">
        <v>2172</v>
      </c>
      <c r="D702" s="55" t="s">
        <v>2173</v>
      </c>
      <c r="E702" s="57" t="n">
        <v>4037</v>
      </c>
      <c r="F702" s="55" t="s">
        <v>26</v>
      </c>
      <c r="G702" s="56" t="s">
        <v>26</v>
      </c>
      <c r="H702" s="55"/>
      <c r="I702" s="55" t="s">
        <v>2920</v>
      </c>
      <c r="J702" s="55" t="s">
        <v>483</v>
      </c>
      <c r="K702" s="55" t="s">
        <v>513</v>
      </c>
      <c r="L702" s="58" t="s">
        <v>2600</v>
      </c>
      <c r="M702" s="56"/>
    </row>
    <row r="703" customFormat="false" ht="25.5" hidden="false" customHeight="true" outlineLevel="0" collapsed="false">
      <c r="A703" s="55" t="n">
        <v>699</v>
      </c>
      <c r="B703" s="55" t="s">
        <v>2062</v>
      </c>
      <c r="C703" s="56" t="s">
        <v>2174</v>
      </c>
      <c r="D703" s="55" t="s">
        <v>2175</v>
      </c>
      <c r="E703" s="57" t="n">
        <v>6031</v>
      </c>
      <c r="F703" s="55" t="s">
        <v>26</v>
      </c>
      <c r="G703" s="56" t="s">
        <v>26</v>
      </c>
      <c r="H703" s="55"/>
      <c r="I703" s="55" t="s">
        <v>2920</v>
      </c>
      <c r="J703" s="55" t="s">
        <v>483</v>
      </c>
      <c r="K703" s="55" t="s">
        <v>513</v>
      </c>
      <c r="L703" s="58" t="s">
        <v>2600</v>
      </c>
      <c r="M703" s="56"/>
    </row>
    <row r="704" customFormat="false" ht="25.5" hidden="false" customHeight="true" outlineLevel="0" collapsed="false">
      <c r="A704" s="55" t="n">
        <v>700</v>
      </c>
      <c r="B704" s="55" t="s">
        <v>2062</v>
      </c>
      <c r="C704" s="56" t="s">
        <v>1983</v>
      </c>
      <c r="D704" s="55" t="s">
        <v>1984</v>
      </c>
      <c r="E704" s="57" t="n">
        <v>23119</v>
      </c>
      <c r="F704" s="55" t="s">
        <v>26</v>
      </c>
      <c r="G704" s="56" t="s">
        <v>26</v>
      </c>
      <c r="H704" s="55"/>
      <c r="I704" s="55" t="s">
        <v>2920</v>
      </c>
      <c r="J704" s="55" t="s">
        <v>483</v>
      </c>
      <c r="K704" s="55" t="s">
        <v>513</v>
      </c>
      <c r="L704" s="58" t="s">
        <v>2600</v>
      </c>
      <c r="M704" s="56"/>
    </row>
    <row r="705" customFormat="false" ht="25.5" hidden="false" customHeight="true" outlineLevel="0" collapsed="false">
      <c r="A705" s="55" t="n">
        <v>701</v>
      </c>
      <c r="B705" s="55" t="s">
        <v>2062</v>
      </c>
      <c r="C705" s="56" t="s">
        <v>2178</v>
      </c>
      <c r="D705" s="55" t="s">
        <v>2929</v>
      </c>
      <c r="E705" s="57" t="n">
        <v>3472</v>
      </c>
      <c r="F705" s="55" t="s">
        <v>26</v>
      </c>
      <c r="G705" s="56" t="s">
        <v>26</v>
      </c>
      <c r="H705" s="55"/>
      <c r="I705" s="55" t="s">
        <v>2920</v>
      </c>
      <c r="J705" s="55" t="s">
        <v>483</v>
      </c>
      <c r="K705" s="55" t="s">
        <v>513</v>
      </c>
      <c r="L705" s="58" t="s">
        <v>2600</v>
      </c>
      <c r="M705" s="56"/>
    </row>
    <row r="706" customFormat="false" ht="15" hidden="false" customHeight="false" outlineLevel="0" collapsed="false">
      <c r="A706" s="16"/>
      <c r="B706" s="16"/>
      <c r="C706" s="16" t="s">
        <v>2180</v>
      </c>
      <c r="D706" s="16"/>
      <c r="E706" s="63" t="n">
        <f aca="false">SUM(E5:E705)</f>
        <v>20474483</v>
      </c>
      <c r="F706" s="16"/>
      <c r="G706" s="16"/>
      <c r="H706" s="16"/>
      <c r="I706" s="16"/>
      <c r="J706" s="16"/>
      <c r="K706" s="16"/>
      <c r="L706" s="16"/>
      <c r="M706" s="16"/>
    </row>
  </sheetData>
  <autoFilter ref="A4:M706"/>
  <hyperlinks>
    <hyperlink ref="H386" r:id="rId1" display="https://www.goszakup.gov.kz/ru/registry/show_supplier/17198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2026-10-04T05:57:14Z</dcterms:created>
  <dc:creator>openpyxl</dc:creator>
  <dc:description/>
  <dc:language>en-US</dc:language>
  <cp:lastModifiedBy>⁠Sarsenova Rita</cp:lastModifiedBy>
  <dcterms:modified xsi:type="dcterms:W3CDTF">2026-10-05T12:33:34Z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