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чет Кплотн СМП" sheetId="1" state="visible" r:id="rId3"/>
    <sheet name="Моделирование СМП" sheetId="2" state="visible" r:id="rId4"/>
    <sheet name="Площадь МСХ" sheetId="3" state="visible" r:id="rId5"/>
    <sheet name="РПН по регионам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Включая г. Байконыр 5,498 тыс. га (54,98 км²) – площадь города без территории космодрома по генеральному плану (постановление Правительства РК от 02.11.2016 № 656); в ответе МСХ отсутствует. Население МО г. Байконыр учтено в РПН по Кызылординской области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9</xdr:row>
                <xdr:rowOff>10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В ответе МСХ область обозначена как «Павлодар қаласы» – это районы и города Павлодарской области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Приказ № ҚР ДСМ-170/2020 (ред. 31.12.2025), приложение 16: подушевой норматив СМП 362,76 тенге для всех регионов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-76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<sst xmlns="http://schemas.openxmlformats.org/spreadsheetml/2006/main" count="522" uniqueCount="300">
  <si>
    <t xml:space="preserve">Коэффициент плотности населения для СМП по приказу № ҚР ДСМ-309/2020: Кплотн.обл = 1 + В × Плотн.РК / Пнас.обл</t>
  </si>
  <si>
    <t xml:space="preserve">Численность – ЦС «РПН» на 01.01.2026; площадь – МСХ РК на 01.01.2026; сравнение – приказ № ҚР ДСМ-170/2020 (ред. 31.12.2025), прил. 2 к подушевому нормативу СМП.</t>
  </si>
  <si>
    <t xml:space="preserve">В (коэффициент корреляции Пирсона плотности и численности по областям, без городов республиканского значения и столицы):</t>
  </si>
  <si>
    <t xml:space="preserve">Плотн.РК, чел./км²:</t>
  </si>
  <si>
    <t xml:space="preserve">Регион</t>
  </si>
  <si>
    <t xml:space="preserve">Площадь, тыс. га (МСХ)</t>
  </si>
  <si>
    <t xml:space="preserve">Площадь, км²</t>
  </si>
  <si>
    <t xml:space="preserve">Прикреплённое население РПН на 01.01.2026, чел.</t>
  </si>
  <si>
    <t xml:space="preserve">Плотность, чел./км²</t>
  </si>
  <si>
    <t xml:space="preserve">Кплотн расчётный</t>
  </si>
  <si>
    <t xml:space="preserve">Кплотн по приказу № 309</t>
  </si>
  <si>
    <t xml:space="preserve">Кплотн по приказу № 170</t>
  </si>
  <si>
    <t xml:space="preserve">Изменение</t>
  </si>
  <si>
    <t xml:space="preserve">Итого по РК</t>
  </si>
  <si>
    <t xml:space="preserve">Абайская область</t>
  </si>
  <si>
    <t xml:space="preserve">Акмолинская область</t>
  </si>
  <si>
    <t xml:space="preserve">Актюбинская область</t>
  </si>
  <si>
    <t xml:space="preserve">Алматинская область</t>
  </si>
  <si>
    <t xml:space="preserve">Атырауская область</t>
  </si>
  <si>
    <t xml:space="preserve">Западно-Казахстанская область</t>
  </si>
  <si>
    <t xml:space="preserve">Жамбылская область</t>
  </si>
  <si>
    <t xml:space="preserve">Жетысуская область</t>
  </si>
  <si>
    <t xml:space="preserve">Карагандинская область</t>
  </si>
  <si>
    <t xml:space="preserve">Костанайская область</t>
  </si>
  <si>
    <t xml:space="preserve">Кызылординская область</t>
  </si>
  <si>
    <t xml:space="preserve">Мангистауская область</t>
  </si>
  <si>
    <t xml:space="preserve">Павлодарская область</t>
  </si>
  <si>
    <t xml:space="preserve">Северо-Казахстанская область</t>
  </si>
  <si>
    <t xml:space="preserve">Туркестанская область</t>
  </si>
  <si>
    <t xml:space="preserve">Улытауская область</t>
  </si>
  <si>
    <t xml:space="preserve">Восточно-Казахстанская область</t>
  </si>
  <si>
    <t xml:space="preserve">город Шымкент</t>
  </si>
  <si>
    <t xml:space="preserve">город Алматы</t>
  </si>
  <si>
    <t xml:space="preserve">город Астана</t>
  </si>
  <si>
    <t xml:space="preserve">Кплотн по приказу № 309 для СМП: рассчитывается по области; для городов республиканского значения и столицы равен 1,0; расчётный коэффициент выше 2 принимается равным 2. Вес В рассчитывается без городов республиканского значения и столицы (строки 8–24), как и для ПМСП.</t>
  </si>
  <si>
    <t xml:space="preserve">Потребность СМП на коэффициент плотности населения, тыс. тенге в год</t>
  </si>
  <si>
    <t xml:space="preserve">Подушевой норматив СМП, тенге на 1 прикреплённого в месяц</t>
  </si>
  <si>
    <t xml:space="preserve">Количество месяцев</t>
  </si>
  <si>
    <t xml:space="preserve">Расходы = Ч (РПН на 01.08.2026) × 12 × ПН СМП × Кплотн / 1000; другие поправочные коэффициенты не применяются</t>
  </si>
  <si>
    <t xml:space="preserve">Прикреплённое население РПН на 01.08.2026, чел.</t>
  </si>
  <si>
    <t xml:space="preserve">Расходы при Кплотн по приказу № 170</t>
  </si>
  <si>
    <t xml:space="preserve">Расходы при Кплотн по приказу № 309</t>
  </si>
  <si>
    <t xml:space="preserve">Потребность</t>
  </si>
  <si>
    <t xml:space="preserve">%</t>
  </si>
  <si>
    <t xml:space="preserve">Площадь районов и городов на 01.01.2026 (ответ МСХ РК), тыс. га</t>
  </si>
  <si>
    <t xml:space="preserve">Регион (МСХ)</t>
  </si>
  <si>
    <t xml:space="preserve">Район</t>
  </si>
  <si>
    <t xml:space="preserve">Площадь, тыс. га</t>
  </si>
  <si>
    <t xml:space="preserve">Абай облысы</t>
  </si>
  <si>
    <t xml:space="preserve">Абайский</t>
  </si>
  <si>
    <t xml:space="preserve">Аксуатский</t>
  </si>
  <si>
    <t xml:space="preserve">Аягозский</t>
  </si>
  <si>
    <t xml:space="preserve">Бескарагайский</t>
  </si>
  <si>
    <t xml:space="preserve">Бородулихинский</t>
  </si>
  <si>
    <t xml:space="preserve">район Жаңасемей</t>
  </si>
  <si>
    <t xml:space="preserve">Жарминский</t>
  </si>
  <si>
    <t xml:space="preserve">Кокпектинский</t>
  </si>
  <si>
    <t xml:space="preserve">район Мақаншы</t>
  </si>
  <si>
    <t xml:space="preserve">Урджарский</t>
  </si>
  <si>
    <t xml:space="preserve">г.Курчатов</t>
  </si>
  <si>
    <t xml:space="preserve">г.Семей</t>
  </si>
  <si>
    <t xml:space="preserve">Ақмола облысы</t>
  </si>
  <si>
    <t xml:space="preserve">Аккольский</t>
  </si>
  <si>
    <t xml:space="preserve">Аршалынский</t>
  </si>
  <si>
    <t xml:space="preserve">Астраханский</t>
  </si>
  <si>
    <t xml:space="preserve">Атбасарский</t>
  </si>
  <si>
    <t xml:space="preserve">Буландынский</t>
  </si>
  <si>
    <t xml:space="preserve">Бурабайский</t>
  </si>
  <si>
    <t xml:space="preserve">Биржан Сал</t>
  </si>
  <si>
    <t xml:space="preserve">Егиндыкольский</t>
  </si>
  <si>
    <t xml:space="preserve">Ерейментауский</t>
  </si>
  <si>
    <t xml:space="preserve">Есильский</t>
  </si>
  <si>
    <t xml:space="preserve">Жаксынский</t>
  </si>
  <si>
    <t xml:space="preserve">Жаркаинский</t>
  </si>
  <si>
    <t xml:space="preserve">Зерендинский</t>
  </si>
  <si>
    <t xml:space="preserve">Коргалжынский</t>
  </si>
  <si>
    <t xml:space="preserve">Сандыктауский</t>
  </si>
  <si>
    <t xml:space="preserve">Целиноградский</t>
  </si>
  <si>
    <t xml:space="preserve">Шортандинский</t>
  </si>
  <si>
    <t xml:space="preserve">г.Кокшетау</t>
  </si>
  <si>
    <t xml:space="preserve">г.Косшы</t>
  </si>
  <si>
    <t xml:space="preserve">г.Степногорск</t>
  </si>
  <si>
    <t xml:space="preserve">Ақтөбе облысы</t>
  </si>
  <si>
    <t xml:space="preserve">Айтекебийский</t>
  </si>
  <si>
    <t xml:space="preserve">Алгинский</t>
  </si>
  <si>
    <t xml:space="preserve">Байганинский</t>
  </si>
  <si>
    <t xml:space="preserve">Иргизский</t>
  </si>
  <si>
    <t xml:space="preserve">Каргалинский</t>
  </si>
  <si>
    <t xml:space="preserve">Кобдинский</t>
  </si>
  <si>
    <t xml:space="preserve">Мартукский</t>
  </si>
  <si>
    <t xml:space="preserve">Мугалжарский</t>
  </si>
  <si>
    <t xml:space="preserve">Темирский</t>
  </si>
  <si>
    <t xml:space="preserve">Уилский</t>
  </si>
  <si>
    <t xml:space="preserve">Хромтауский</t>
  </si>
  <si>
    <t xml:space="preserve">Шалкарский</t>
  </si>
  <si>
    <t xml:space="preserve">г. Актобе</t>
  </si>
  <si>
    <t xml:space="preserve">Алматы облысы</t>
  </si>
  <si>
    <t xml:space="preserve">Балхашский</t>
  </si>
  <si>
    <t xml:space="preserve">Енбекшиказахский</t>
  </si>
  <si>
    <t xml:space="preserve">Жамбылский</t>
  </si>
  <si>
    <t xml:space="preserve">Илийский</t>
  </si>
  <si>
    <t xml:space="preserve">Карасайский</t>
  </si>
  <si>
    <t xml:space="preserve">Кегенский</t>
  </si>
  <si>
    <t xml:space="preserve">Райымбекский</t>
  </si>
  <si>
    <t xml:space="preserve">Талгарский</t>
  </si>
  <si>
    <t xml:space="preserve">Уйгурский</t>
  </si>
  <si>
    <t xml:space="preserve">г. Алатау</t>
  </si>
  <si>
    <t xml:space="preserve">г. Конаев</t>
  </si>
  <si>
    <t xml:space="preserve">Атырау облысы</t>
  </si>
  <si>
    <t xml:space="preserve">Жылыойский</t>
  </si>
  <si>
    <t xml:space="preserve">Индерский</t>
  </si>
  <si>
    <t xml:space="preserve">Исатайский</t>
  </si>
  <si>
    <t xml:space="preserve">Курмангазинский</t>
  </si>
  <si>
    <t xml:space="preserve">Кызылкогинский</t>
  </si>
  <si>
    <t xml:space="preserve">Макатский</t>
  </si>
  <si>
    <t xml:space="preserve">Махамбетский</t>
  </si>
  <si>
    <t xml:space="preserve">г.Атырау</t>
  </si>
  <si>
    <t xml:space="preserve">Шығыс Қазақстан облысы</t>
  </si>
  <si>
    <t xml:space="preserve">район Алтай</t>
  </si>
  <si>
    <t xml:space="preserve">Глубоковский</t>
  </si>
  <si>
    <t xml:space="preserve">Зайсанский</t>
  </si>
  <si>
    <t xml:space="preserve">Катон-Карагайский</t>
  </si>
  <si>
    <t xml:space="preserve">Курчумский</t>
  </si>
  <si>
    <t xml:space="preserve">район Марқакөл</t>
  </si>
  <si>
    <t xml:space="preserve">район Самар</t>
  </si>
  <si>
    <t xml:space="preserve">Тарбагатайский</t>
  </si>
  <si>
    <t xml:space="preserve">район Үлкен Нарын</t>
  </si>
  <si>
    <t xml:space="preserve">Уланский</t>
  </si>
  <si>
    <t xml:space="preserve">Шемонаихинский</t>
  </si>
  <si>
    <t xml:space="preserve">г.Риддер</t>
  </si>
  <si>
    <t xml:space="preserve">г.Усть-Каменогорск</t>
  </si>
  <si>
    <t xml:space="preserve">Жамбыл облысы</t>
  </si>
  <si>
    <t xml:space="preserve">Байзакский</t>
  </si>
  <si>
    <t xml:space="preserve">Жуалынский</t>
  </si>
  <si>
    <t xml:space="preserve">Кордайский</t>
  </si>
  <si>
    <t xml:space="preserve">Меркенский</t>
  </si>
  <si>
    <t xml:space="preserve">Мойынкумский</t>
  </si>
  <si>
    <t xml:space="preserve">Сарысуский</t>
  </si>
  <si>
    <t xml:space="preserve">Таласский</t>
  </si>
  <si>
    <t xml:space="preserve">Турар Рыскулов</t>
  </si>
  <si>
    <t xml:space="preserve">Шуский</t>
  </si>
  <si>
    <t xml:space="preserve">г. Тараз</t>
  </si>
  <si>
    <t xml:space="preserve">Жетісу облысы</t>
  </si>
  <si>
    <t xml:space="preserve">Аксуский</t>
  </si>
  <si>
    <t xml:space="preserve">Алакольский</t>
  </si>
  <si>
    <t xml:space="preserve">Ескельдинский</t>
  </si>
  <si>
    <t xml:space="preserve">Каратальский</t>
  </si>
  <si>
    <t xml:space="preserve">Кербулакский</t>
  </si>
  <si>
    <t xml:space="preserve">Коксуский</t>
  </si>
  <si>
    <t xml:space="preserve">Панфиловский</t>
  </si>
  <si>
    <t xml:space="preserve">Саркандский</t>
  </si>
  <si>
    <t xml:space="preserve">г.Талдыкорган</t>
  </si>
  <si>
    <t xml:space="preserve">г.Текели</t>
  </si>
  <si>
    <t xml:space="preserve">Батыс Қазақстан облысы</t>
  </si>
  <si>
    <t xml:space="preserve">Акжаикский</t>
  </si>
  <si>
    <t xml:space="preserve">район Байтерек (Зеленовский)</t>
  </si>
  <si>
    <t xml:space="preserve">Бокейординский</t>
  </si>
  <si>
    <t xml:space="preserve">Бурлинский</t>
  </si>
  <si>
    <t xml:space="preserve">Жангалинский</t>
  </si>
  <si>
    <t xml:space="preserve">Жанибекский</t>
  </si>
  <si>
    <t xml:space="preserve">Казталовский</t>
  </si>
  <si>
    <t xml:space="preserve">Каратобинский</t>
  </si>
  <si>
    <t xml:space="preserve">Сырымский</t>
  </si>
  <si>
    <t xml:space="preserve">Таскалинский</t>
  </si>
  <si>
    <t xml:space="preserve">Теректинский</t>
  </si>
  <si>
    <t xml:space="preserve">Чингирлауский</t>
  </si>
  <si>
    <t xml:space="preserve">г.Уральск</t>
  </si>
  <si>
    <t xml:space="preserve">Қарағанды облысы</t>
  </si>
  <si>
    <t xml:space="preserve">Актогайский</t>
  </si>
  <si>
    <t xml:space="preserve">Бухар-Жырауский</t>
  </si>
  <si>
    <t xml:space="preserve">Каркаралинский</t>
  </si>
  <si>
    <t xml:space="preserve">Нуринский</t>
  </si>
  <si>
    <t xml:space="preserve">Осакаровский</t>
  </si>
  <si>
    <t xml:space="preserve">Шетский</t>
  </si>
  <si>
    <t xml:space="preserve">г.Балхаш</t>
  </si>
  <si>
    <t xml:space="preserve">г.Караганды</t>
  </si>
  <si>
    <t xml:space="preserve">г.Приозерск</t>
  </si>
  <si>
    <t xml:space="preserve">г.Сарань</t>
  </si>
  <si>
    <t xml:space="preserve">г.Темиртау</t>
  </si>
  <si>
    <t xml:space="preserve">г.Шахтинск</t>
  </si>
  <si>
    <t xml:space="preserve">Қостанай облысы</t>
  </si>
  <si>
    <t xml:space="preserve">Алтынсаринский</t>
  </si>
  <si>
    <t xml:space="preserve">Амангельдинский</t>
  </si>
  <si>
    <t xml:space="preserve">Аулиекольский</t>
  </si>
  <si>
    <t xml:space="preserve">Беймбета Майлина</t>
  </si>
  <si>
    <t xml:space="preserve">Денисовский</t>
  </si>
  <si>
    <t xml:space="preserve">Жангельдинский</t>
  </si>
  <si>
    <t xml:space="preserve">Житикаринский</t>
  </si>
  <si>
    <t xml:space="preserve">Камыстинский</t>
  </si>
  <si>
    <t xml:space="preserve">Карабалыкский</t>
  </si>
  <si>
    <t xml:space="preserve">Карасуский</t>
  </si>
  <si>
    <t xml:space="preserve">Костанайский</t>
  </si>
  <si>
    <t xml:space="preserve">Мендыкаринский</t>
  </si>
  <si>
    <t xml:space="preserve">Наурзумский</t>
  </si>
  <si>
    <t xml:space="preserve">Сарыкольский</t>
  </si>
  <si>
    <t xml:space="preserve">Узункольский</t>
  </si>
  <si>
    <t xml:space="preserve">Федоровский</t>
  </si>
  <si>
    <t xml:space="preserve">г.Аркалык</t>
  </si>
  <si>
    <t xml:space="preserve">г.Лисаковск</t>
  </si>
  <si>
    <t xml:space="preserve">г.Костанай</t>
  </si>
  <si>
    <t xml:space="preserve">г.Рудный</t>
  </si>
  <si>
    <t xml:space="preserve">Қызылорда облысы</t>
  </si>
  <si>
    <t xml:space="preserve">Аральский</t>
  </si>
  <si>
    <t xml:space="preserve">Жалагашский</t>
  </si>
  <si>
    <t xml:space="preserve">Жанакорганский</t>
  </si>
  <si>
    <t xml:space="preserve">Казалинский</t>
  </si>
  <si>
    <t xml:space="preserve">Кармакшинский</t>
  </si>
  <si>
    <t xml:space="preserve">Сырдарьинский</t>
  </si>
  <si>
    <t xml:space="preserve">Шиелийский</t>
  </si>
  <si>
    <t xml:space="preserve">г.Кызылорда</t>
  </si>
  <si>
    <t xml:space="preserve">Маңғыстау облысы</t>
  </si>
  <si>
    <t xml:space="preserve">Бейнеуский</t>
  </si>
  <si>
    <t xml:space="preserve">Каракиянский</t>
  </si>
  <si>
    <t xml:space="preserve">Мангистауский</t>
  </si>
  <si>
    <t xml:space="preserve">Мунайлинский</t>
  </si>
  <si>
    <t xml:space="preserve">Тупкараганский</t>
  </si>
  <si>
    <t xml:space="preserve">г.Актау</t>
  </si>
  <si>
    <t xml:space="preserve">г.Жанаозен</t>
  </si>
  <si>
    <t xml:space="preserve">Павлодар қаласы</t>
  </si>
  <si>
    <t xml:space="preserve">район Аққулы</t>
  </si>
  <si>
    <t xml:space="preserve">Баянаульский</t>
  </si>
  <si>
    <t xml:space="preserve">Железинский</t>
  </si>
  <si>
    <t xml:space="preserve">Иртышский</t>
  </si>
  <si>
    <t xml:space="preserve">район Тереңкөл</t>
  </si>
  <si>
    <t xml:space="preserve">Майский</t>
  </si>
  <si>
    <t xml:space="preserve">Павлодарский</t>
  </si>
  <si>
    <t xml:space="preserve">Успенский</t>
  </si>
  <si>
    <t xml:space="preserve">Щербактинский</t>
  </si>
  <si>
    <t xml:space="preserve">г.Аксу</t>
  </si>
  <si>
    <t xml:space="preserve">г.Павлодар</t>
  </si>
  <si>
    <t xml:space="preserve">г.Экибастуз</t>
  </si>
  <si>
    <t xml:space="preserve">Солтүстік Қазақстан облысы</t>
  </si>
  <si>
    <t xml:space="preserve">Айыртауский</t>
  </si>
  <si>
    <t xml:space="preserve">Акжарский</t>
  </si>
  <si>
    <t xml:space="preserve">Аккайынский</t>
  </si>
  <si>
    <t xml:space="preserve">им.Габита Мусрепова</t>
  </si>
  <si>
    <t xml:space="preserve">Кызылжарский</t>
  </si>
  <si>
    <t xml:space="preserve">им. Магжана Жумабаева</t>
  </si>
  <si>
    <t xml:space="preserve">Мамлютский</t>
  </si>
  <si>
    <t xml:space="preserve">Тайыншинский</t>
  </si>
  <si>
    <t xml:space="preserve">Тимирязевский</t>
  </si>
  <si>
    <t xml:space="preserve">Уалихановский</t>
  </si>
  <si>
    <t xml:space="preserve">район Шал акына</t>
  </si>
  <si>
    <t xml:space="preserve">г.Петропавловск</t>
  </si>
  <si>
    <t xml:space="preserve">Түркістан облысы</t>
  </si>
  <si>
    <t xml:space="preserve">район Байдибек</t>
  </si>
  <si>
    <t xml:space="preserve">Жетысайский</t>
  </si>
  <si>
    <t xml:space="preserve">Казгуртский</t>
  </si>
  <si>
    <t xml:space="preserve">Келесский</t>
  </si>
  <si>
    <t xml:space="preserve">Махтааральский</t>
  </si>
  <si>
    <t xml:space="preserve">Ордабасинский</t>
  </si>
  <si>
    <t xml:space="preserve">Отрарский</t>
  </si>
  <si>
    <t xml:space="preserve">Сайрамский</t>
  </si>
  <si>
    <t xml:space="preserve">Сарыагашский</t>
  </si>
  <si>
    <t xml:space="preserve">район Сауран</t>
  </si>
  <si>
    <t xml:space="preserve">Сузакский</t>
  </si>
  <si>
    <t xml:space="preserve">Толебийский</t>
  </si>
  <si>
    <t xml:space="preserve">Тюлькубасский</t>
  </si>
  <si>
    <t xml:space="preserve">Шардаринский</t>
  </si>
  <si>
    <t xml:space="preserve">г.Арысь</t>
  </si>
  <si>
    <t xml:space="preserve">г.Кентау</t>
  </si>
  <si>
    <t xml:space="preserve">г.Туркестан</t>
  </si>
  <si>
    <t xml:space="preserve">Ұлытау облысы</t>
  </si>
  <si>
    <t xml:space="preserve">Жанааркинский</t>
  </si>
  <si>
    <t xml:space="preserve">Улытауский</t>
  </si>
  <si>
    <t xml:space="preserve">г.Жезказган</t>
  </si>
  <si>
    <t xml:space="preserve">г.Каражал</t>
  </si>
  <si>
    <t xml:space="preserve">г.Сатпаев</t>
  </si>
  <si>
    <t xml:space="preserve">Алматы қаласы</t>
  </si>
  <si>
    <t xml:space="preserve">г.Алматы</t>
  </si>
  <si>
    <t xml:space="preserve">Астана қаласы</t>
  </si>
  <si>
    <t xml:space="preserve">г.Астана</t>
  </si>
  <si>
    <t xml:space="preserve">Шымкент қаласы</t>
  </si>
  <si>
    <t xml:space="preserve">г.Шымкент</t>
  </si>
  <si>
    <t xml:space="preserve">Итого</t>
  </si>
  <si>
    <t xml:space="preserve">Прикреплённое население по регионам, ЦС «РПН»</t>
  </si>
  <si>
    <t xml:space="preserve">Область (в РПН)</t>
  </si>
  <si>
    <t xml:space="preserve">На 01.01.2026, чел.</t>
  </si>
  <si>
    <t xml:space="preserve">На 01.08.2026, чел.</t>
  </si>
  <si>
    <t xml:space="preserve">АБАЙ</t>
  </si>
  <si>
    <t xml:space="preserve">АКМОЛИНСКАЯ</t>
  </si>
  <si>
    <t xml:space="preserve">АКТЮБИНСКАЯ</t>
  </si>
  <si>
    <t xml:space="preserve">АЛМАТИНСКАЯ</t>
  </si>
  <si>
    <t xml:space="preserve">АТЫРАУСКАЯ</t>
  </si>
  <si>
    <t xml:space="preserve">ЗАПАДНО-КАЗАХСТАНСКАЯ</t>
  </si>
  <si>
    <t xml:space="preserve">ЖАМБЫЛСКАЯ</t>
  </si>
  <si>
    <t xml:space="preserve">ЖЕТІСУ</t>
  </si>
  <si>
    <t xml:space="preserve">КАРАГАНДИНСКАЯ</t>
  </si>
  <si>
    <t xml:space="preserve">КОСТАНАЙСКАЯ</t>
  </si>
  <si>
    <t xml:space="preserve">КЫЗЫЛОРДИНСКАЯ</t>
  </si>
  <si>
    <t xml:space="preserve">МАНГИСТАУСКАЯ</t>
  </si>
  <si>
    <t xml:space="preserve">ПАВЛОДАРСКАЯ</t>
  </si>
  <si>
    <t xml:space="preserve">СЕВЕРО-КАЗАХСТАНСКАЯ</t>
  </si>
  <si>
    <t xml:space="preserve">ТУРКЕСТАНСКАЯ</t>
  </si>
  <si>
    <t xml:space="preserve">ҰЛЫТАУ</t>
  </si>
  <si>
    <t xml:space="preserve">ВОСТОЧНО-КАЗАХСТАНСКАЯ</t>
  </si>
  <si>
    <t xml:space="preserve">ШЫМКЕНТ</t>
  </si>
  <si>
    <t xml:space="preserve">АЛМАТЫ</t>
  </si>
  <si>
    <t xml:space="preserve">АСТАНА</t>
  </si>
  <si>
    <t xml:space="preserve">Источник: ЦС «РПН» – выгрузки на 01.01.2026 и на 01.08.2026 с БИН и КАТО (от 04.10.2026), сумма по области прикрепления.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</si>
</sst>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#,##0.0"/>
    <numFmt numFmtId="167" formatCode="#,##0"/>
    <numFmt numFmtId="168" formatCode="#,##0.00"/>
    <numFmt numFmtId="169" formatCode="\+0.0000;[RED]\-0.0000;\-"/>
    <numFmt numFmtId="170" formatCode="#,##0;[RED]\-#,##0;\-"/>
    <numFmt numFmtId="171" formatCode="0.0%;[RED]\-0.0%;\-"/>
    <numFmt numFmtId="172" formatCode="#,##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D9D9D9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3"/>
    <col collapsed="false" customWidth="true" hidden="false" outlineLevel="0" max="4" min="4" style="1" width="16"/>
    <col collapsed="false" customWidth="true" hidden="false" outlineLevel="0" max="8" min="5" style="1" width="12"/>
    <col collapsed="false" customWidth="true" hidden="false" outlineLevel="0" max="9" min="9" style="1" width="11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F3" s="5" t="n">
        <f aca="false">ROUND(CORREL(E8:E24,D8:D24),4)</f>
        <v>0.8898</v>
      </c>
    </row>
    <row r="4" customFormat="false" ht="15" hidden="false" customHeight="true" outlineLevel="0" collapsed="false">
      <c r="A4" s="4" t="s">
        <v>3</v>
      </c>
      <c r="F4" s="5" t="n">
        <f aca="false">E7</f>
        <v>7.44417596002993</v>
      </c>
    </row>
    <row r="6" customFormat="false" ht="69.7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</row>
    <row r="7" customFormat="false" ht="15" hidden="false" customHeight="true" outlineLevel="0" collapsed="false">
      <c r="A7" s="7" t="s">
        <v>13</v>
      </c>
      <c r="B7" s="8" t="n">
        <f aca="false">SUM(B8:B27)</f>
        <v>272496.500739868</v>
      </c>
      <c r="C7" s="9" t="n">
        <f aca="false">SUM(C8:C27)</f>
        <v>2724965.00739868</v>
      </c>
      <c r="D7" s="9" t="n">
        <f aca="false">SUM(D8:D27)</f>
        <v>20285119</v>
      </c>
      <c r="E7" s="10" t="n">
        <f aca="false">D7/C7</f>
        <v>7.44417596002993</v>
      </c>
      <c r="F7" s="11"/>
      <c r="G7" s="11" t="n">
        <f aca="false">SUMPRODUCT(D8:D27,G8:G27)/D7</f>
        <v>1.61205914198975</v>
      </c>
      <c r="H7" s="11" t="n">
        <f aca="false">SUMPRODUCT(D8:D27,H8:H27)/D7</f>
        <v>1.34400437207196</v>
      </c>
      <c r="I7" s="12" t="n">
        <f aca="false">G7-H7</f>
        <v>0.26805476991779</v>
      </c>
    </row>
    <row r="8" customFormat="false" ht="15" hidden="false" customHeight="true" outlineLevel="0" collapsed="false">
      <c r="A8" s="13" t="s">
        <v>14</v>
      </c>
      <c r="B8" s="14" t="n">
        <f aca="false">SUMIFS('Площадь МСХ'!$C:$C,'Площадь МСХ'!$A:$A,"Абай облысы")</f>
        <v>18547.6630033</v>
      </c>
      <c r="C8" s="15" t="n">
        <f aca="false">B8*10</f>
        <v>185476.630033</v>
      </c>
      <c r="D8" s="15" t="n">
        <f aca="false">'РПН по регионам'!C4</f>
        <v>612697</v>
      </c>
      <c r="E8" s="16" t="n">
        <f aca="false">D8/C8</f>
        <v>3.30336495703523</v>
      </c>
      <c r="F8" s="17" t="n">
        <f aca="false">ROUND(1+$F$3*$F$4/E8,4)</f>
        <v>3.0052</v>
      </c>
      <c r="G8" s="18" t="n">
        <f aca="false">IF(LEFT(A8,5)="город",1,MIN(F8,2))</f>
        <v>2</v>
      </c>
      <c r="H8" s="19" t="n">
        <v>1.7274</v>
      </c>
      <c r="I8" s="20" t="n">
        <f aca="false">G8-H8</f>
        <v>0.2726</v>
      </c>
    </row>
    <row r="9" customFormat="false" ht="15" hidden="false" customHeight="true" outlineLevel="0" collapsed="false">
      <c r="A9" s="13" t="s">
        <v>15</v>
      </c>
      <c r="B9" s="14" t="n">
        <f aca="false">SUMIFS('Площадь МСХ'!$C:$C,'Площадь МСХ'!$A:$A,"Ақмола облысы")</f>
        <v>14613.119</v>
      </c>
      <c r="C9" s="15" t="n">
        <f aca="false">B9*10</f>
        <v>146131.19</v>
      </c>
      <c r="D9" s="15" t="n">
        <f aca="false">'РПН по регионам'!C5</f>
        <v>759909</v>
      </c>
      <c r="E9" s="16" t="n">
        <f aca="false">D9/C9</f>
        <v>5.20018347896845</v>
      </c>
      <c r="F9" s="17" t="n">
        <f aca="false">ROUND(1+$F$3*$F$4/E9,4)</f>
        <v>2.2738</v>
      </c>
      <c r="G9" s="18" t="n">
        <f aca="false">IF(LEFT(A9,5)="город",1,MIN(F9,2))</f>
        <v>2</v>
      </c>
      <c r="H9" s="19" t="n">
        <v>1.5034</v>
      </c>
      <c r="I9" s="20" t="n">
        <f aca="false">G9-H9</f>
        <v>0.4966</v>
      </c>
    </row>
    <row r="10" customFormat="false" ht="15" hidden="false" customHeight="true" outlineLevel="0" collapsed="false">
      <c r="A10" s="13" t="s">
        <v>16</v>
      </c>
      <c r="B10" s="14" t="n">
        <f aca="false">SUMIFS('Площадь МСХ'!$C:$C,'Площадь МСХ'!$A:$A,"Ақтөбе облысы")</f>
        <v>30062.9</v>
      </c>
      <c r="C10" s="15" t="n">
        <f aca="false">B10*10</f>
        <v>300629</v>
      </c>
      <c r="D10" s="15" t="n">
        <f aca="false">'РПН по регионам'!C6</f>
        <v>932844</v>
      </c>
      <c r="E10" s="16" t="n">
        <f aca="false">D10/C10</f>
        <v>3.10297409764194</v>
      </c>
      <c r="F10" s="17" t="n">
        <f aca="false">ROUND(1+$F$3*$F$4/E10,4)</f>
        <v>3.1347</v>
      </c>
      <c r="G10" s="18" t="n">
        <f aca="false">IF(LEFT(A10,5)="город",1,MIN(F10,2))</f>
        <v>2</v>
      </c>
      <c r="H10" s="19" t="n">
        <v>1.8715</v>
      </c>
      <c r="I10" s="20" t="n">
        <f aca="false">G10-H10</f>
        <v>0.1285</v>
      </c>
    </row>
    <row r="11" customFormat="false" ht="15" hidden="false" customHeight="true" outlineLevel="0" collapsed="false">
      <c r="A11" s="13" t="s">
        <v>17</v>
      </c>
      <c r="B11" s="14" t="n">
        <f aca="false">SUMIFS('Площадь МСХ'!$C:$C,'Площадь МСХ'!$A:$A,"Алматы облысы")</f>
        <v>10509.05275</v>
      </c>
      <c r="C11" s="15" t="n">
        <f aca="false">B11*10</f>
        <v>105090.5275</v>
      </c>
      <c r="D11" s="15" t="n">
        <f aca="false">'РПН по регионам'!C7</f>
        <v>1631443</v>
      </c>
      <c r="E11" s="16" t="n">
        <f aca="false">D11/C11</f>
        <v>15.5241679608088</v>
      </c>
      <c r="F11" s="17" t="n">
        <f aca="false">ROUND(1+$F$3*$F$4/E11,4)</f>
        <v>1.4267</v>
      </c>
      <c r="G11" s="18" t="n">
        <f aca="false">IF(LEFT(A11,5)="город",1,MIN(F11,2))</f>
        <v>1.4267</v>
      </c>
      <c r="H11" s="19" t="n">
        <v>1.1886</v>
      </c>
      <c r="I11" s="20" t="n">
        <f aca="false">G11-H11</f>
        <v>0.2381</v>
      </c>
    </row>
    <row r="12" customFormat="false" ht="15" hidden="false" customHeight="true" outlineLevel="0" collapsed="false">
      <c r="A12" s="13" t="s">
        <v>18</v>
      </c>
      <c r="B12" s="14" t="n">
        <f aca="false">SUMIFS('Площадь МСХ'!$C:$C,'Площадь МСХ'!$A:$A,"Атырау облысы")</f>
        <v>11863.118</v>
      </c>
      <c r="C12" s="15" t="n">
        <f aca="false">B12*10</f>
        <v>118631.18</v>
      </c>
      <c r="D12" s="15" t="n">
        <f aca="false">'РПН по регионам'!C8</f>
        <v>705806</v>
      </c>
      <c r="E12" s="16" t="n">
        <f aca="false">D12/C12</f>
        <v>5.94958256336993</v>
      </c>
      <c r="F12" s="17" t="n">
        <f aca="false">ROUND(1+$F$3*$F$4/E12,4)</f>
        <v>2.1133</v>
      </c>
      <c r="G12" s="18" t="n">
        <f aca="false">IF(LEFT(A12,5)="город",1,MIN(F12,2))</f>
        <v>2</v>
      </c>
      <c r="H12" s="19" t="n">
        <v>1.4619</v>
      </c>
      <c r="I12" s="20" t="n">
        <f aca="false">G12-H12</f>
        <v>0.5381</v>
      </c>
    </row>
    <row r="13" customFormat="false" ht="15" hidden="false" customHeight="true" outlineLevel="0" collapsed="false">
      <c r="A13" s="13" t="s">
        <v>19</v>
      </c>
      <c r="B13" s="14" t="n">
        <f aca="false">SUMIFS('Площадь МСХ'!$C:$C,'Площадь МСХ'!$A:$A,"Батыс Қазақстан облысы")</f>
        <v>15133.85</v>
      </c>
      <c r="C13" s="15" t="n">
        <f aca="false">B13*10</f>
        <v>151338.5</v>
      </c>
      <c r="D13" s="15" t="n">
        <f aca="false">'РПН по регионам'!C9</f>
        <v>691973</v>
      </c>
      <c r="E13" s="16" t="n">
        <f aca="false">D13/C13</f>
        <v>4.57235270601995</v>
      </c>
      <c r="F13" s="17" t="n">
        <f aca="false">ROUND(1+$F$3*$F$4/E13,4)</f>
        <v>2.4487</v>
      </c>
      <c r="G13" s="18" t="n">
        <f aca="false">IF(LEFT(A13,5)="город",1,MIN(F13,2))</f>
        <v>2</v>
      </c>
      <c r="H13" s="19" t="n">
        <v>1.5961</v>
      </c>
      <c r="I13" s="20" t="n">
        <f aca="false">G13-H13</f>
        <v>0.4039</v>
      </c>
    </row>
    <row r="14" customFormat="false" ht="15" hidden="false" customHeight="true" outlineLevel="0" collapsed="false">
      <c r="A14" s="13" t="s">
        <v>20</v>
      </c>
      <c r="B14" s="14" t="n">
        <f aca="false">SUMIFS('Площадь МСХ'!$C:$C,'Площадь МСХ'!$A:$A,"Жамбыл облысы")</f>
        <v>14427.3895041112</v>
      </c>
      <c r="C14" s="15" t="n">
        <f aca="false">B14*10</f>
        <v>144273.895041112</v>
      </c>
      <c r="D14" s="15" t="n">
        <f aca="false">'РПН по регионам'!C10</f>
        <v>1171622</v>
      </c>
      <c r="E14" s="16" t="n">
        <f aca="false">D14/C14</f>
        <v>8.12081769654959</v>
      </c>
      <c r="F14" s="17" t="n">
        <f aca="false">ROUND(1+$F$3*$F$4/E14,4)</f>
        <v>1.8157</v>
      </c>
      <c r="G14" s="18" t="n">
        <f aca="false">IF(LEFT(A14,5)="город",1,MIN(F14,2))</f>
        <v>1.8157</v>
      </c>
      <c r="H14" s="19" t="n">
        <v>1.3212</v>
      </c>
      <c r="I14" s="20" t="n">
        <f aca="false">G14-H14</f>
        <v>0.4945</v>
      </c>
    </row>
    <row r="15" customFormat="false" ht="15" hidden="false" customHeight="true" outlineLevel="0" collapsed="false">
      <c r="A15" s="13" t="s">
        <v>21</v>
      </c>
      <c r="B15" s="14" t="n">
        <f aca="false">SUMIFS('Площадь МСХ'!$C:$C,'Площадь МСХ'!$A:$A,"Жетісу облысы")</f>
        <v>11845.9975558</v>
      </c>
      <c r="C15" s="15" t="n">
        <f aca="false">B15*10</f>
        <v>118459.975558</v>
      </c>
      <c r="D15" s="15" t="n">
        <f aca="false">'РПН по регионам'!C11</f>
        <v>651691</v>
      </c>
      <c r="E15" s="16" t="n">
        <f aca="false">D15/C15</f>
        <v>5.50136024366239</v>
      </c>
      <c r="F15" s="17" t="n">
        <f aca="false">ROUND(1+$F$3*$F$4/E15,4)</f>
        <v>2.204</v>
      </c>
      <c r="G15" s="18" t="n">
        <f aca="false">IF(LEFT(A15,5)="город",1,MIN(F15,2))</f>
        <v>2</v>
      </c>
      <c r="H15" s="19" t="n">
        <v>1.4611</v>
      </c>
      <c r="I15" s="20" t="n">
        <f aca="false">G15-H15</f>
        <v>0.5389</v>
      </c>
    </row>
    <row r="16" customFormat="false" ht="15" hidden="false" customHeight="true" outlineLevel="0" collapsed="false">
      <c r="A16" s="13" t="s">
        <v>22</v>
      </c>
      <c r="B16" s="14" t="n">
        <f aca="false">SUMIFS('Площадь МСХ'!$C:$C,'Площадь МСХ'!$A:$A,"Қарағанды облысы")</f>
        <v>23904.6358992</v>
      </c>
      <c r="C16" s="15" t="n">
        <f aca="false">B16*10</f>
        <v>239046.358992</v>
      </c>
      <c r="D16" s="15" t="n">
        <f aca="false">'РПН по регионам'!C12</f>
        <v>1191836</v>
      </c>
      <c r="E16" s="16" t="n">
        <f aca="false">D16/C16</f>
        <v>4.98579440835527</v>
      </c>
      <c r="F16" s="17" t="n">
        <f aca="false">ROUND(1+$F$3*$F$4/E16,4)</f>
        <v>2.3285</v>
      </c>
      <c r="G16" s="18" t="n">
        <f aca="false">IF(LEFT(A16,5)="город",1,MIN(F16,2))</f>
        <v>2</v>
      </c>
      <c r="H16" s="19" t="n">
        <v>1.5721</v>
      </c>
      <c r="I16" s="20" t="n">
        <f aca="false">G16-H16</f>
        <v>0.4279</v>
      </c>
    </row>
    <row r="17" customFormat="false" ht="15" hidden="false" customHeight="true" outlineLevel="0" collapsed="false">
      <c r="A17" s="13" t="s">
        <v>23</v>
      </c>
      <c r="B17" s="14" t="n">
        <f aca="false">SUMIFS('Площадь МСХ'!$C:$C,'Площадь МСХ'!$A:$A,"Қостанай облысы")</f>
        <v>19600.1272001335</v>
      </c>
      <c r="C17" s="15" t="n">
        <f aca="false">B17*10</f>
        <v>196001.272001335</v>
      </c>
      <c r="D17" s="15" t="n">
        <f aca="false">'РПН по регионам'!C13</f>
        <v>782371</v>
      </c>
      <c r="E17" s="16" t="n">
        <f aca="false">D17/C17</f>
        <v>3.99166287040562</v>
      </c>
      <c r="F17" s="17" t="n">
        <f aca="false">ROUND(1+$F$3*$F$4/E17,4)</f>
        <v>2.6594</v>
      </c>
      <c r="G17" s="18" t="n">
        <f aca="false">IF(LEFT(A17,5)="город",1,MIN(F17,2))</f>
        <v>2</v>
      </c>
      <c r="H17" s="19" t="n">
        <v>1.6402</v>
      </c>
      <c r="I17" s="20" t="n">
        <f aca="false">G17-H17</f>
        <v>0.3598</v>
      </c>
    </row>
    <row r="18" customFormat="false" ht="15" hidden="false" customHeight="true" outlineLevel="0" collapsed="false">
      <c r="A18" s="13" t="s">
        <v>24</v>
      </c>
      <c r="B18" s="21" t="n">
        <f aca="false">SUMIFS('Площадь МСХ'!$C:$C,'Площадь МСХ'!$A:$A,"Қызылорда облысы")+5.498</f>
        <v>22607.44604</v>
      </c>
      <c r="C18" s="15" t="n">
        <f aca="false">B18*10</f>
        <v>226074.4604</v>
      </c>
      <c r="D18" s="15" t="n">
        <f aca="false">'РПН по регионам'!C14</f>
        <v>811837</v>
      </c>
      <c r="E18" s="16" t="n">
        <f aca="false">D18/C18</f>
        <v>3.59101598014917</v>
      </c>
      <c r="F18" s="17" t="n">
        <f aca="false">ROUND(1+$F$3*$F$4/E18,4)</f>
        <v>2.8446</v>
      </c>
      <c r="G18" s="18" t="n">
        <f aca="false">IF(LEFT(A18,5)="город",1,MIN(F18,2))</f>
        <v>2</v>
      </c>
      <c r="H18" s="19" t="n">
        <v>1.7272</v>
      </c>
      <c r="I18" s="20" t="n">
        <f aca="false">G18-H18</f>
        <v>0.2728</v>
      </c>
    </row>
    <row r="19" customFormat="false" ht="15" hidden="false" customHeight="true" outlineLevel="0" collapsed="false">
      <c r="A19" s="13" t="s">
        <v>25</v>
      </c>
      <c r="B19" s="14" t="n">
        <f aca="false">SUMIFS('Площадь МСХ'!$C:$C,'Площадь МСХ'!$A:$A,"Маңғыстау облысы")</f>
        <v>16564.1874</v>
      </c>
      <c r="C19" s="15" t="n">
        <f aca="false">B19*10</f>
        <v>165641.874</v>
      </c>
      <c r="D19" s="15" t="n">
        <f aca="false">'РПН по регионам'!C15</f>
        <v>822167</v>
      </c>
      <c r="E19" s="16" t="n">
        <f aca="false">D19/C19</f>
        <v>4.96352148249663</v>
      </c>
      <c r="F19" s="17" t="n">
        <f aca="false">ROUND(1+$F$3*$F$4/E19,4)</f>
        <v>2.3345</v>
      </c>
      <c r="G19" s="18" t="n">
        <f aca="false">IF(LEFT(A19,5)="город",1,MIN(F19,2))</f>
        <v>2</v>
      </c>
      <c r="H19" s="19" t="n">
        <v>1.5823</v>
      </c>
      <c r="I19" s="20" t="n">
        <f aca="false">G19-H19</f>
        <v>0.4177</v>
      </c>
    </row>
    <row r="20" customFormat="false" ht="15" hidden="false" customHeight="true" outlineLevel="0" collapsed="false">
      <c r="A20" s="13" t="s">
        <v>26</v>
      </c>
      <c r="B20" s="14" t="n">
        <f aca="false">SUMIFS('Площадь МСХ'!$C:$C,'Площадь МСХ'!$A:$A,"Павлодар қаласы")</f>
        <v>12464.5938</v>
      </c>
      <c r="C20" s="15" t="n">
        <f aca="false">B20*10</f>
        <v>124645.938</v>
      </c>
      <c r="D20" s="15" t="n">
        <f aca="false">'РПН по регионам'!C16</f>
        <v>645417</v>
      </c>
      <c r="E20" s="16" t="n">
        <f aca="false">D20/C20</f>
        <v>5.17800267185602</v>
      </c>
      <c r="F20" s="17" t="n">
        <f aca="false">ROUND(1+$F$3*$F$4/E20,4)</f>
        <v>2.2792</v>
      </c>
      <c r="G20" s="18" t="n">
        <f aca="false">IF(LEFT(A20,5)="город",1,MIN(F20,2))</f>
        <v>2</v>
      </c>
      <c r="H20" s="19" t="n">
        <v>1.449</v>
      </c>
      <c r="I20" s="20" t="n">
        <f aca="false">G20-H20</f>
        <v>0.551</v>
      </c>
    </row>
    <row r="21" customFormat="false" ht="15" hidden="false" customHeight="true" outlineLevel="0" collapsed="false">
      <c r="A21" s="13" t="s">
        <v>27</v>
      </c>
      <c r="B21" s="14" t="n">
        <f aca="false">SUMIFS('Площадь МСХ'!$C:$C,'Площадь МСХ'!$A:$A,"Солтүстік Қазақстан облысы")</f>
        <v>9799.269</v>
      </c>
      <c r="C21" s="15" t="n">
        <f aca="false">B21*10</f>
        <v>97992.69</v>
      </c>
      <c r="D21" s="15" t="n">
        <f aca="false">'РПН по регионам'!C17</f>
        <v>525153</v>
      </c>
      <c r="E21" s="16" t="n">
        <f aca="false">D21/C21</f>
        <v>5.35910382703036</v>
      </c>
      <c r="F21" s="17" t="n">
        <f aca="false">ROUND(1+$F$3*$F$4/E21,4)</f>
        <v>2.236</v>
      </c>
      <c r="G21" s="18" t="n">
        <f aca="false">IF(LEFT(A21,5)="город",1,MIN(F21,2))</f>
        <v>2</v>
      </c>
      <c r="H21" s="19" t="n">
        <v>1.4994</v>
      </c>
      <c r="I21" s="20" t="n">
        <f aca="false">G21-H21</f>
        <v>0.5006</v>
      </c>
    </row>
    <row r="22" customFormat="false" ht="15" hidden="false" customHeight="true" outlineLevel="0" collapsed="false">
      <c r="A22" s="13" t="s">
        <v>28</v>
      </c>
      <c r="B22" s="14" t="n">
        <f aca="false">SUMIFS('Площадь МСХ'!$C:$C,'Площадь МСХ'!$A:$A,"Түркістан облысы")</f>
        <v>11609.437643</v>
      </c>
      <c r="C22" s="15" t="n">
        <f aca="false">B22*10</f>
        <v>116094.37643</v>
      </c>
      <c r="D22" s="15" t="n">
        <f aca="false">'РПН по регионам'!C18</f>
        <v>2075837</v>
      </c>
      <c r="E22" s="16" t="n">
        <f aca="false">D22/C22</f>
        <v>17.8805990766628</v>
      </c>
      <c r="F22" s="17" t="n">
        <f aca="false">ROUND(1+$F$3*$F$4/E22,4)</f>
        <v>1.3704</v>
      </c>
      <c r="G22" s="18" t="n">
        <f aca="false">IF(LEFT(A22,5)="город",1,MIN(F22,2))</f>
        <v>1.3704</v>
      </c>
      <c r="H22" s="19" t="n">
        <v>1.1483</v>
      </c>
      <c r="I22" s="20" t="n">
        <f aca="false">G22-H22</f>
        <v>0.2221</v>
      </c>
    </row>
    <row r="23" customFormat="false" ht="15" hidden="false" customHeight="true" outlineLevel="0" collapsed="false">
      <c r="A23" s="13" t="s">
        <v>29</v>
      </c>
      <c r="B23" s="14" t="n">
        <f aca="false">SUMIFS('Площадь МСХ'!$C:$C,'Площадь МСХ'!$A:$A,"Ұлытау облысы")</f>
        <v>18893.5639443</v>
      </c>
      <c r="C23" s="15" t="n">
        <f aca="false">B23*10</f>
        <v>188935.639443</v>
      </c>
      <c r="D23" s="15" t="n">
        <f aca="false">'РПН по регионам'!C19</f>
        <v>213094</v>
      </c>
      <c r="E23" s="16" t="n">
        <f aca="false">D23/C23</f>
        <v>1.12786555584865</v>
      </c>
      <c r="F23" s="17" t="n">
        <f aca="false">ROUND(1+$F$3*$F$4/E23,4)</f>
        <v>6.8729</v>
      </c>
      <c r="G23" s="18" t="n">
        <f aca="false">IF(LEFT(A23,5)="город",1,MIN(F23,2))</f>
        <v>2</v>
      </c>
      <c r="H23" s="19" t="n">
        <v>2</v>
      </c>
      <c r="I23" s="20" t="n">
        <f aca="false">G23-H23</f>
        <v>0</v>
      </c>
    </row>
    <row r="24" customFormat="false" ht="15" hidden="false" customHeight="true" outlineLevel="0" collapsed="false">
      <c r="A24" s="13" t="s">
        <v>30</v>
      </c>
      <c r="B24" s="14" t="n">
        <f aca="false">SUMIFS('Площадь МСХ'!$C:$C,'Площадь МСХ'!$A:$A,"Шығыс Қазақстан облысы")</f>
        <v>9785.850000023</v>
      </c>
      <c r="C24" s="15" t="n">
        <f aca="false">B24*10</f>
        <v>97858.50000023</v>
      </c>
      <c r="D24" s="15" t="n">
        <f aca="false">'РПН по регионам'!C20</f>
        <v>719080</v>
      </c>
      <c r="E24" s="16" t="n">
        <f aca="false">D24/C24</f>
        <v>7.34816086490504</v>
      </c>
      <c r="F24" s="17" t="n">
        <f aca="false">ROUND(1+$F$3*$F$4/E24,4)</f>
        <v>1.9014</v>
      </c>
      <c r="G24" s="18" t="n">
        <f aca="false">IF(LEFT(A24,5)="город",1,MIN(F24,2))</f>
        <v>1.9014</v>
      </c>
      <c r="H24" s="19" t="n">
        <v>1.4021</v>
      </c>
      <c r="I24" s="20" t="n">
        <f aca="false">G24-H24</f>
        <v>0.4993</v>
      </c>
    </row>
    <row r="25" customFormat="false" ht="15" hidden="false" customHeight="true" outlineLevel="0" collapsed="false">
      <c r="A25" s="13" t="s">
        <v>31</v>
      </c>
      <c r="B25" s="14" t="n">
        <f aca="false">SUMIFS('Площадь МСХ'!$C:$C,'Площадь МСХ'!$A:$A,"Шымкент қаласы")</f>
        <v>116.3</v>
      </c>
      <c r="C25" s="15" t="n">
        <f aca="false">B25*10</f>
        <v>1163</v>
      </c>
      <c r="D25" s="15" t="n">
        <f aca="false">'РПН по регионам'!C21</f>
        <v>1283503</v>
      </c>
      <c r="E25" s="16" t="n">
        <f aca="false">D25/C25</f>
        <v>1103.61392949269</v>
      </c>
      <c r="F25" s="17" t="n">
        <f aca="false">ROUND(1+$F$3*$F$4/E25,4)</f>
        <v>1.006</v>
      </c>
      <c r="G25" s="18" t="n">
        <f aca="false">IF(LEFT(A25,5)="город",1,MIN(F25,2))</f>
        <v>1</v>
      </c>
      <c r="H25" s="19" t="n">
        <v>1</v>
      </c>
      <c r="I25" s="20" t="n">
        <f aca="false">G25-H25</f>
        <v>0</v>
      </c>
    </row>
    <row r="26" customFormat="false" ht="15" hidden="false" customHeight="true" outlineLevel="0" collapsed="false">
      <c r="A26" s="13" t="s">
        <v>32</v>
      </c>
      <c r="B26" s="14" t="n">
        <f aca="false">SUMIFS('Площадь МСХ'!$C:$C,'Площадь МСХ'!$A:$A,"Алматы қаласы")</f>
        <v>68.3</v>
      </c>
      <c r="C26" s="15" t="n">
        <f aca="false">B26*10</f>
        <v>683</v>
      </c>
      <c r="D26" s="15" t="n">
        <f aca="false">'РПН по регионам'!C22</f>
        <v>2374520</v>
      </c>
      <c r="E26" s="16" t="n">
        <f aca="false">D26/C26</f>
        <v>3476.60322108346</v>
      </c>
      <c r="F26" s="17" t="n">
        <f aca="false">ROUND(1+$F$3*$F$4/E26,4)</f>
        <v>1.0019</v>
      </c>
      <c r="G26" s="18" t="n">
        <f aca="false">IF(LEFT(A26,5)="город",1,MIN(F26,2))</f>
        <v>1</v>
      </c>
      <c r="H26" s="19" t="n">
        <v>1</v>
      </c>
      <c r="I26" s="20" t="n">
        <f aca="false">G26-H26</f>
        <v>0</v>
      </c>
    </row>
    <row r="27" customFormat="false" ht="15" hidden="false" customHeight="true" outlineLevel="0" collapsed="false">
      <c r="A27" s="13" t="s">
        <v>33</v>
      </c>
      <c r="B27" s="14" t="n">
        <f aca="false">SUMIFS('Площадь МСХ'!$C:$C,'Площадь МСХ'!$A:$A,"Астана қаласы")</f>
        <v>79.7</v>
      </c>
      <c r="C27" s="15" t="n">
        <f aca="false">B27*10</f>
        <v>797</v>
      </c>
      <c r="D27" s="15" t="n">
        <f aca="false">'РПН по регионам'!C23</f>
        <v>1682319</v>
      </c>
      <c r="E27" s="16" t="n">
        <f aca="false">D27/C27</f>
        <v>2110.81430363865</v>
      </c>
      <c r="F27" s="17" t="n">
        <f aca="false">ROUND(1+$F$3*$F$4/E27,4)</f>
        <v>1.0031</v>
      </c>
      <c r="G27" s="18" t="n">
        <f aca="false">IF(LEFT(A27,5)="город",1,MIN(F27,2))</f>
        <v>1</v>
      </c>
      <c r="H27" s="19" t="n">
        <v>1</v>
      </c>
      <c r="I27" s="20" t="n">
        <f aca="false">G27-H27</f>
        <v>0</v>
      </c>
    </row>
    <row r="29" customFormat="false" ht="15" hidden="false" customHeight="true" outlineLevel="0" collapsed="false">
      <c r="A29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6" min="5" style="1" width="17"/>
    <col collapsed="false" customWidth="true" hidden="false" outlineLevel="0" max="7" min="7" style="1" width="15"/>
    <col collapsed="false" customWidth="true" hidden="false" outlineLevel="0" max="8" min="8" style="1" width="8"/>
  </cols>
  <sheetData>
    <row r="1" customFormat="false" ht="15" hidden="false" customHeight="true" outlineLevel="0" collapsed="false">
      <c r="A1" s="2" t="s">
        <v>35</v>
      </c>
    </row>
    <row r="2" customFormat="false" ht="15" hidden="false" customHeight="true" outlineLevel="0" collapsed="false">
      <c r="A2" s="1" t="s">
        <v>36</v>
      </c>
      <c r="F2" s="22" t="n">
        <v>362.76</v>
      </c>
    </row>
    <row r="3" customFormat="false" ht="15" hidden="false" customHeight="true" outlineLevel="0" collapsed="false">
      <c r="A3" s="1" t="s">
        <v>37</v>
      </c>
      <c r="F3" s="23" t="n">
        <v>12</v>
      </c>
    </row>
    <row r="4" customFormat="false" ht="15" hidden="false" customHeight="true" outlineLevel="0" collapsed="false">
      <c r="A4" s="3" t="s">
        <v>38</v>
      </c>
    </row>
    <row r="6" customFormat="false" ht="60" hidden="false" customHeight="true" outlineLevel="0" collapsed="false">
      <c r="A6" s="6" t="s">
        <v>4</v>
      </c>
      <c r="B6" s="6" t="s">
        <v>39</v>
      </c>
      <c r="C6" s="6" t="s">
        <v>11</v>
      </c>
      <c r="D6" s="6" t="s">
        <v>10</v>
      </c>
      <c r="E6" s="6" t="s">
        <v>40</v>
      </c>
      <c r="F6" s="6" t="s">
        <v>41</v>
      </c>
      <c r="G6" s="6" t="s">
        <v>42</v>
      </c>
      <c r="H6" s="6" t="s">
        <v>43</v>
      </c>
    </row>
    <row r="7" customFormat="false" ht="15" hidden="false" customHeight="true" outlineLevel="0" collapsed="false">
      <c r="A7" s="7" t="s">
        <v>13</v>
      </c>
      <c r="B7" s="9" t="n">
        <f aca="false">SUM(B8:B27)</f>
        <v>20477854</v>
      </c>
      <c r="C7" s="11" t="n">
        <f aca="false">SUMPRODUCT(B8:B27,C8:C27)/B7</f>
        <v>1.34351142492763</v>
      </c>
      <c r="D7" s="11" t="n">
        <f aca="false">SUMPRODUCT(B8:B27,D8:D27)/B7</f>
        <v>1.6121230714068</v>
      </c>
      <c r="E7" s="24" t="n">
        <f aca="false">SUM(E8:E27)</f>
        <v>119764042.170568</v>
      </c>
      <c r="F7" s="24" t="n">
        <f aca="false">SUM(F8:F27)</f>
        <v>143708770.85657</v>
      </c>
      <c r="G7" s="24" t="n">
        <f aca="false">SUM(G8:G27)</f>
        <v>23944728.6860024</v>
      </c>
      <c r="H7" s="25" t="n">
        <f aca="false">IFERROR(G7/E7,0)</f>
        <v>0.199932536110466</v>
      </c>
    </row>
    <row r="8" customFormat="false" ht="15" hidden="false" customHeight="true" outlineLevel="0" collapsed="false">
      <c r="A8" s="13" t="str">
        <f aca="false">'Расчет Кплотн СМП'!A8</f>
        <v>Абайская область</v>
      </c>
      <c r="B8" s="15" t="n">
        <f aca="false">'РПН по регионам'!D4</f>
        <v>610366</v>
      </c>
      <c r="C8" s="17" t="n">
        <f aca="false">'Расчет Кплотн СМП'!H8</f>
        <v>1.7274</v>
      </c>
      <c r="D8" s="17" t="n">
        <f aca="false">'Расчет Кплотн СМП'!G8</f>
        <v>2</v>
      </c>
      <c r="E8" s="26" t="n">
        <f aca="false">B8*$F$3*$F$2*C8/1000</f>
        <v>4589695.65377261</v>
      </c>
      <c r="F8" s="26" t="n">
        <f aca="false">B8*$F$3*$F$2*D8/1000</f>
        <v>5313992.88384</v>
      </c>
      <c r="G8" s="26" t="n">
        <f aca="false">F8-E8</f>
        <v>724297.230067393</v>
      </c>
      <c r="H8" s="27" t="n">
        <f aca="false">IFERROR(G8/E8,0)</f>
        <v>0.157809424568716</v>
      </c>
    </row>
    <row r="9" customFormat="false" ht="15" hidden="false" customHeight="true" outlineLevel="0" collapsed="false">
      <c r="A9" s="13" t="str">
        <f aca="false">'Расчет Кплотн СМП'!A9</f>
        <v>Акмолинская область</v>
      </c>
      <c r="B9" s="15" t="n">
        <f aca="false">'РПН по регионам'!D5</f>
        <v>773511</v>
      </c>
      <c r="C9" s="17" t="n">
        <f aca="false">'Расчет Кплотн СМП'!H9</f>
        <v>1.5034</v>
      </c>
      <c r="D9" s="17" t="n">
        <f aca="false">'Расчет Кплотн СМП'!G9</f>
        <v>2</v>
      </c>
      <c r="E9" s="26" t="n">
        <f aca="false">B9*$F$3*$F$2*C9/1000</f>
        <v>5062227.73957469</v>
      </c>
      <c r="F9" s="26" t="n">
        <f aca="false">B9*$F$3*$F$2*D9/1000</f>
        <v>6734372.40864</v>
      </c>
      <c r="G9" s="26" t="n">
        <f aca="false">F9-E9</f>
        <v>1672144.66906531</v>
      </c>
      <c r="H9" s="27" t="n">
        <f aca="false">IFERROR(G9/E9,0)</f>
        <v>0.330317945989091</v>
      </c>
    </row>
    <row r="10" customFormat="false" ht="15" hidden="false" customHeight="true" outlineLevel="0" collapsed="false">
      <c r="A10" s="13" t="str">
        <f aca="false">'Расчет Кплотн СМП'!A10</f>
        <v>Актюбинская область</v>
      </c>
      <c r="B10" s="15" t="n">
        <f aca="false">'РПН по регионам'!D6</f>
        <v>937248</v>
      </c>
      <c r="C10" s="17" t="n">
        <f aca="false">'Расчет Кплотн СМП'!H10</f>
        <v>1.8715</v>
      </c>
      <c r="D10" s="17" t="n">
        <f aca="false">'Расчет Кплотн СМП'!G10</f>
        <v>2</v>
      </c>
      <c r="E10" s="26" t="n">
        <f aca="false">B10*$F$3*$F$2*C10/1000</f>
        <v>7635632.06525184</v>
      </c>
      <c r="F10" s="26" t="n">
        <f aca="false">B10*$F$3*$F$2*D10/1000</f>
        <v>8159906.02752</v>
      </c>
      <c r="G10" s="26" t="n">
        <f aca="false">F10-E10</f>
        <v>524273.96226816</v>
      </c>
      <c r="H10" s="27" t="n">
        <f aca="false">IFERROR(G10/E10,0)</f>
        <v>0.0686615014694095</v>
      </c>
    </row>
    <row r="11" customFormat="false" ht="15" hidden="false" customHeight="true" outlineLevel="0" collapsed="false">
      <c r="A11" s="13" t="str">
        <f aca="false">'Расчет Кплотн СМП'!A11</f>
        <v>Алматинская область</v>
      </c>
      <c r="B11" s="15" t="n">
        <f aca="false">'РПН по регионам'!D7</f>
        <v>1649754</v>
      </c>
      <c r="C11" s="17" t="n">
        <f aca="false">'Расчет Кплотн СМП'!H11</f>
        <v>1.1886</v>
      </c>
      <c r="D11" s="17" t="n">
        <f aca="false">'Расчет Кплотн СМП'!G11</f>
        <v>1.4267</v>
      </c>
      <c r="E11" s="26" t="n">
        <f aca="false">B11*$F$3*$F$2*C11/1000</f>
        <v>8536022.57966573</v>
      </c>
      <c r="F11" s="26" t="n">
        <f aca="false">B11*$F$3*$F$2*D11/1000</f>
        <v>10245956.0949092</v>
      </c>
      <c r="G11" s="26" t="n">
        <f aca="false">F11-E11</f>
        <v>1709933.51524349</v>
      </c>
      <c r="H11" s="27" t="n">
        <f aca="false">IFERROR(G11/E11,0)</f>
        <v>0.200319703853273</v>
      </c>
    </row>
    <row r="12" customFormat="false" ht="15" hidden="false" customHeight="true" outlineLevel="0" collapsed="false">
      <c r="A12" s="13" t="str">
        <f aca="false">'Расчет Кплотн СМП'!A12</f>
        <v>Атырауская область</v>
      </c>
      <c r="B12" s="15" t="n">
        <f aca="false">'РПН по регионам'!D8</f>
        <v>707248</v>
      </c>
      <c r="C12" s="17" t="n">
        <f aca="false">'Расчет Кплотн СМП'!H12</f>
        <v>1.4619</v>
      </c>
      <c r="D12" s="17" t="n">
        <f aca="false">'Расчет Кплотн СМП'!G12</f>
        <v>2</v>
      </c>
      <c r="E12" s="26" t="n">
        <f aca="false">B12*$F$3*$F$2*C12/1000</f>
        <v>4500803.30137574</v>
      </c>
      <c r="F12" s="26" t="n">
        <f aca="false">B12*$F$3*$F$2*D12/1000</f>
        <v>6157470.82752</v>
      </c>
      <c r="G12" s="26" t="n">
        <f aca="false">F12-E12</f>
        <v>1656667.52614426</v>
      </c>
      <c r="H12" s="27" t="n">
        <f aca="false">IFERROR(G12/E12,0)</f>
        <v>0.368082632190984</v>
      </c>
    </row>
    <row r="13" customFormat="false" ht="15" hidden="false" customHeight="true" outlineLevel="0" collapsed="false">
      <c r="A13" s="13" t="str">
        <f aca="false">'Расчет Кплотн СМП'!A13</f>
        <v>Западно-Казахстанская область</v>
      </c>
      <c r="B13" s="15" t="n">
        <f aca="false">'РПН по регионам'!D9</f>
        <v>687556</v>
      </c>
      <c r="C13" s="17" t="n">
        <f aca="false">'Расчет Кплотн СМП'!H13</f>
        <v>1.5961</v>
      </c>
      <c r="D13" s="17" t="n">
        <f aca="false">'Расчет Кплотн СМП'!G13</f>
        <v>2</v>
      </c>
      <c r="E13" s="26" t="n">
        <f aca="false">B13*$F$3*$F$2*C13/1000</f>
        <v>4777149.28583059</v>
      </c>
      <c r="F13" s="26" t="n">
        <f aca="false">B13*$F$3*$F$2*D13/1000</f>
        <v>5986027.54944</v>
      </c>
      <c r="G13" s="26" t="n">
        <f aca="false">F13-E13</f>
        <v>1208878.26360941</v>
      </c>
      <c r="H13" s="27" t="n">
        <f aca="false">IFERROR(G13/E13,0)</f>
        <v>0.253054319904768</v>
      </c>
    </row>
    <row r="14" customFormat="false" ht="15" hidden="false" customHeight="true" outlineLevel="0" collapsed="false">
      <c r="A14" s="13" t="str">
        <f aca="false">'Расчет Кплотн СМП'!A14</f>
        <v>Жамбылская область</v>
      </c>
      <c r="B14" s="15" t="n">
        <f aca="false">'РПН по регионам'!D10</f>
        <v>1174485</v>
      </c>
      <c r="C14" s="17" t="n">
        <f aca="false">'Расчет Кплотн СМП'!H14</f>
        <v>1.3212</v>
      </c>
      <c r="D14" s="17" t="n">
        <f aca="false">'Расчет Кплотн СМП'!G14</f>
        <v>1.8157</v>
      </c>
      <c r="E14" s="26" t="n">
        <f aca="false">B14*$F$3*$F$2*C14/1000</f>
        <v>6754865.07799584</v>
      </c>
      <c r="F14" s="26" t="n">
        <f aca="false">B14*$F$3*$F$2*D14/1000</f>
        <v>9283082.44180824</v>
      </c>
      <c r="G14" s="26" t="n">
        <f aca="false">F14-E14</f>
        <v>2528217.3638124</v>
      </c>
      <c r="H14" s="27" t="n">
        <f aca="false">IFERROR(G14/E14,0)</f>
        <v>0.374280956706025</v>
      </c>
    </row>
    <row r="15" customFormat="false" ht="15" hidden="false" customHeight="true" outlineLevel="0" collapsed="false">
      <c r="A15" s="13" t="str">
        <f aca="false">'Расчет Кплотн СМП'!A15</f>
        <v>Жетысуская область</v>
      </c>
      <c r="B15" s="15" t="n">
        <f aca="false">'РПН по регионам'!D11</f>
        <v>653811</v>
      </c>
      <c r="C15" s="17" t="n">
        <f aca="false">'Расчет Кплотн СМП'!H15</f>
        <v>1.4611</v>
      </c>
      <c r="D15" s="17" t="n">
        <f aca="false">'Расчет Кплотн СМП'!G15</f>
        <v>2</v>
      </c>
      <c r="E15" s="26" t="n">
        <f aca="false">B15*$F$3*$F$2*C15/1000</f>
        <v>4158462.63038155</v>
      </c>
      <c r="F15" s="26" t="n">
        <f aca="false">B15*$F$3*$F$2*D15/1000</f>
        <v>5692235.48064</v>
      </c>
      <c r="G15" s="26" t="n">
        <f aca="false">F15-E15</f>
        <v>1533772.85025845</v>
      </c>
      <c r="H15" s="27" t="n">
        <f aca="false">IFERROR(G15/E15,0)</f>
        <v>0.368831702142222</v>
      </c>
    </row>
    <row r="16" customFormat="false" ht="15" hidden="false" customHeight="true" outlineLevel="0" collapsed="false">
      <c r="A16" s="13" t="str">
        <f aca="false">'Расчет Кплотн СМП'!A16</f>
        <v>Карагандинская область</v>
      </c>
      <c r="B16" s="15" t="n">
        <f aca="false">'РПН по регионам'!D12</f>
        <v>1181097</v>
      </c>
      <c r="C16" s="17" t="n">
        <f aca="false">'Расчет Кплотн СМП'!H16</f>
        <v>1.5721</v>
      </c>
      <c r="D16" s="17" t="n">
        <f aca="false">'Расчет Кплотн СМП'!G16</f>
        <v>2</v>
      </c>
      <c r="E16" s="26" t="n">
        <f aca="false">B16*$F$3*$F$2*C16/1000</f>
        <v>8082884.50668735</v>
      </c>
      <c r="F16" s="26" t="n">
        <f aca="false">B16*$F$3*$F$2*D16/1000</f>
        <v>10282913.94528</v>
      </c>
      <c r="G16" s="26" t="n">
        <f aca="false">F16-E16</f>
        <v>2200029.43859266</v>
      </c>
      <c r="H16" s="27" t="n">
        <f aca="false">IFERROR(G16/E16,0)</f>
        <v>0.27218370332676</v>
      </c>
    </row>
    <row r="17" customFormat="false" ht="15" hidden="false" customHeight="true" outlineLevel="0" collapsed="false">
      <c r="A17" s="13" t="str">
        <f aca="false">'Расчет Кплотн СМП'!A17</f>
        <v>Костанайская область</v>
      </c>
      <c r="B17" s="15" t="n">
        <f aca="false">'РПН по регионам'!D13</f>
        <v>776501</v>
      </c>
      <c r="C17" s="17" t="n">
        <f aca="false">'Расчет Кплотн СМП'!H17</f>
        <v>1.6402</v>
      </c>
      <c r="D17" s="17" t="n">
        <f aca="false">'Расчет Кплотн СМП'!G17</f>
        <v>2</v>
      </c>
      <c r="E17" s="26" t="n">
        <f aca="false">B17*$F$3*$F$2*C17/1000</f>
        <v>5544207.37472342</v>
      </c>
      <c r="F17" s="26" t="n">
        <f aca="false">B17*$F$3*$F$2*D17/1000</f>
        <v>6760404.06624</v>
      </c>
      <c r="G17" s="26" t="n">
        <f aca="false">F17-E17</f>
        <v>1216196.69151658</v>
      </c>
      <c r="H17" s="27" t="n">
        <f aca="false">IFERROR(G17/E17,0)</f>
        <v>0.219363492257042</v>
      </c>
    </row>
    <row r="18" customFormat="false" ht="15" hidden="false" customHeight="true" outlineLevel="0" collapsed="false">
      <c r="A18" s="13" t="str">
        <f aca="false">'Расчет Кплотн СМП'!A18</f>
        <v>Кызылординская область</v>
      </c>
      <c r="B18" s="15" t="n">
        <f aca="false">'РПН по регионам'!D14</f>
        <v>821538</v>
      </c>
      <c r="C18" s="17" t="n">
        <f aca="false">'Расчет Кплотн СМП'!H18</f>
        <v>1.7272</v>
      </c>
      <c r="D18" s="17" t="n">
        <f aca="false">'Расчет Кплотн СМП'!G18</f>
        <v>2</v>
      </c>
      <c r="E18" s="26" t="n">
        <f aca="false">B18*$F$3*$F$2*C18/1000</f>
        <v>6176905.04271283</v>
      </c>
      <c r="F18" s="26" t="n">
        <f aca="false">B18*$F$3*$F$2*D18/1000</f>
        <v>7152506.99712</v>
      </c>
      <c r="G18" s="26" t="n">
        <f aca="false">F18-E18</f>
        <v>975601.954407167</v>
      </c>
      <c r="H18" s="27" t="n">
        <f aca="false">IFERROR(G18/E18,0)</f>
        <v>0.157943492357573</v>
      </c>
    </row>
    <row r="19" customFormat="false" ht="15" hidden="false" customHeight="true" outlineLevel="0" collapsed="false">
      <c r="A19" s="13" t="str">
        <f aca="false">'Расчет Кплотн СМП'!A19</f>
        <v>Мангистауская область</v>
      </c>
      <c r="B19" s="15" t="n">
        <f aca="false">'РПН по регионам'!D15</f>
        <v>831774</v>
      </c>
      <c r="C19" s="17" t="n">
        <f aca="false">'Расчет Кплотн СМП'!H19</f>
        <v>1.5823</v>
      </c>
      <c r="D19" s="17" t="n">
        <f aca="false">'Расчет Кплотн СМП'!G19</f>
        <v>2</v>
      </c>
      <c r="E19" s="26" t="n">
        <f aca="false">B19*$F$3*$F$2*C19/1000</f>
        <v>5729210.88279062</v>
      </c>
      <c r="F19" s="26" t="n">
        <f aca="false">B19*$F$3*$F$2*D19/1000</f>
        <v>7241624.06976</v>
      </c>
      <c r="G19" s="26" t="n">
        <f aca="false">F19-E19</f>
        <v>1512413.18696938</v>
      </c>
      <c r="H19" s="27" t="n">
        <f aca="false">IFERROR(G19/E19,0)</f>
        <v>0.263982809833786</v>
      </c>
    </row>
    <row r="20" customFormat="false" ht="15" hidden="false" customHeight="true" outlineLevel="0" collapsed="false">
      <c r="A20" s="13" t="str">
        <f aca="false">'Расчет Кплотн СМП'!A20</f>
        <v>Павлодарская область</v>
      </c>
      <c r="B20" s="15" t="n">
        <f aca="false">'РПН по регионам'!D16</f>
        <v>745936</v>
      </c>
      <c r="C20" s="17" t="n">
        <f aca="false">'Расчет Кплотн СМП'!H20</f>
        <v>1.449</v>
      </c>
      <c r="D20" s="17" t="n">
        <f aca="false">'Расчет Кплотн СМП'!G20</f>
        <v>2</v>
      </c>
      <c r="E20" s="26" t="n">
        <f aca="false">B20*$F$3*$F$2*C20/1000</f>
        <v>4705118.78554368</v>
      </c>
      <c r="F20" s="26" t="n">
        <f aca="false">B20*$F$3*$F$2*D20/1000</f>
        <v>6494297.84064</v>
      </c>
      <c r="G20" s="26" t="n">
        <f aca="false">F20-E20</f>
        <v>1789179.05509632</v>
      </c>
      <c r="H20" s="27" t="n">
        <f aca="false">IFERROR(G20/E20,0)</f>
        <v>0.380262249827467</v>
      </c>
    </row>
    <row r="21" customFormat="false" ht="15" hidden="false" customHeight="true" outlineLevel="0" collapsed="false">
      <c r="A21" s="13" t="str">
        <f aca="false">'Расчет Кплотн СМП'!A21</f>
        <v>Северо-Казахстанская область</v>
      </c>
      <c r="B21" s="15" t="n">
        <f aca="false">'РПН по регионам'!D17</f>
        <v>515743</v>
      </c>
      <c r="C21" s="17" t="n">
        <f aca="false">'Расчет Кплотн СМП'!H21</f>
        <v>1.4994</v>
      </c>
      <c r="D21" s="17" t="n">
        <f aca="false">'Расчет Кплотн СМП'!G21</f>
        <v>2</v>
      </c>
      <c r="E21" s="26" t="n">
        <f aca="false">B21*$F$3*$F$2*C21/1000</f>
        <v>3366289.6975391</v>
      </c>
      <c r="F21" s="26" t="n">
        <f aca="false">B21*$F$3*$F$2*D21/1000</f>
        <v>4490182.33632</v>
      </c>
      <c r="G21" s="26" t="n">
        <f aca="false">F21-E21</f>
        <v>1123892.6387809</v>
      </c>
      <c r="H21" s="27" t="n">
        <f aca="false">IFERROR(G21/E21,0)</f>
        <v>0.333866880085367</v>
      </c>
    </row>
    <row r="22" customFormat="false" ht="15" hidden="false" customHeight="true" outlineLevel="0" collapsed="false">
      <c r="A22" s="13" t="str">
        <f aca="false">'Расчет Кплотн СМП'!A22</f>
        <v>Туркестанская область</v>
      </c>
      <c r="B22" s="15" t="n">
        <f aca="false">'РПН по регионам'!D18</f>
        <v>2095460</v>
      </c>
      <c r="C22" s="17" t="n">
        <f aca="false">'Расчет Кплотн СМП'!H22</f>
        <v>1.1483</v>
      </c>
      <c r="D22" s="17" t="n">
        <f aca="false">'Расчет Кплотн СМП'!G22</f>
        <v>1.3704</v>
      </c>
      <c r="E22" s="26" t="n">
        <f aca="false">B22*$F$3*$F$2*C22/1000</f>
        <v>10474550.1194602</v>
      </c>
      <c r="F22" s="26" t="n">
        <f aca="false">B22*$F$3*$F$2*D22/1000</f>
        <v>12500499.4197581</v>
      </c>
      <c r="G22" s="26" t="n">
        <f aca="false">F22-E22</f>
        <v>2025949.30029792</v>
      </c>
      <c r="H22" s="27" t="n">
        <f aca="false">IFERROR(G22/E22,0)</f>
        <v>0.193416354611164</v>
      </c>
    </row>
    <row r="23" customFormat="false" ht="15" hidden="false" customHeight="true" outlineLevel="0" collapsed="false">
      <c r="A23" s="13" t="str">
        <f aca="false">'Расчет Кплотн СМП'!A23</f>
        <v>Улытауская область</v>
      </c>
      <c r="B23" s="15" t="n">
        <f aca="false">'РПН по регионам'!D19</f>
        <v>214472</v>
      </c>
      <c r="C23" s="17" t="n">
        <f aca="false">'Расчет Кплотн СМП'!H23</f>
        <v>2</v>
      </c>
      <c r="D23" s="17" t="n">
        <f aca="false">'Расчет Кплотн СМП'!G23</f>
        <v>2</v>
      </c>
      <c r="E23" s="26" t="n">
        <f aca="false">B23*$F$3*$F$2*C23/1000</f>
        <v>1867244.70528</v>
      </c>
      <c r="F23" s="26" t="n">
        <f aca="false">B23*$F$3*$F$2*D23/1000</f>
        <v>1867244.70528</v>
      </c>
      <c r="G23" s="26" t="n">
        <f aca="false">F23-E23</f>
        <v>0</v>
      </c>
      <c r="H23" s="27" t="n">
        <f aca="false">IFERROR(G23/E23,0)</f>
        <v>0</v>
      </c>
    </row>
    <row r="24" customFormat="false" ht="15" hidden="false" customHeight="true" outlineLevel="0" collapsed="false">
      <c r="A24" s="13" t="str">
        <f aca="false">'Расчет Кплотн СМП'!A24</f>
        <v>Восточно-Казахстанская область</v>
      </c>
      <c r="B24" s="15" t="n">
        <f aca="false">'РПН по регионам'!D20</f>
        <v>710040</v>
      </c>
      <c r="C24" s="17" t="n">
        <f aca="false">'Расчет Кплотн СМП'!H24</f>
        <v>1.4021</v>
      </c>
      <c r="D24" s="17" t="n">
        <f aca="false">'Расчет Кплотн СМП'!G24</f>
        <v>1.9014</v>
      </c>
      <c r="E24" s="26" t="n">
        <f aca="false">B24*$F$3*$F$2*C24/1000</f>
        <v>4333735.92230208</v>
      </c>
      <c r="F24" s="26" t="n">
        <f aca="false">B24*$F$3*$F$2*D24/1000</f>
        <v>5877016.96217472</v>
      </c>
      <c r="G24" s="26" t="n">
        <f aca="false">F24-E24</f>
        <v>1543281.03987264</v>
      </c>
      <c r="H24" s="27" t="n">
        <f aca="false">IFERROR(G24/E24,0)</f>
        <v>0.356108694101705</v>
      </c>
    </row>
    <row r="25" customFormat="false" ht="15" hidden="false" customHeight="true" outlineLevel="0" collapsed="false">
      <c r="A25" s="13" t="str">
        <f aca="false">'Расчет Кплотн СМП'!A25</f>
        <v>город Шымкент</v>
      </c>
      <c r="B25" s="15" t="n">
        <f aca="false">'РПН по регионам'!D21</f>
        <v>1292864</v>
      </c>
      <c r="C25" s="17" t="n">
        <f aca="false">'Расчет Кплотн СМП'!H25</f>
        <v>1</v>
      </c>
      <c r="D25" s="17" t="n">
        <f aca="false">'Расчет Кплотн СМП'!G25</f>
        <v>1</v>
      </c>
      <c r="E25" s="26" t="n">
        <f aca="false">B25*$F$3*$F$2*C25/1000</f>
        <v>5627992.13568</v>
      </c>
      <c r="F25" s="26" t="n">
        <f aca="false">B25*$F$3*$F$2*D25/1000</f>
        <v>5627992.13568</v>
      </c>
      <c r="G25" s="26" t="n">
        <f aca="false">F25-E25</f>
        <v>0</v>
      </c>
      <c r="H25" s="27" t="n">
        <f aca="false">IFERROR(G25/E25,0)</f>
        <v>0</v>
      </c>
    </row>
    <row r="26" customFormat="false" ht="15" hidden="false" customHeight="true" outlineLevel="0" collapsed="false">
      <c r="A26" s="13" t="str">
        <f aca="false">'Расчет Кплотн СМП'!A26</f>
        <v>город Алматы</v>
      </c>
      <c r="B26" s="15" t="n">
        <f aca="false">'РПН по регионам'!D22</f>
        <v>2398435</v>
      </c>
      <c r="C26" s="17" t="n">
        <f aca="false">'Расчет Кплотн СМП'!H26</f>
        <v>1</v>
      </c>
      <c r="D26" s="17" t="n">
        <f aca="false">'Расчет Кплотн СМП'!G26</f>
        <v>1</v>
      </c>
      <c r="E26" s="26" t="n">
        <f aca="false">B26*$F$3*$F$2*C26/1000</f>
        <v>10440675.3672</v>
      </c>
      <c r="F26" s="26" t="n">
        <f aca="false">B26*$F$3*$F$2*D26/1000</f>
        <v>10440675.3672</v>
      </c>
      <c r="G26" s="26" t="n">
        <f aca="false">F26-E26</f>
        <v>0</v>
      </c>
      <c r="H26" s="27" t="n">
        <f aca="false">IFERROR(G26/E26,0)</f>
        <v>0</v>
      </c>
    </row>
    <row r="27" customFormat="false" ht="15" hidden="false" customHeight="true" outlineLevel="0" collapsed="false">
      <c r="A27" s="13" t="str">
        <f aca="false">'Расчет Кплотн СМП'!A27</f>
        <v>город Астана</v>
      </c>
      <c r="B27" s="15" t="n">
        <f aca="false">'РПН по регионам'!D23</f>
        <v>1700015</v>
      </c>
      <c r="C27" s="17" t="n">
        <f aca="false">'Расчет Кплотн СМП'!H27</f>
        <v>1</v>
      </c>
      <c r="D27" s="17" t="n">
        <f aca="false">'Расчет Кплотн СМП'!G27</f>
        <v>1</v>
      </c>
      <c r="E27" s="26" t="n">
        <f aca="false">B27*$F$3*$F$2*C27/1000</f>
        <v>7400369.2968</v>
      </c>
      <c r="F27" s="26" t="n">
        <f aca="false">B27*$F$3*$F$2*D27/1000</f>
        <v>7400369.2968</v>
      </c>
      <c r="G27" s="26" t="n">
        <f aca="false">F27-E27</f>
        <v>0</v>
      </c>
      <c r="H27" s="27" t="n">
        <f aca="false">IFERROR(G27/E27,0)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3" min="3" style="1" width="14"/>
  </cols>
  <sheetData>
    <row r="1" customFormat="false" ht="15" hidden="false" customHeight="true" outlineLevel="0" collapsed="false">
      <c r="A1" s="2" t="s">
        <v>44</v>
      </c>
    </row>
    <row r="3" customFormat="false" ht="30" hidden="false" customHeight="true" outlineLevel="0" collapsed="false">
      <c r="A3" s="6" t="s">
        <v>45</v>
      </c>
      <c r="B3" s="6" t="s">
        <v>46</v>
      </c>
      <c r="C3" s="6" t="s">
        <v>47</v>
      </c>
    </row>
    <row r="4" customFormat="false" ht="15" hidden="false" customHeight="true" outlineLevel="0" collapsed="false">
      <c r="A4" s="13" t="s">
        <v>48</v>
      </c>
      <c r="B4" s="13" t="s">
        <v>49</v>
      </c>
      <c r="C4" s="28" t="n">
        <v>2009.391</v>
      </c>
    </row>
    <row r="5" customFormat="false" ht="15" hidden="false" customHeight="true" outlineLevel="0" collapsed="false">
      <c r="A5" s="13" t="s">
        <v>48</v>
      </c>
      <c r="B5" s="13" t="s">
        <v>50</v>
      </c>
      <c r="C5" s="28" t="n">
        <v>1356.19</v>
      </c>
    </row>
    <row r="6" customFormat="false" ht="15" hidden="false" customHeight="true" outlineLevel="0" collapsed="false">
      <c r="A6" s="13" t="s">
        <v>48</v>
      </c>
      <c r="B6" s="13" t="s">
        <v>51</v>
      </c>
      <c r="C6" s="28" t="n">
        <v>4958.803</v>
      </c>
    </row>
    <row r="7" customFormat="false" ht="15" hidden="false" customHeight="true" outlineLevel="0" collapsed="false">
      <c r="A7" s="13" t="s">
        <v>48</v>
      </c>
      <c r="B7" s="13" t="s">
        <v>52</v>
      </c>
      <c r="C7" s="28" t="n">
        <v>1137.3767</v>
      </c>
    </row>
    <row r="8" customFormat="false" ht="15" hidden="false" customHeight="true" outlineLevel="0" collapsed="false">
      <c r="A8" s="13" t="s">
        <v>48</v>
      </c>
      <c r="B8" s="13" t="s">
        <v>53</v>
      </c>
      <c r="C8" s="28" t="n">
        <v>698.992</v>
      </c>
    </row>
    <row r="9" customFormat="false" ht="15" hidden="false" customHeight="true" outlineLevel="0" collapsed="false">
      <c r="A9" s="13" t="s">
        <v>48</v>
      </c>
      <c r="B9" s="13" t="s">
        <v>54</v>
      </c>
      <c r="C9" s="28" t="n">
        <v>2754.401</v>
      </c>
    </row>
    <row r="10" customFormat="false" ht="15" hidden="false" customHeight="true" outlineLevel="0" collapsed="false">
      <c r="A10" s="13" t="s">
        <v>48</v>
      </c>
      <c r="B10" s="13" t="s">
        <v>55</v>
      </c>
      <c r="C10" s="28" t="n">
        <v>2340.38</v>
      </c>
    </row>
    <row r="11" customFormat="false" ht="15" hidden="false" customHeight="true" outlineLevel="0" collapsed="false">
      <c r="A11" s="13" t="s">
        <v>48</v>
      </c>
      <c r="B11" s="13" t="s">
        <v>56</v>
      </c>
      <c r="C11" s="28" t="n">
        <v>909.936</v>
      </c>
    </row>
    <row r="12" customFormat="false" ht="15" hidden="false" customHeight="true" outlineLevel="0" collapsed="false">
      <c r="A12" s="13" t="s">
        <v>48</v>
      </c>
      <c r="B12" s="13" t="s">
        <v>57</v>
      </c>
      <c r="C12" s="28" t="n">
        <v>1137.466</v>
      </c>
    </row>
    <row r="13" customFormat="false" ht="15" hidden="false" customHeight="true" outlineLevel="0" collapsed="false">
      <c r="A13" s="13" t="s">
        <v>48</v>
      </c>
      <c r="B13" s="13" t="s">
        <v>58</v>
      </c>
      <c r="C13" s="28" t="n">
        <v>1203.906</v>
      </c>
    </row>
    <row r="14" customFormat="false" ht="15" hidden="false" customHeight="true" outlineLevel="0" collapsed="false">
      <c r="A14" s="13" t="s">
        <v>48</v>
      </c>
      <c r="B14" s="13" t="s">
        <v>59</v>
      </c>
      <c r="C14" s="28" t="n">
        <v>11.0000033</v>
      </c>
    </row>
    <row r="15" customFormat="false" ht="15" hidden="false" customHeight="true" outlineLevel="0" collapsed="false">
      <c r="A15" s="13" t="s">
        <v>48</v>
      </c>
      <c r="B15" s="13" t="s">
        <v>60</v>
      </c>
      <c r="C15" s="28" t="n">
        <v>29.8213</v>
      </c>
    </row>
    <row r="16" customFormat="false" ht="15" hidden="false" customHeight="true" outlineLevel="0" collapsed="false">
      <c r="A16" s="13" t="s">
        <v>61</v>
      </c>
      <c r="B16" s="13" t="s">
        <v>62</v>
      </c>
      <c r="C16" s="28" t="n">
        <v>815.528</v>
      </c>
    </row>
    <row r="17" customFormat="false" ht="15" hidden="false" customHeight="true" outlineLevel="0" collapsed="false">
      <c r="A17" s="13" t="s">
        <v>61</v>
      </c>
      <c r="B17" s="13" t="s">
        <v>63</v>
      </c>
      <c r="C17" s="28" t="n">
        <v>584.786</v>
      </c>
    </row>
    <row r="18" customFormat="false" ht="15" hidden="false" customHeight="true" outlineLevel="0" collapsed="false">
      <c r="A18" s="13" t="s">
        <v>61</v>
      </c>
      <c r="B18" s="13" t="s">
        <v>64</v>
      </c>
      <c r="C18" s="28" t="n">
        <v>737.838</v>
      </c>
    </row>
    <row r="19" customFormat="false" ht="15" hidden="false" customHeight="true" outlineLevel="0" collapsed="false">
      <c r="A19" s="13" t="s">
        <v>61</v>
      </c>
      <c r="B19" s="13" t="s">
        <v>65</v>
      </c>
      <c r="C19" s="28" t="n">
        <v>1063.496</v>
      </c>
    </row>
    <row r="20" customFormat="false" ht="15" hidden="false" customHeight="true" outlineLevel="0" collapsed="false">
      <c r="A20" s="13" t="s">
        <v>61</v>
      </c>
      <c r="B20" s="13" t="s">
        <v>66</v>
      </c>
      <c r="C20" s="28" t="n">
        <v>508.335</v>
      </c>
    </row>
    <row r="21" customFormat="false" ht="15" hidden="false" customHeight="true" outlineLevel="0" collapsed="false">
      <c r="A21" s="13" t="s">
        <v>61</v>
      </c>
      <c r="B21" s="13" t="s">
        <v>67</v>
      </c>
      <c r="C21" s="28" t="n">
        <v>594.498</v>
      </c>
    </row>
    <row r="22" customFormat="false" ht="15" hidden="false" customHeight="true" outlineLevel="0" collapsed="false">
      <c r="A22" s="13" t="s">
        <v>61</v>
      </c>
      <c r="B22" s="13" t="s">
        <v>68</v>
      </c>
      <c r="C22" s="28" t="n">
        <v>1098.899</v>
      </c>
    </row>
    <row r="23" customFormat="false" ht="15" hidden="false" customHeight="true" outlineLevel="0" collapsed="false">
      <c r="A23" s="13" t="s">
        <v>61</v>
      </c>
      <c r="B23" s="13" t="s">
        <v>69</v>
      </c>
      <c r="C23" s="28" t="n">
        <v>541.185</v>
      </c>
    </row>
    <row r="24" customFormat="false" ht="15" hidden="false" customHeight="true" outlineLevel="0" collapsed="false">
      <c r="A24" s="13" t="s">
        <v>61</v>
      </c>
      <c r="B24" s="13" t="s">
        <v>70</v>
      </c>
      <c r="C24" s="28" t="n">
        <v>1765.815</v>
      </c>
    </row>
    <row r="25" customFormat="false" ht="15" hidden="false" customHeight="true" outlineLevel="0" collapsed="false">
      <c r="A25" s="13" t="s">
        <v>61</v>
      </c>
      <c r="B25" s="13" t="s">
        <v>71</v>
      </c>
      <c r="C25" s="28" t="n">
        <v>796.685</v>
      </c>
    </row>
    <row r="26" customFormat="false" ht="15" hidden="false" customHeight="true" outlineLevel="0" collapsed="false">
      <c r="A26" s="13" t="s">
        <v>61</v>
      </c>
      <c r="B26" s="13" t="s">
        <v>72</v>
      </c>
      <c r="C26" s="28" t="n">
        <v>969.264</v>
      </c>
    </row>
    <row r="27" customFormat="false" ht="15" hidden="false" customHeight="true" outlineLevel="0" collapsed="false">
      <c r="A27" s="13" t="s">
        <v>61</v>
      </c>
      <c r="B27" s="13" t="s">
        <v>73</v>
      </c>
      <c r="C27" s="28" t="n">
        <v>1205.936</v>
      </c>
    </row>
    <row r="28" customFormat="false" ht="15" hidden="false" customHeight="true" outlineLevel="0" collapsed="false">
      <c r="A28" s="13" t="s">
        <v>61</v>
      </c>
      <c r="B28" s="13" t="s">
        <v>74</v>
      </c>
      <c r="C28" s="28" t="n">
        <v>780.81</v>
      </c>
    </row>
    <row r="29" customFormat="false" ht="15" hidden="false" customHeight="true" outlineLevel="0" collapsed="false">
      <c r="A29" s="13" t="s">
        <v>61</v>
      </c>
      <c r="B29" s="13" t="s">
        <v>75</v>
      </c>
      <c r="C29" s="28" t="n">
        <v>931.097</v>
      </c>
    </row>
    <row r="30" customFormat="false" ht="15" hidden="false" customHeight="true" outlineLevel="0" collapsed="false">
      <c r="A30" s="13" t="s">
        <v>61</v>
      </c>
      <c r="B30" s="13" t="s">
        <v>76</v>
      </c>
      <c r="C30" s="28" t="n">
        <v>638.259</v>
      </c>
    </row>
    <row r="31" customFormat="false" ht="15" hidden="false" customHeight="true" outlineLevel="0" collapsed="false">
      <c r="A31" s="13" t="s">
        <v>61</v>
      </c>
      <c r="B31" s="13" t="s">
        <v>77</v>
      </c>
      <c r="C31" s="28" t="n">
        <v>766.4056</v>
      </c>
    </row>
    <row r="32" customFormat="false" ht="15" hidden="false" customHeight="true" outlineLevel="0" collapsed="false">
      <c r="A32" s="13" t="s">
        <v>61</v>
      </c>
      <c r="B32" s="13" t="s">
        <v>78</v>
      </c>
      <c r="C32" s="28" t="n">
        <v>467.564</v>
      </c>
    </row>
    <row r="33" customFormat="false" ht="15" hidden="false" customHeight="true" outlineLevel="0" collapsed="false">
      <c r="A33" s="13" t="s">
        <v>61</v>
      </c>
      <c r="B33" s="13" t="s">
        <v>79</v>
      </c>
      <c r="C33" s="28" t="n">
        <v>42.518</v>
      </c>
    </row>
    <row r="34" customFormat="false" ht="15" hidden="false" customHeight="true" outlineLevel="0" collapsed="false">
      <c r="A34" s="13" t="s">
        <v>61</v>
      </c>
      <c r="B34" s="13" t="s">
        <v>80</v>
      </c>
      <c r="C34" s="28" t="n">
        <v>13.6604</v>
      </c>
    </row>
    <row r="35" customFormat="false" ht="15" hidden="false" customHeight="true" outlineLevel="0" collapsed="false">
      <c r="A35" s="13" t="s">
        <v>61</v>
      </c>
      <c r="B35" s="13" t="s">
        <v>81</v>
      </c>
      <c r="C35" s="28" t="n">
        <v>290.54</v>
      </c>
    </row>
    <row r="36" customFormat="false" ht="15" hidden="false" customHeight="true" outlineLevel="0" collapsed="false">
      <c r="A36" s="13" t="s">
        <v>82</v>
      </c>
      <c r="B36" s="13" t="s">
        <v>83</v>
      </c>
      <c r="C36" s="28" t="n">
        <v>3588.868</v>
      </c>
    </row>
    <row r="37" customFormat="false" ht="15" hidden="false" customHeight="true" outlineLevel="0" collapsed="false">
      <c r="A37" s="13" t="s">
        <v>82</v>
      </c>
      <c r="B37" s="13" t="s">
        <v>84</v>
      </c>
      <c r="C37" s="28" t="n">
        <v>750.697</v>
      </c>
    </row>
    <row r="38" customFormat="false" ht="15" hidden="false" customHeight="true" outlineLevel="0" collapsed="false">
      <c r="A38" s="13" t="s">
        <v>82</v>
      </c>
      <c r="B38" s="13" t="s">
        <v>85</v>
      </c>
      <c r="C38" s="28" t="n">
        <v>6103.969</v>
      </c>
    </row>
    <row r="39" customFormat="false" ht="15" hidden="false" customHeight="true" outlineLevel="0" collapsed="false">
      <c r="A39" s="13" t="s">
        <v>82</v>
      </c>
      <c r="B39" s="13" t="s">
        <v>86</v>
      </c>
      <c r="C39" s="28" t="n">
        <v>4151.2</v>
      </c>
    </row>
    <row r="40" customFormat="false" ht="15" hidden="false" customHeight="true" outlineLevel="0" collapsed="false">
      <c r="A40" s="13" t="s">
        <v>82</v>
      </c>
      <c r="B40" s="13" t="s">
        <v>87</v>
      </c>
      <c r="C40" s="28" t="n">
        <v>499.846</v>
      </c>
    </row>
    <row r="41" customFormat="false" ht="15" hidden="false" customHeight="true" outlineLevel="0" collapsed="false">
      <c r="A41" s="13" t="s">
        <v>82</v>
      </c>
      <c r="B41" s="13" t="s">
        <v>88</v>
      </c>
      <c r="C41" s="28" t="n">
        <v>1402.98</v>
      </c>
    </row>
    <row r="42" customFormat="false" ht="15" hidden="false" customHeight="true" outlineLevel="0" collapsed="false">
      <c r="A42" s="13" t="s">
        <v>82</v>
      </c>
      <c r="B42" s="13" t="s">
        <v>89</v>
      </c>
      <c r="C42" s="28" t="n">
        <v>660.532</v>
      </c>
    </row>
    <row r="43" customFormat="false" ht="15" hidden="false" customHeight="true" outlineLevel="0" collapsed="false">
      <c r="A43" s="13" t="s">
        <v>82</v>
      </c>
      <c r="B43" s="13" t="s">
        <v>90</v>
      </c>
      <c r="C43" s="28" t="n">
        <v>2786.18</v>
      </c>
    </row>
    <row r="44" customFormat="false" ht="15" hidden="false" customHeight="true" outlineLevel="0" collapsed="false">
      <c r="A44" s="13" t="s">
        <v>82</v>
      </c>
      <c r="B44" s="13" t="s">
        <v>91</v>
      </c>
      <c r="C44" s="28" t="n">
        <v>1261.954</v>
      </c>
    </row>
    <row r="45" customFormat="false" ht="15" hidden="false" customHeight="true" outlineLevel="0" collapsed="false">
      <c r="A45" s="13" t="s">
        <v>82</v>
      </c>
      <c r="B45" s="13" t="s">
        <v>92</v>
      </c>
      <c r="C45" s="28" t="n">
        <v>1145.686</v>
      </c>
    </row>
    <row r="46" customFormat="false" ht="15" hidden="false" customHeight="true" outlineLevel="0" collapsed="false">
      <c r="A46" s="13" t="s">
        <v>82</v>
      </c>
      <c r="B46" s="13" t="s">
        <v>93</v>
      </c>
      <c r="C46" s="28" t="n">
        <v>1292.15</v>
      </c>
    </row>
    <row r="47" customFormat="false" ht="15" hidden="false" customHeight="true" outlineLevel="0" collapsed="false">
      <c r="A47" s="13" t="s">
        <v>82</v>
      </c>
      <c r="B47" s="13" t="s">
        <v>94</v>
      </c>
      <c r="C47" s="28" t="n">
        <v>6185.08</v>
      </c>
    </row>
    <row r="48" customFormat="false" ht="15" hidden="false" customHeight="true" outlineLevel="0" collapsed="false">
      <c r="A48" s="13" t="s">
        <v>82</v>
      </c>
      <c r="B48" s="13" t="s">
        <v>95</v>
      </c>
      <c r="C48" s="28" t="n">
        <v>233.758</v>
      </c>
    </row>
    <row r="49" customFormat="false" ht="15" hidden="false" customHeight="true" outlineLevel="0" collapsed="false">
      <c r="A49" s="13" t="s">
        <v>96</v>
      </c>
      <c r="B49" s="13" t="s">
        <v>97</v>
      </c>
      <c r="C49" s="28" t="n">
        <v>3739.06075</v>
      </c>
    </row>
    <row r="50" customFormat="false" ht="15" hidden="false" customHeight="true" outlineLevel="0" collapsed="false">
      <c r="A50" s="13" t="s">
        <v>96</v>
      </c>
      <c r="B50" s="13" t="s">
        <v>98</v>
      </c>
      <c r="C50" s="28" t="n">
        <v>829.66</v>
      </c>
    </row>
    <row r="51" customFormat="false" ht="15" hidden="false" customHeight="true" outlineLevel="0" collapsed="false">
      <c r="A51" s="13" t="s">
        <v>96</v>
      </c>
      <c r="B51" s="13" t="s">
        <v>99</v>
      </c>
      <c r="C51" s="28" t="n">
        <v>1930.98</v>
      </c>
    </row>
    <row r="52" customFormat="false" ht="15" hidden="false" customHeight="true" outlineLevel="0" collapsed="false">
      <c r="A52" s="13" t="s">
        <v>96</v>
      </c>
      <c r="B52" s="13" t="s">
        <v>100</v>
      </c>
      <c r="C52" s="28" t="n">
        <v>714.698</v>
      </c>
    </row>
    <row r="53" customFormat="false" ht="15" hidden="false" customHeight="true" outlineLevel="0" collapsed="false">
      <c r="A53" s="13" t="s">
        <v>96</v>
      </c>
      <c r="B53" s="13" t="s">
        <v>101</v>
      </c>
      <c r="C53" s="28" t="n">
        <v>200.952</v>
      </c>
    </row>
    <row r="54" customFormat="false" ht="15" hidden="false" customHeight="true" outlineLevel="0" collapsed="false">
      <c r="A54" s="13" t="s">
        <v>96</v>
      </c>
      <c r="B54" s="13" t="s">
        <v>102</v>
      </c>
      <c r="C54" s="28" t="n">
        <v>710.298</v>
      </c>
    </row>
    <row r="55" customFormat="false" ht="15" hidden="false" customHeight="true" outlineLevel="0" collapsed="false">
      <c r="A55" s="13" t="s">
        <v>96</v>
      </c>
      <c r="B55" s="13" t="s">
        <v>103</v>
      </c>
      <c r="C55" s="28" t="n">
        <v>711.937</v>
      </c>
    </row>
    <row r="56" customFormat="false" ht="15" hidden="false" customHeight="true" outlineLevel="0" collapsed="false">
      <c r="A56" s="13" t="s">
        <v>96</v>
      </c>
      <c r="B56" s="13" t="s">
        <v>104</v>
      </c>
      <c r="C56" s="28" t="n">
        <v>353.274</v>
      </c>
    </row>
    <row r="57" customFormat="false" ht="15" hidden="false" customHeight="true" outlineLevel="0" collapsed="false">
      <c r="A57" s="13" t="s">
        <v>96</v>
      </c>
      <c r="B57" s="13" t="s">
        <v>105</v>
      </c>
      <c r="C57" s="28" t="n">
        <v>875.752</v>
      </c>
    </row>
    <row r="58" customFormat="false" ht="15" hidden="false" customHeight="true" outlineLevel="0" collapsed="false">
      <c r="A58" s="13" t="s">
        <v>96</v>
      </c>
      <c r="B58" s="13" t="s">
        <v>106</v>
      </c>
      <c r="C58" s="28" t="n">
        <v>88</v>
      </c>
    </row>
    <row r="59" customFormat="false" ht="15" hidden="false" customHeight="true" outlineLevel="0" collapsed="false">
      <c r="A59" s="13" t="s">
        <v>96</v>
      </c>
      <c r="B59" s="13" t="s">
        <v>107</v>
      </c>
      <c r="C59" s="28" t="n">
        <v>354.441</v>
      </c>
    </row>
    <row r="60" customFormat="false" ht="15" hidden="false" customHeight="true" outlineLevel="0" collapsed="false">
      <c r="A60" s="13" t="s">
        <v>108</v>
      </c>
      <c r="B60" s="13" t="s">
        <v>109</v>
      </c>
      <c r="C60" s="28" t="n">
        <v>2935.252</v>
      </c>
    </row>
    <row r="61" customFormat="false" ht="15" hidden="false" customHeight="true" outlineLevel="0" collapsed="false">
      <c r="A61" s="13" t="s">
        <v>108</v>
      </c>
      <c r="B61" s="13" t="s">
        <v>110</v>
      </c>
      <c r="C61" s="28" t="n">
        <v>1087.08</v>
      </c>
    </row>
    <row r="62" customFormat="false" ht="15" hidden="false" customHeight="true" outlineLevel="0" collapsed="false">
      <c r="A62" s="13" t="s">
        <v>108</v>
      </c>
      <c r="B62" s="13" t="s">
        <v>111</v>
      </c>
      <c r="C62" s="28" t="n">
        <v>1471.551</v>
      </c>
    </row>
    <row r="63" customFormat="false" ht="15" hidden="false" customHeight="true" outlineLevel="0" collapsed="false">
      <c r="A63" s="13" t="s">
        <v>108</v>
      </c>
      <c r="B63" s="13" t="s">
        <v>112</v>
      </c>
      <c r="C63" s="28" t="n">
        <v>2086.066</v>
      </c>
    </row>
    <row r="64" customFormat="false" ht="15" hidden="false" customHeight="true" outlineLevel="0" collapsed="false">
      <c r="A64" s="13" t="s">
        <v>108</v>
      </c>
      <c r="B64" s="13" t="s">
        <v>113</v>
      </c>
      <c r="C64" s="28" t="n">
        <v>2060.91314</v>
      </c>
    </row>
    <row r="65" customFormat="false" ht="15" hidden="false" customHeight="true" outlineLevel="0" collapsed="false">
      <c r="A65" s="13" t="s">
        <v>108</v>
      </c>
      <c r="B65" s="13" t="s">
        <v>114</v>
      </c>
      <c r="C65" s="28" t="n">
        <v>914.98486</v>
      </c>
    </row>
    <row r="66" customFormat="false" ht="15" hidden="false" customHeight="true" outlineLevel="0" collapsed="false">
      <c r="A66" s="13" t="s">
        <v>108</v>
      </c>
      <c r="B66" s="13" t="s">
        <v>115</v>
      </c>
      <c r="C66" s="28" t="n">
        <v>923.487</v>
      </c>
    </row>
    <row r="67" customFormat="false" ht="15" hidden="false" customHeight="true" outlineLevel="0" collapsed="false">
      <c r="A67" s="13" t="s">
        <v>108</v>
      </c>
      <c r="B67" s="13" t="s">
        <v>116</v>
      </c>
      <c r="C67" s="28" t="n">
        <v>383.784</v>
      </c>
    </row>
    <row r="68" customFormat="false" ht="15" hidden="false" customHeight="true" outlineLevel="0" collapsed="false">
      <c r="A68" s="13" t="s">
        <v>117</v>
      </c>
      <c r="B68" s="13" t="s">
        <v>118</v>
      </c>
      <c r="C68" s="28" t="n">
        <v>1056.096</v>
      </c>
    </row>
    <row r="69" customFormat="false" ht="15" hidden="false" customHeight="true" outlineLevel="0" collapsed="false">
      <c r="A69" s="13" t="s">
        <v>117</v>
      </c>
      <c r="B69" s="13" t="s">
        <v>119</v>
      </c>
      <c r="C69" s="28" t="n">
        <v>729.929</v>
      </c>
    </row>
    <row r="70" customFormat="false" ht="15" hidden="false" customHeight="true" outlineLevel="0" collapsed="false">
      <c r="A70" s="13" t="s">
        <v>117</v>
      </c>
      <c r="B70" s="13" t="s">
        <v>120</v>
      </c>
      <c r="C70" s="28" t="n">
        <v>1044.424</v>
      </c>
    </row>
    <row r="71" customFormat="false" ht="15" hidden="false" customHeight="true" outlineLevel="0" collapsed="false">
      <c r="A71" s="13" t="s">
        <v>117</v>
      </c>
      <c r="B71" s="13" t="s">
        <v>121</v>
      </c>
      <c r="C71" s="28" t="n">
        <v>940.777</v>
      </c>
    </row>
    <row r="72" customFormat="false" ht="15" hidden="false" customHeight="true" outlineLevel="0" collapsed="false">
      <c r="A72" s="13" t="s">
        <v>117</v>
      </c>
      <c r="B72" s="13" t="s">
        <v>122</v>
      </c>
      <c r="C72" s="28" t="n">
        <v>1216.969</v>
      </c>
    </row>
    <row r="73" customFormat="false" ht="15" hidden="false" customHeight="true" outlineLevel="0" collapsed="false">
      <c r="A73" s="13" t="s">
        <v>117</v>
      </c>
      <c r="B73" s="13" t="s">
        <v>123</v>
      </c>
      <c r="C73" s="28" t="n">
        <v>1102.917</v>
      </c>
    </row>
    <row r="74" customFormat="false" ht="15" hidden="false" customHeight="true" outlineLevel="0" collapsed="false">
      <c r="A74" s="13" t="s">
        <v>117</v>
      </c>
      <c r="B74" s="13" t="s">
        <v>124</v>
      </c>
      <c r="C74" s="28" t="n">
        <v>547.6</v>
      </c>
    </row>
    <row r="75" customFormat="false" ht="15" hidden="false" customHeight="true" outlineLevel="0" collapsed="false">
      <c r="A75" s="13" t="s">
        <v>117</v>
      </c>
      <c r="B75" s="13" t="s">
        <v>125</v>
      </c>
      <c r="C75" s="28" t="n">
        <v>1017</v>
      </c>
    </row>
    <row r="76" customFormat="false" ht="15" hidden="false" customHeight="true" outlineLevel="0" collapsed="false">
      <c r="A76" s="13" t="s">
        <v>117</v>
      </c>
      <c r="B76" s="13" t="s">
        <v>126</v>
      </c>
      <c r="C76" s="28" t="n">
        <v>378.298</v>
      </c>
    </row>
    <row r="77" customFormat="false" ht="15" hidden="false" customHeight="true" outlineLevel="0" collapsed="false">
      <c r="A77" s="13" t="s">
        <v>117</v>
      </c>
      <c r="B77" s="13" t="s">
        <v>127</v>
      </c>
      <c r="C77" s="28" t="n">
        <v>962.481</v>
      </c>
    </row>
    <row r="78" customFormat="false" ht="15" hidden="false" customHeight="true" outlineLevel="0" collapsed="false">
      <c r="A78" s="13" t="s">
        <v>117</v>
      </c>
      <c r="B78" s="13" t="s">
        <v>128</v>
      </c>
      <c r="C78" s="28" t="n">
        <v>395.988000023</v>
      </c>
    </row>
    <row r="79" customFormat="false" ht="15" hidden="false" customHeight="true" outlineLevel="0" collapsed="false">
      <c r="A79" s="13" t="s">
        <v>117</v>
      </c>
      <c r="B79" s="13" t="s">
        <v>129</v>
      </c>
      <c r="C79" s="28" t="n">
        <v>338.722</v>
      </c>
    </row>
    <row r="80" customFormat="false" ht="15" hidden="false" customHeight="true" outlineLevel="0" collapsed="false">
      <c r="A80" s="13" t="s">
        <v>117</v>
      </c>
      <c r="B80" s="13" t="s">
        <v>130</v>
      </c>
      <c r="C80" s="28" t="n">
        <v>54.649</v>
      </c>
    </row>
    <row r="81" customFormat="false" ht="15" hidden="false" customHeight="true" outlineLevel="0" collapsed="false">
      <c r="A81" s="13" t="s">
        <v>131</v>
      </c>
      <c r="B81" s="13" t="s">
        <v>132</v>
      </c>
      <c r="C81" s="28" t="n">
        <v>446.38497</v>
      </c>
    </row>
    <row r="82" customFormat="false" ht="15" hidden="false" customHeight="true" outlineLevel="0" collapsed="false">
      <c r="A82" s="13" t="s">
        <v>131</v>
      </c>
      <c r="B82" s="13" t="s">
        <v>99</v>
      </c>
      <c r="C82" s="28" t="n">
        <v>430.95365385</v>
      </c>
    </row>
    <row r="83" customFormat="false" ht="15" hidden="false" customHeight="true" outlineLevel="0" collapsed="false">
      <c r="A83" s="13" t="s">
        <v>131</v>
      </c>
      <c r="B83" s="13" t="s">
        <v>133</v>
      </c>
      <c r="C83" s="28" t="n">
        <v>413.6979902</v>
      </c>
    </row>
    <row r="84" customFormat="false" ht="15" hidden="false" customHeight="true" outlineLevel="0" collapsed="false">
      <c r="A84" s="13" t="s">
        <v>131</v>
      </c>
      <c r="B84" s="13" t="s">
        <v>134</v>
      </c>
      <c r="C84" s="28" t="n">
        <v>898.422</v>
      </c>
    </row>
    <row r="85" customFormat="false" ht="15" hidden="false" customHeight="true" outlineLevel="0" collapsed="false">
      <c r="A85" s="13" t="s">
        <v>131</v>
      </c>
      <c r="B85" s="13" t="s">
        <v>135</v>
      </c>
      <c r="C85" s="28" t="n">
        <v>705.69700311</v>
      </c>
    </row>
    <row r="86" customFormat="false" ht="15" hidden="false" customHeight="true" outlineLevel="0" collapsed="false">
      <c r="A86" s="13" t="s">
        <v>131</v>
      </c>
      <c r="B86" s="13" t="s">
        <v>136</v>
      </c>
      <c r="C86" s="28" t="n">
        <v>5045.071</v>
      </c>
    </row>
    <row r="87" customFormat="false" ht="15" hidden="false" customHeight="true" outlineLevel="0" collapsed="false">
      <c r="A87" s="13" t="s">
        <v>131</v>
      </c>
      <c r="B87" s="13" t="s">
        <v>137</v>
      </c>
      <c r="C87" s="28" t="n">
        <v>3136.094</v>
      </c>
    </row>
    <row r="88" customFormat="false" ht="15" hidden="false" customHeight="true" outlineLevel="0" collapsed="false">
      <c r="A88" s="13" t="s">
        <v>131</v>
      </c>
      <c r="B88" s="13" t="s">
        <v>138</v>
      </c>
      <c r="C88" s="28" t="n">
        <v>1220.561</v>
      </c>
    </row>
    <row r="89" customFormat="false" ht="15" hidden="false" customHeight="true" outlineLevel="0" collapsed="false">
      <c r="A89" s="13" t="s">
        <v>131</v>
      </c>
      <c r="B89" s="13" t="s">
        <v>139</v>
      </c>
      <c r="C89" s="28" t="n">
        <v>908.6912877196</v>
      </c>
    </row>
    <row r="90" customFormat="false" ht="15" hidden="false" customHeight="true" outlineLevel="0" collapsed="false">
      <c r="A90" s="13" t="s">
        <v>131</v>
      </c>
      <c r="B90" s="13" t="s">
        <v>140</v>
      </c>
      <c r="C90" s="28" t="n">
        <v>1203.0297992316</v>
      </c>
    </row>
    <row r="91" customFormat="false" ht="15" hidden="false" customHeight="true" outlineLevel="0" collapsed="false">
      <c r="A91" s="13" t="s">
        <v>131</v>
      </c>
      <c r="B91" s="13" t="s">
        <v>141</v>
      </c>
      <c r="C91" s="28" t="n">
        <v>18.7868</v>
      </c>
    </row>
    <row r="92" customFormat="false" ht="15" hidden="false" customHeight="true" outlineLevel="0" collapsed="false">
      <c r="A92" s="13" t="s">
        <v>142</v>
      </c>
      <c r="B92" s="13" t="s">
        <v>143</v>
      </c>
      <c r="C92" s="28" t="n">
        <v>1259.2931229</v>
      </c>
    </row>
    <row r="93" customFormat="false" ht="15" hidden="false" customHeight="true" outlineLevel="0" collapsed="false">
      <c r="A93" s="13" t="s">
        <v>142</v>
      </c>
      <c r="B93" s="13" t="s">
        <v>144</v>
      </c>
      <c r="C93" s="28" t="n">
        <v>2367.267</v>
      </c>
    </row>
    <row r="94" customFormat="false" ht="15" hidden="false" customHeight="true" outlineLevel="0" collapsed="false">
      <c r="A94" s="13" t="s">
        <v>142</v>
      </c>
      <c r="B94" s="13" t="s">
        <v>145</v>
      </c>
      <c r="C94" s="28" t="n">
        <v>397.048</v>
      </c>
    </row>
    <row r="95" customFormat="false" ht="15" hidden="false" customHeight="true" outlineLevel="0" collapsed="false">
      <c r="A95" s="13" t="s">
        <v>142</v>
      </c>
      <c r="B95" s="13" t="s">
        <v>146</v>
      </c>
      <c r="C95" s="28" t="n">
        <v>2422.222</v>
      </c>
    </row>
    <row r="96" customFormat="false" ht="15" hidden="false" customHeight="true" outlineLevel="0" collapsed="false">
      <c r="A96" s="13" t="s">
        <v>142</v>
      </c>
      <c r="B96" s="13" t="s">
        <v>147</v>
      </c>
      <c r="C96" s="28" t="n">
        <v>1149.301</v>
      </c>
    </row>
    <row r="97" customFormat="false" ht="15" hidden="false" customHeight="true" outlineLevel="0" collapsed="false">
      <c r="A97" s="13" t="s">
        <v>142</v>
      </c>
      <c r="B97" s="13" t="s">
        <v>148</v>
      </c>
      <c r="C97" s="28" t="n">
        <v>706.6954329</v>
      </c>
    </row>
    <row r="98" customFormat="false" ht="15" hidden="false" customHeight="true" outlineLevel="0" collapsed="false">
      <c r="A98" s="13" t="s">
        <v>142</v>
      </c>
      <c r="B98" s="13" t="s">
        <v>149</v>
      </c>
      <c r="C98" s="28" t="n">
        <v>1058.252</v>
      </c>
    </row>
    <row r="99" customFormat="false" ht="15" hidden="false" customHeight="true" outlineLevel="0" collapsed="false">
      <c r="A99" s="13" t="s">
        <v>142</v>
      </c>
      <c r="B99" s="13" t="s">
        <v>150</v>
      </c>
      <c r="C99" s="28" t="n">
        <v>2440.409</v>
      </c>
    </row>
    <row r="100" customFormat="false" ht="15" hidden="false" customHeight="true" outlineLevel="0" collapsed="false">
      <c r="A100" s="13" t="s">
        <v>142</v>
      </c>
      <c r="B100" s="13" t="s">
        <v>151</v>
      </c>
      <c r="C100" s="28" t="n">
        <v>38.502</v>
      </c>
    </row>
    <row r="101" customFormat="false" ht="15" hidden="false" customHeight="true" outlineLevel="0" collapsed="false">
      <c r="A101" s="13" t="s">
        <v>142</v>
      </c>
      <c r="B101" s="13" t="s">
        <v>152</v>
      </c>
      <c r="C101" s="28" t="n">
        <v>7.008</v>
      </c>
    </row>
    <row r="102" customFormat="false" ht="15" hidden="false" customHeight="true" outlineLevel="0" collapsed="false">
      <c r="A102" s="13" t="s">
        <v>153</v>
      </c>
      <c r="B102" s="13" t="s">
        <v>154</v>
      </c>
      <c r="C102" s="28" t="n">
        <v>2571.605</v>
      </c>
    </row>
    <row r="103" customFormat="false" ht="15" hidden="false" customHeight="true" outlineLevel="0" collapsed="false">
      <c r="A103" s="13" t="s">
        <v>153</v>
      </c>
      <c r="B103" s="13" t="s">
        <v>155</v>
      </c>
      <c r="C103" s="28" t="n">
        <v>742.133</v>
      </c>
    </row>
    <row r="104" customFormat="false" ht="15" hidden="false" customHeight="true" outlineLevel="0" collapsed="false">
      <c r="A104" s="13" t="s">
        <v>153</v>
      </c>
      <c r="B104" s="13" t="s">
        <v>156</v>
      </c>
      <c r="C104" s="28" t="n">
        <v>1921.445</v>
      </c>
    </row>
    <row r="105" customFormat="false" ht="15" hidden="false" customHeight="true" outlineLevel="0" collapsed="false">
      <c r="A105" s="13" t="s">
        <v>153</v>
      </c>
      <c r="B105" s="13" t="s">
        <v>157</v>
      </c>
      <c r="C105" s="28" t="n">
        <v>556.634</v>
      </c>
    </row>
    <row r="106" customFormat="false" ht="15" hidden="false" customHeight="true" outlineLevel="0" collapsed="false">
      <c r="A106" s="13" t="s">
        <v>153</v>
      </c>
      <c r="B106" s="13" t="s">
        <v>158</v>
      </c>
      <c r="C106" s="28" t="n">
        <v>2076.073</v>
      </c>
    </row>
    <row r="107" customFormat="false" ht="15" hidden="false" customHeight="true" outlineLevel="0" collapsed="false">
      <c r="A107" s="13" t="s">
        <v>153</v>
      </c>
      <c r="B107" s="13" t="s">
        <v>159</v>
      </c>
      <c r="C107" s="28" t="n">
        <v>821.323</v>
      </c>
    </row>
    <row r="108" customFormat="false" ht="15" hidden="false" customHeight="true" outlineLevel="0" collapsed="false">
      <c r="A108" s="13" t="s">
        <v>153</v>
      </c>
      <c r="B108" s="13" t="s">
        <v>160</v>
      </c>
      <c r="C108" s="28" t="n">
        <v>1860.581</v>
      </c>
    </row>
    <row r="109" customFormat="false" ht="15" hidden="false" customHeight="true" outlineLevel="0" collapsed="false">
      <c r="A109" s="13" t="s">
        <v>153</v>
      </c>
      <c r="B109" s="13" t="s">
        <v>161</v>
      </c>
      <c r="C109" s="28" t="n">
        <v>997.492</v>
      </c>
    </row>
    <row r="110" customFormat="false" ht="15" hidden="false" customHeight="true" outlineLevel="0" collapsed="false">
      <c r="A110" s="13" t="s">
        <v>153</v>
      </c>
      <c r="B110" s="13" t="s">
        <v>162</v>
      </c>
      <c r="C110" s="28" t="n">
        <v>1188.843</v>
      </c>
    </row>
    <row r="111" customFormat="false" ht="15" hidden="false" customHeight="true" outlineLevel="0" collapsed="false">
      <c r="A111" s="13" t="s">
        <v>153</v>
      </c>
      <c r="B111" s="13" t="s">
        <v>163</v>
      </c>
      <c r="C111" s="28" t="n">
        <v>806.805</v>
      </c>
    </row>
    <row r="112" customFormat="false" ht="15" hidden="false" customHeight="true" outlineLevel="0" collapsed="false">
      <c r="A112" s="13" t="s">
        <v>153</v>
      </c>
      <c r="B112" s="13" t="s">
        <v>164</v>
      </c>
      <c r="C112" s="28" t="n">
        <v>796.757</v>
      </c>
    </row>
    <row r="113" customFormat="false" ht="15" hidden="false" customHeight="true" outlineLevel="0" collapsed="false">
      <c r="A113" s="13" t="s">
        <v>153</v>
      </c>
      <c r="B113" s="13" t="s">
        <v>165</v>
      </c>
      <c r="C113" s="28" t="n">
        <v>722.989</v>
      </c>
    </row>
    <row r="114" customFormat="false" ht="15" hidden="false" customHeight="true" outlineLevel="0" collapsed="false">
      <c r="A114" s="13" t="s">
        <v>153</v>
      </c>
      <c r="B114" s="13" t="s">
        <v>166</v>
      </c>
      <c r="C114" s="28" t="n">
        <v>71.17</v>
      </c>
    </row>
    <row r="115" customFormat="false" ht="15" hidden="false" customHeight="true" outlineLevel="0" collapsed="false">
      <c r="A115" s="13" t="s">
        <v>167</v>
      </c>
      <c r="B115" s="13" t="s">
        <v>49</v>
      </c>
      <c r="C115" s="28" t="n">
        <v>672.5285186</v>
      </c>
    </row>
    <row r="116" customFormat="false" ht="15" hidden="false" customHeight="true" outlineLevel="0" collapsed="false">
      <c r="A116" s="13" t="s">
        <v>167</v>
      </c>
      <c r="B116" s="13" t="s">
        <v>168</v>
      </c>
      <c r="C116" s="28" t="n">
        <v>5190.9315946</v>
      </c>
    </row>
    <row r="117" customFormat="false" ht="15" hidden="false" customHeight="true" outlineLevel="0" collapsed="false">
      <c r="A117" s="13" t="s">
        <v>167</v>
      </c>
      <c r="B117" s="13" t="s">
        <v>169</v>
      </c>
      <c r="C117" s="28" t="n">
        <v>1439.3199769</v>
      </c>
    </row>
    <row r="118" customFormat="false" ht="15" hidden="false" customHeight="true" outlineLevel="0" collapsed="false">
      <c r="A118" s="13" t="s">
        <v>167</v>
      </c>
      <c r="B118" s="13" t="s">
        <v>170</v>
      </c>
      <c r="C118" s="28" t="n">
        <v>3547.236</v>
      </c>
    </row>
    <row r="119" customFormat="false" ht="15" hidden="false" customHeight="true" outlineLevel="0" collapsed="false">
      <c r="A119" s="13" t="s">
        <v>167</v>
      </c>
      <c r="B119" s="13" t="s">
        <v>171</v>
      </c>
      <c r="C119" s="28" t="n">
        <v>4632.6301005</v>
      </c>
    </row>
    <row r="120" customFormat="false" ht="15" hidden="false" customHeight="true" outlineLevel="0" collapsed="false">
      <c r="A120" s="13" t="s">
        <v>167</v>
      </c>
      <c r="B120" s="13" t="s">
        <v>172</v>
      </c>
      <c r="C120" s="28" t="n">
        <v>1126.147</v>
      </c>
    </row>
    <row r="121" customFormat="false" ht="15" hidden="false" customHeight="true" outlineLevel="0" collapsed="false">
      <c r="A121" s="13" t="s">
        <v>167</v>
      </c>
      <c r="B121" s="13" t="s">
        <v>173</v>
      </c>
      <c r="C121" s="28" t="n">
        <v>6569.4047539</v>
      </c>
    </row>
    <row r="122" customFormat="false" ht="15" hidden="false" customHeight="true" outlineLevel="0" collapsed="false">
      <c r="A122" s="13" t="s">
        <v>167</v>
      </c>
      <c r="B122" s="13" t="s">
        <v>174</v>
      </c>
      <c r="C122" s="28" t="n">
        <v>600.33506</v>
      </c>
    </row>
    <row r="123" customFormat="false" ht="15" hidden="false" customHeight="true" outlineLevel="0" collapsed="false">
      <c r="A123" s="13" t="s">
        <v>167</v>
      </c>
      <c r="B123" s="13" t="s">
        <v>175</v>
      </c>
      <c r="C123" s="28" t="n">
        <v>49.78</v>
      </c>
    </row>
    <row r="124" customFormat="false" ht="15" hidden="false" customHeight="true" outlineLevel="0" collapsed="false">
      <c r="A124" s="13" t="s">
        <v>167</v>
      </c>
      <c r="B124" s="13" t="s">
        <v>176</v>
      </c>
      <c r="C124" s="28" t="n">
        <v>5.45204</v>
      </c>
    </row>
    <row r="125" customFormat="false" ht="15" hidden="false" customHeight="true" outlineLevel="0" collapsed="false">
      <c r="A125" s="13" t="s">
        <v>167</v>
      </c>
      <c r="B125" s="13" t="s">
        <v>177</v>
      </c>
      <c r="C125" s="28" t="n">
        <v>16.1040673</v>
      </c>
    </row>
    <row r="126" customFormat="false" ht="15" hidden="false" customHeight="true" outlineLevel="0" collapsed="false">
      <c r="A126" s="13" t="s">
        <v>167</v>
      </c>
      <c r="B126" s="13" t="s">
        <v>178</v>
      </c>
      <c r="C126" s="28" t="n">
        <v>31.1473331</v>
      </c>
    </row>
    <row r="127" customFormat="false" ht="15" hidden="false" customHeight="true" outlineLevel="0" collapsed="false">
      <c r="A127" s="13" t="s">
        <v>167</v>
      </c>
      <c r="B127" s="13" t="s">
        <v>179</v>
      </c>
      <c r="C127" s="28" t="n">
        <v>23.6194543</v>
      </c>
    </row>
    <row r="128" customFormat="false" ht="15" hidden="false" customHeight="true" outlineLevel="0" collapsed="false">
      <c r="A128" s="13" t="s">
        <v>180</v>
      </c>
      <c r="B128" s="13" t="s">
        <v>181</v>
      </c>
      <c r="C128" s="28" t="n">
        <v>544.767</v>
      </c>
    </row>
    <row r="129" customFormat="false" ht="15" hidden="false" customHeight="true" outlineLevel="0" collapsed="false">
      <c r="A129" s="13" t="s">
        <v>180</v>
      </c>
      <c r="B129" s="13" t="s">
        <v>182</v>
      </c>
      <c r="C129" s="28" t="n">
        <v>2250.988</v>
      </c>
    </row>
    <row r="130" customFormat="false" ht="15" hidden="false" customHeight="true" outlineLevel="0" collapsed="false">
      <c r="A130" s="13" t="s">
        <v>180</v>
      </c>
      <c r="B130" s="13" t="s">
        <v>183</v>
      </c>
      <c r="C130" s="28" t="n">
        <v>1110.872</v>
      </c>
    </row>
    <row r="131" customFormat="false" ht="15" hidden="false" customHeight="true" outlineLevel="0" collapsed="false">
      <c r="A131" s="13" t="s">
        <v>180</v>
      </c>
      <c r="B131" s="13" t="s">
        <v>184</v>
      </c>
      <c r="C131" s="28" t="n">
        <v>760.47</v>
      </c>
    </row>
    <row r="132" customFormat="false" ht="15" hidden="false" customHeight="true" outlineLevel="0" collapsed="false">
      <c r="A132" s="13" t="s">
        <v>180</v>
      </c>
      <c r="B132" s="13" t="s">
        <v>185</v>
      </c>
      <c r="C132" s="28" t="n">
        <v>676.901</v>
      </c>
    </row>
    <row r="133" customFormat="false" ht="15" hidden="false" customHeight="true" outlineLevel="0" collapsed="false">
      <c r="A133" s="13" t="s">
        <v>180</v>
      </c>
      <c r="B133" s="13" t="s">
        <v>186</v>
      </c>
      <c r="C133" s="28" t="n">
        <v>3759.6242</v>
      </c>
    </row>
    <row r="134" customFormat="false" ht="15" hidden="false" customHeight="true" outlineLevel="0" collapsed="false">
      <c r="A134" s="13" t="s">
        <v>180</v>
      </c>
      <c r="B134" s="13" t="s">
        <v>187</v>
      </c>
      <c r="C134" s="28" t="n">
        <v>731.1993</v>
      </c>
    </row>
    <row r="135" customFormat="false" ht="15" hidden="false" customHeight="true" outlineLevel="0" collapsed="false">
      <c r="A135" s="13" t="s">
        <v>180</v>
      </c>
      <c r="B135" s="13" t="s">
        <v>188</v>
      </c>
      <c r="C135" s="28" t="n">
        <v>1205.42400016084</v>
      </c>
    </row>
    <row r="136" customFormat="false" ht="15" hidden="false" customHeight="true" outlineLevel="0" collapsed="false">
      <c r="A136" s="13" t="s">
        <v>180</v>
      </c>
      <c r="B136" s="13" t="s">
        <v>189</v>
      </c>
      <c r="C136" s="28" t="n">
        <v>686.23</v>
      </c>
    </row>
    <row r="137" customFormat="false" ht="15" hidden="false" customHeight="true" outlineLevel="0" collapsed="false">
      <c r="A137" s="13" t="s">
        <v>180</v>
      </c>
      <c r="B137" s="13" t="s">
        <v>190</v>
      </c>
      <c r="C137" s="28" t="n">
        <v>1278.207</v>
      </c>
    </row>
    <row r="138" customFormat="false" ht="15" hidden="false" customHeight="true" outlineLevel="0" collapsed="false">
      <c r="A138" s="13" t="s">
        <v>180</v>
      </c>
      <c r="B138" s="13" t="s">
        <v>191</v>
      </c>
      <c r="C138" s="28" t="n">
        <v>738.82999997</v>
      </c>
    </row>
    <row r="139" customFormat="false" ht="15" hidden="false" customHeight="true" outlineLevel="0" collapsed="false">
      <c r="A139" s="13" t="s">
        <v>180</v>
      </c>
      <c r="B139" s="13" t="s">
        <v>192</v>
      </c>
      <c r="C139" s="28" t="n">
        <v>661.773</v>
      </c>
    </row>
    <row r="140" customFormat="false" ht="15" hidden="false" customHeight="true" outlineLevel="0" collapsed="false">
      <c r="A140" s="13" t="s">
        <v>180</v>
      </c>
      <c r="B140" s="13" t="s">
        <v>193</v>
      </c>
      <c r="C140" s="28" t="n">
        <v>1519.755</v>
      </c>
    </row>
    <row r="141" customFormat="false" ht="15" hidden="false" customHeight="true" outlineLevel="0" collapsed="false">
      <c r="A141" s="13" t="s">
        <v>180</v>
      </c>
      <c r="B141" s="13" t="s">
        <v>194</v>
      </c>
      <c r="C141" s="28" t="n">
        <v>611.6130000002</v>
      </c>
    </row>
    <row r="142" customFormat="false" ht="15" hidden="false" customHeight="true" outlineLevel="0" collapsed="false">
      <c r="A142" s="13" t="s">
        <v>180</v>
      </c>
      <c r="B142" s="13" t="s">
        <v>195</v>
      </c>
      <c r="C142" s="28" t="n">
        <v>715.581</v>
      </c>
    </row>
    <row r="143" customFormat="false" ht="15" hidden="false" customHeight="true" outlineLevel="0" collapsed="false">
      <c r="A143" s="13" t="s">
        <v>180</v>
      </c>
      <c r="B143" s="13" t="s">
        <v>196</v>
      </c>
      <c r="C143" s="28" t="n">
        <v>721.028</v>
      </c>
    </row>
    <row r="144" customFormat="false" ht="15" hidden="false" customHeight="true" outlineLevel="0" collapsed="false">
      <c r="A144" s="13" t="s">
        <v>180</v>
      </c>
      <c r="B144" s="13" t="s">
        <v>197</v>
      </c>
      <c r="C144" s="28" t="n">
        <v>1558.72</v>
      </c>
    </row>
    <row r="145" customFormat="false" ht="15" hidden="false" customHeight="true" outlineLevel="0" collapsed="false">
      <c r="A145" s="13" t="s">
        <v>180</v>
      </c>
      <c r="B145" s="13" t="s">
        <v>198</v>
      </c>
      <c r="C145" s="28" t="n">
        <v>14.505</v>
      </c>
    </row>
    <row r="146" customFormat="false" ht="15" hidden="false" customHeight="true" outlineLevel="0" collapsed="false">
      <c r="A146" s="13" t="s">
        <v>180</v>
      </c>
      <c r="B146" s="13" t="s">
        <v>199</v>
      </c>
      <c r="C146" s="28" t="n">
        <v>28.0747000024103</v>
      </c>
    </row>
    <row r="147" customFormat="false" ht="15" hidden="false" customHeight="true" outlineLevel="0" collapsed="false">
      <c r="A147" s="13" t="s">
        <v>180</v>
      </c>
      <c r="B147" s="13" t="s">
        <v>200</v>
      </c>
      <c r="C147" s="28" t="n">
        <v>25.565</v>
      </c>
    </row>
    <row r="148" customFormat="false" ht="15" hidden="false" customHeight="true" outlineLevel="0" collapsed="false">
      <c r="A148" s="13" t="s">
        <v>201</v>
      </c>
      <c r="B148" s="13" t="s">
        <v>202</v>
      </c>
      <c r="C148" s="28" t="n">
        <v>5521.274</v>
      </c>
    </row>
    <row r="149" customFormat="false" ht="15" hidden="false" customHeight="true" outlineLevel="0" collapsed="false">
      <c r="A149" s="13" t="s">
        <v>201</v>
      </c>
      <c r="B149" s="13" t="s">
        <v>203</v>
      </c>
      <c r="C149" s="28" t="n">
        <v>2293.226</v>
      </c>
    </row>
    <row r="150" customFormat="false" ht="15" hidden="false" customHeight="true" outlineLevel="0" collapsed="false">
      <c r="A150" s="13" t="s">
        <v>201</v>
      </c>
      <c r="B150" s="13" t="s">
        <v>204</v>
      </c>
      <c r="C150" s="28" t="n">
        <v>1543.396</v>
      </c>
    </row>
    <row r="151" customFormat="false" ht="15" hidden="false" customHeight="true" outlineLevel="0" collapsed="false">
      <c r="A151" s="13" t="s">
        <v>201</v>
      </c>
      <c r="B151" s="13" t="s">
        <v>205</v>
      </c>
      <c r="C151" s="28" t="n">
        <v>3759.70604</v>
      </c>
    </row>
    <row r="152" customFormat="false" ht="15" hidden="false" customHeight="true" outlineLevel="0" collapsed="false">
      <c r="A152" s="13" t="s">
        <v>201</v>
      </c>
      <c r="B152" s="13" t="s">
        <v>206</v>
      </c>
      <c r="C152" s="28" t="n">
        <v>3104.07</v>
      </c>
    </row>
    <row r="153" customFormat="false" ht="15" hidden="false" customHeight="true" outlineLevel="0" collapsed="false">
      <c r="A153" s="13" t="s">
        <v>201</v>
      </c>
      <c r="B153" s="13" t="s">
        <v>207</v>
      </c>
      <c r="C153" s="28" t="n">
        <v>2904.533</v>
      </c>
    </row>
    <row r="154" customFormat="false" ht="15" hidden="false" customHeight="true" outlineLevel="0" collapsed="false">
      <c r="A154" s="13" t="s">
        <v>201</v>
      </c>
      <c r="B154" s="13" t="s">
        <v>208</v>
      </c>
      <c r="C154" s="28" t="n">
        <v>3239.755</v>
      </c>
    </row>
    <row r="155" customFormat="false" ht="15" hidden="false" customHeight="true" outlineLevel="0" collapsed="false">
      <c r="A155" s="13" t="s">
        <v>201</v>
      </c>
      <c r="B155" s="13" t="s">
        <v>209</v>
      </c>
      <c r="C155" s="28" t="n">
        <v>235.988</v>
      </c>
    </row>
    <row r="156" customFormat="false" ht="15" hidden="false" customHeight="true" outlineLevel="0" collapsed="false">
      <c r="A156" s="13" t="s">
        <v>210</v>
      </c>
      <c r="B156" s="13" t="s">
        <v>211</v>
      </c>
      <c r="C156" s="28" t="n">
        <v>4051.933</v>
      </c>
    </row>
    <row r="157" customFormat="false" ht="15" hidden="false" customHeight="true" outlineLevel="0" collapsed="false">
      <c r="A157" s="13" t="s">
        <v>210</v>
      </c>
      <c r="B157" s="13" t="s">
        <v>212</v>
      </c>
      <c r="C157" s="28" t="n">
        <v>6483.6369</v>
      </c>
    </row>
    <row r="158" customFormat="false" ht="15" hidden="false" customHeight="true" outlineLevel="0" collapsed="false">
      <c r="A158" s="13" t="s">
        <v>210</v>
      </c>
      <c r="B158" s="13" t="s">
        <v>213</v>
      </c>
      <c r="C158" s="28" t="n">
        <v>4602.2253</v>
      </c>
    </row>
    <row r="159" customFormat="false" ht="15" hidden="false" customHeight="true" outlineLevel="0" collapsed="false">
      <c r="A159" s="13" t="s">
        <v>210</v>
      </c>
      <c r="B159" s="13" t="s">
        <v>214</v>
      </c>
      <c r="C159" s="28" t="n">
        <v>492.189</v>
      </c>
    </row>
    <row r="160" customFormat="false" ht="15" hidden="false" customHeight="true" outlineLevel="0" collapsed="false">
      <c r="A160" s="13" t="s">
        <v>210</v>
      </c>
      <c r="B160" s="13" t="s">
        <v>215</v>
      </c>
      <c r="C160" s="28" t="n">
        <v>852.8052</v>
      </c>
    </row>
    <row r="161" customFormat="false" ht="15" hidden="false" customHeight="true" outlineLevel="0" collapsed="false">
      <c r="A161" s="13" t="s">
        <v>210</v>
      </c>
      <c r="B161" s="13" t="s">
        <v>216</v>
      </c>
      <c r="C161" s="28" t="n">
        <v>29.849</v>
      </c>
    </row>
    <row r="162" customFormat="false" ht="15" hidden="false" customHeight="true" outlineLevel="0" collapsed="false">
      <c r="A162" s="13" t="s">
        <v>210</v>
      </c>
      <c r="B162" s="13" t="s">
        <v>217</v>
      </c>
      <c r="C162" s="28" t="n">
        <v>51.549</v>
      </c>
    </row>
    <row r="163" customFormat="false" ht="15" hidden="false" customHeight="true" outlineLevel="0" collapsed="false">
      <c r="A163" s="13" t="s">
        <v>218</v>
      </c>
      <c r="B163" s="13" t="s">
        <v>168</v>
      </c>
      <c r="C163" s="28" t="n">
        <v>977.8009</v>
      </c>
    </row>
    <row r="164" customFormat="false" ht="15" hidden="false" customHeight="true" outlineLevel="0" collapsed="false">
      <c r="A164" s="13" t="s">
        <v>218</v>
      </c>
      <c r="B164" s="13" t="s">
        <v>219</v>
      </c>
      <c r="C164" s="28" t="n">
        <v>806.512</v>
      </c>
    </row>
    <row r="165" customFormat="false" ht="15" hidden="false" customHeight="true" outlineLevel="0" collapsed="false">
      <c r="A165" s="13" t="s">
        <v>218</v>
      </c>
      <c r="B165" s="13" t="s">
        <v>220</v>
      </c>
      <c r="C165" s="28" t="n">
        <v>1850.775</v>
      </c>
    </row>
    <row r="166" customFormat="false" ht="15" hidden="false" customHeight="true" outlineLevel="0" collapsed="false">
      <c r="A166" s="13" t="s">
        <v>218</v>
      </c>
      <c r="B166" s="13" t="s">
        <v>221</v>
      </c>
      <c r="C166" s="28" t="n">
        <v>766.772</v>
      </c>
    </row>
    <row r="167" customFormat="false" ht="15" hidden="false" customHeight="true" outlineLevel="0" collapsed="false">
      <c r="A167" s="13" t="s">
        <v>218</v>
      </c>
      <c r="B167" s="13" t="s">
        <v>222</v>
      </c>
      <c r="C167" s="28" t="n">
        <v>1019.0199</v>
      </c>
    </row>
    <row r="168" customFormat="false" ht="15" hidden="false" customHeight="true" outlineLevel="0" collapsed="false">
      <c r="A168" s="13" t="s">
        <v>218</v>
      </c>
      <c r="B168" s="13" t="s">
        <v>223</v>
      </c>
      <c r="C168" s="28" t="n">
        <v>675.2177</v>
      </c>
    </row>
    <row r="169" customFormat="false" ht="15" hidden="false" customHeight="true" outlineLevel="0" collapsed="false">
      <c r="A169" s="13" t="s">
        <v>218</v>
      </c>
      <c r="B169" s="13" t="s">
        <v>224</v>
      </c>
      <c r="C169" s="28" t="n">
        <v>1799.654</v>
      </c>
    </row>
    <row r="170" customFormat="false" ht="15" hidden="false" customHeight="true" outlineLevel="0" collapsed="false">
      <c r="A170" s="13" t="s">
        <v>218</v>
      </c>
      <c r="B170" s="13" t="s">
        <v>225</v>
      </c>
      <c r="C170" s="28" t="n">
        <v>582.0879</v>
      </c>
    </row>
    <row r="171" customFormat="false" ht="15" hidden="false" customHeight="true" outlineLevel="0" collapsed="false">
      <c r="A171" s="13" t="s">
        <v>218</v>
      </c>
      <c r="B171" s="13" t="s">
        <v>226</v>
      </c>
      <c r="C171" s="28" t="n">
        <v>549.4164</v>
      </c>
    </row>
    <row r="172" customFormat="false" ht="15" hidden="false" customHeight="true" outlineLevel="0" collapsed="false">
      <c r="A172" s="13" t="s">
        <v>218</v>
      </c>
      <c r="B172" s="13" t="s">
        <v>227</v>
      </c>
      <c r="C172" s="28" t="n">
        <v>684.866</v>
      </c>
    </row>
    <row r="173" customFormat="false" ht="15" hidden="false" customHeight="true" outlineLevel="0" collapsed="false">
      <c r="A173" s="13" t="s">
        <v>218</v>
      </c>
      <c r="B173" s="13" t="s">
        <v>228</v>
      </c>
      <c r="C173" s="28" t="n">
        <v>801.3584</v>
      </c>
    </row>
    <row r="174" customFormat="false" ht="15" hidden="false" customHeight="true" outlineLevel="0" collapsed="false">
      <c r="A174" s="13" t="s">
        <v>218</v>
      </c>
      <c r="B174" s="13" t="s">
        <v>229</v>
      </c>
      <c r="C174" s="28" t="n">
        <v>63.5115</v>
      </c>
    </row>
    <row r="175" customFormat="false" ht="15" hidden="false" customHeight="true" outlineLevel="0" collapsed="false">
      <c r="A175" s="13" t="s">
        <v>218</v>
      </c>
      <c r="B175" s="13" t="s">
        <v>230</v>
      </c>
      <c r="C175" s="28" t="n">
        <v>1887.6021</v>
      </c>
    </row>
    <row r="176" customFormat="false" ht="15" hidden="false" customHeight="true" outlineLevel="0" collapsed="false">
      <c r="A176" s="13" t="s">
        <v>231</v>
      </c>
      <c r="B176" s="13" t="s">
        <v>232</v>
      </c>
      <c r="C176" s="28" t="n">
        <v>960.382</v>
      </c>
    </row>
    <row r="177" customFormat="false" ht="15" hidden="false" customHeight="true" outlineLevel="0" collapsed="false">
      <c r="A177" s="13" t="s">
        <v>231</v>
      </c>
      <c r="B177" s="13" t="s">
        <v>233</v>
      </c>
      <c r="C177" s="28" t="n">
        <v>804.317</v>
      </c>
    </row>
    <row r="178" customFormat="false" ht="15" hidden="false" customHeight="true" outlineLevel="0" collapsed="false">
      <c r="A178" s="13" t="s">
        <v>231</v>
      </c>
      <c r="B178" s="13" t="s">
        <v>234</v>
      </c>
      <c r="C178" s="28" t="n">
        <v>470.708</v>
      </c>
    </row>
    <row r="179" customFormat="false" ht="15" hidden="false" customHeight="true" outlineLevel="0" collapsed="false">
      <c r="A179" s="13" t="s">
        <v>231</v>
      </c>
      <c r="B179" s="13" t="s">
        <v>235</v>
      </c>
      <c r="C179" s="28" t="n">
        <v>1108.678</v>
      </c>
    </row>
    <row r="180" customFormat="false" ht="15" hidden="false" customHeight="true" outlineLevel="0" collapsed="false">
      <c r="A180" s="13" t="s">
        <v>231</v>
      </c>
      <c r="B180" s="13" t="s">
        <v>71</v>
      </c>
      <c r="C180" s="28" t="n">
        <v>514.144</v>
      </c>
    </row>
    <row r="181" customFormat="false" ht="15" hidden="false" customHeight="true" outlineLevel="0" collapsed="false">
      <c r="A181" s="13" t="s">
        <v>231</v>
      </c>
      <c r="B181" s="13" t="s">
        <v>99</v>
      </c>
      <c r="C181" s="28" t="n">
        <v>746.52</v>
      </c>
    </row>
    <row r="182" customFormat="false" ht="15" hidden="false" customHeight="true" outlineLevel="0" collapsed="false">
      <c r="A182" s="13" t="s">
        <v>231</v>
      </c>
      <c r="B182" s="13" t="s">
        <v>236</v>
      </c>
      <c r="C182" s="28" t="n">
        <v>614.99</v>
      </c>
    </row>
    <row r="183" customFormat="false" ht="15" hidden="false" customHeight="true" outlineLevel="0" collapsed="false">
      <c r="A183" s="13" t="s">
        <v>231</v>
      </c>
      <c r="B183" s="13" t="s">
        <v>237</v>
      </c>
      <c r="C183" s="28" t="n">
        <v>780.698</v>
      </c>
    </row>
    <row r="184" customFormat="false" ht="15" hidden="false" customHeight="true" outlineLevel="0" collapsed="false">
      <c r="A184" s="13" t="s">
        <v>231</v>
      </c>
      <c r="B184" s="13" t="s">
        <v>238</v>
      </c>
      <c r="C184" s="28" t="n">
        <v>410.001</v>
      </c>
    </row>
    <row r="185" customFormat="false" ht="15" hidden="false" customHeight="true" outlineLevel="0" collapsed="false">
      <c r="A185" s="13" t="s">
        <v>231</v>
      </c>
      <c r="B185" s="13" t="s">
        <v>239</v>
      </c>
      <c r="C185" s="28" t="n">
        <v>1143.404</v>
      </c>
    </row>
    <row r="186" customFormat="false" ht="15" hidden="false" customHeight="true" outlineLevel="0" collapsed="false">
      <c r="A186" s="13" t="s">
        <v>231</v>
      </c>
      <c r="B186" s="13" t="s">
        <v>240</v>
      </c>
      <c r="C186" s="28" t="n">
        <v>451.167</v>
      </c>
    </row>
    <row r="187" customFormat="false" ht="15" hidden="false" customHeight="true" outlineLevel="0" collapsed="false">
      <c r="A187" s="13" t="s">
        <v>231</v>
      </c>
      <c r="B187" s="13" t="s">
        <v>241</v>
      </c>
      <c r="C187" s="28" t="n">
        <v>1287.662</v>
      </c>
    </row>
    <row r="188" customFormat="false" ht="15" hidden="false" customHeight="true" outlineLevel="0" collapsed="false">
      <c r="A188" s="13" t="s">
        <v>231</v>
      </c>
      <c r="B188" s="13" t="s">
        <v>242</v>
      </c>
      <c r="C188" s="28" t="n">
        <v>484.107</v>
      </c>
    </row>
    <row r="189" customFormat="false" ht="15" hidden="false" customHeight="true" outlineLevel="0" collapsed="false">
      <c r="A189" s="13" t="s">
        <v>231</v>
      </c>
      <c r="B189" s="13" t="s">
        <v>243</v>
      </c>
      <c r="C189" s="28" t="n">
        <v>22.491</v>
      </c>
    </row>
    <row r="190" customFormat="false" ht="15" hidden="false" customHeight="true" outlineLevel="0" collapsed="false">
      <c r="A190" s="13" t="s">
        <v>244</v>
      </c>
      <c r="B190" s="13" t="s">
        <v>245</v>
      </c>
      <c r="C190" s="28" t="n">
        <v>721.628</v>
      </c>
    </row>
    <row r="191" customFormat="false" ht="15" hidden="false" customHeight="true" outlineLevel="0" collapsed="false">
      <c r="A191" s="13" t="s">
        <v>244</v>
      </c>
      <c r="B191" s="13" t="s">
        <v>246</v>
      </c>
      <c r="C191" s="28" t="n">
        <v>104.5411</v>
      </c>
    </row>
    <row r="192" customFormat="false" ht="15" hidden="false" customHeight="true" outlineLevel="0" collapsed="false">
      <c r="A192" s="13" t="s">
        <v>244</v>
      </c>
      <c r="B192" s="13" t="s">
        <v>247</v>
      </c>
      <c r="C192" s="28" t="n">
        <v>409.057</v>
      </c>
    </row>
    <row r="193" customFormat="false" ht="15" hidden="false" customHeight="true" outlineLevel="0" collapsed="false">
      <c r="A193" s="13" t="s">
        <v>244</v>
      </c>
      <c r="B193" s="13" t="s">
        <v>248</v>
      </c>
      <c r="C193" s="28" t="n">
        <v>345.129</v>
      </c>
    </row>
    <row r="194" customFormat="false" ht="15" hidden="false" customHeight="true" outlineLevel="0" collapsed="false">
      <c r="A194" s="13" t="s">
        <v>244</v>
      </c>
      <c r="B194" s="13" t="s">
        <v>249</v>
      </c>
      <c r="C194" s="28" t="n">
        <v>80.8559</v>
      </c>
    </row>
    <row r="195" customFormat="false" ht="15" hidden="false" customHeight="true" outlineLevel="0" collapsed="false">
      <c r="A195" s="13" t="s">
        <v>244</v>
      </c>
      <c r="B195" s="13" t="s">
        <v>250</v>
      </c>
      <c r="C195" s="28" t="n">
        <v>265.561</v>
      </c>
    </row>
    <row r="196" customFormat="false" ht="15" hidden="false" customHeight="true" outlineLevel="0" collapsed="false">
      <c r="A196" s="13" t="s">
        <v>244</v>
      </c>
      <c r="B196" s="13" t="s">
        <v>251</v>
      </c>
      <c r="C196" s="28" t="n">
        <v>1675.743</v>
      </c>
    </row>
    <row r="197" customFormat="false" ht="15" hidden="false" customHeight="true" outlineLevel="0" collapsed="false">
      <c r="A197" s="13" t="s">
        <v>244</v>
      </c>
      <c r="B197" s="13" t="s">
        <v>252</v>
      </c>
      <c r="C197" s="28" t="n">
        <v>105.97</v>
      </c>
    </row>
    <row r="198" customFormat="false" ht="15" hidden="false" customHeight="true" outlineLevel="0" collapsed="false">
      <c r="A198" s="13" t="s">
        <v>244</v>
      </c>
      <c r="B198" s="13" t="s">
        <v>253</v>
      </c>
      <c r="C198" s="28" t="n">
        <v>417.243</v>
      </c>
    </row>
    <row r="199" customFormat="false" ht="15" hidden="false" customHeight="true" outlineLevel="0" collapsed="false">
      <c r="A199" s="13" t="s">
        <v>244</v>
      </c>
      <c r="B199" s="13" t="s">
        <v>254</v>
      </c>
      <c r="C199" s="28" t="n">
        <v>646.07754</v>
      </c>
    </row>
    <row r="200" customFormat="false" ht="15" hidden="false" customHeight="true" outlineLevel="0" collapsed="false">
      <c r="A200" s="13" t="s">
        <v>244</v>
      </c>
      <c r="B200" s="13" t="s">
        <v>255</v>
      </c>
      <c r="C200" s="28" t="n">
        <v>4104.94</v>
      </c>
    </row>
    <row r="201" customFormat="false" ht="15" hidden="false" customHeight="true" outlineLevel="0" collapsed="false">
      <c r="A201" s="13" t="s">
        <v>244</v>
      </c>
      <c r="B201" s="13" t="s">
        <v>256</v>
      </c>
      <c r="C201" s="28" t="n">
        <v>301.397</v>
      </c>
    </row>
    <row r="202" customFormat="false" ht="15" hidden="false" customHeight="true" outlineLevel="0" collapsed="false">
      <c r="A202" s="13" t="s">
        <v>244</v>
      </c>
      <c r="B202" s="13" t="s">
        <v>257</v>
      </c>
      <c r="C202" s="28" t="n">
        <v>234.641</v>
      </c>
    </row>
    <row r="203" customFormat="false" ht="15" hidden="false" customHeight="true" outlineLevel="0" collapsed="false">
      <c r="A203" s="13" t="s">
        <v>244</v>
      </c>
      <c r="B203" s="13" t="s">
        <v>258</v>
      </c>
      <c r="C203" s="28" t="n">
        <v>1287.224533</v>
      </c>
    </row>
    <row r="204" customFormat="false" ht="15" hidden="false" customHeight="true" outlineLevel="0" collapsed="false">
      <c r="A204" s="13" t="s">
        <v>244</v>
      </c>
      <c r="B204" s="13" t="s">
        <v>259</v>
      </c>
      <c r="C204" s="28" t="n">
        <v>758.74</v>
      </c>
    </row>
    <row r="205" customFormat="false" ht="15" hidden="false" customHeight="true" outlineLevel="0" collapsed="false">
      <c r="A205" s="13" t="s">
        <v>244</v>
      </c>
      <c r="B205" s="13" t="s">
        <v>260</v>
      </c>
      <c r="C205" s="28" t="n">
        <v>128.319</v>
      </c>
    </row>
    <row r="206" customFormat="false" ht="15" hidden="false" customHeight="true" outlineLevel="0" collapsed="false">
      <c r="A206" s="13" t="s">
        <v>244</v>
      </c>
      <c r="B206" s="13" t="s">
        <v>261</v>
      </c>
      <c r="C206" s="28" t="n">
        <v>22.37057</v>
      </c>
    </row>
    <row r="207" customFormat="false" ht="15" hidden="false" customHeight="true" outlineLevel="0" collapsed="false">
      <c r="A207" s="13" t="s">
        <v>262</v>
      </c>
      <c r="B207" s="13" t="s">
        <v>263</v>
      </c>
      <c r="C207" s="28" t="n">
        <v>6234.781</v>
      </c>
    </row>
    <row r="208" customFormat="false" ht="15" hidden="false" customHeight="true" outlineLevel="0" collapsed="false">
      <c r="A208" s="13" t="s">
        <v>262</v>
      </c>
      <c r="B208" s="13" t="s">
        <v>264</v>
      </c>
      <c r="C208" s="28" t="n">
        <v>12293.105</v>
      </c>
    </row>
    <row r="209" customFormat="false" ht="15" hidden="false" customHeight="true" outlineLevel="0" collapsed="false">
      <c r="A209" s="13" t="s">
        <v>262</v>
      </c>
      <c r="B209" s="13" t="s">
        <v>265</v>
      </c>
      <c r="C209" s="28" t="n">
        <v>176</v>
      </c>
    </row>
    <row r="210" customFormat="false" ht="15" hidden="false" customHeight="true" outlineLevel="0" collapsed="false">
      <c r="A210" s="13" t="s">
        <v>262</v>
      </c>
      <c r="B210" s="13" t="s">
        <v>266</v>
      </c>
      <c r="C210" s="28" t="n">
        <v>79.2429443</v>
      </c>
    </row>
    <row r="211" customFormat="false" ht="15" hidden="false" customHeight="true" outlineLevel="0" collapsed="false">
      <c r="A211" s="13" t="s">
        <v>262</v>
      </c>
      <c r="B211" s="13" t="s">
        <v>267</v>
      </c>
      <c r="C211" s="28" t="n">
        <v>110.435</v>
      </c>
    </row>
    <row r="212" customFormat="false" ht="15" hidden="false" customHeight="true" outlineLevel="0" collapsed="false">
      <c r="A212" s="13" t="s">
        <v>268</v>
      </c>
      <c r="B212" s="13" t="s">
        <v>269</v>
      </c>
      <c r="C212" s="28" t="n">
        <v>68.3</v>
      </c>
    </row>
    <row r="213" customFormat="false" ht="15" hidden="false" customHeight="true" outlineLevel="0" collapsed="false">
      <c r="A213" s="13" t="s">
        <v>270</v>
      </c>
      <c r="B213" s="13" t="s">
        <v>271</v>
      </c>
      <c r="C213" s="28" t="n">
        <v>79.7</v>
      </c>
    </row>
    <row r="214" customFormat="false" ht="15" hidden="false" customHeight="true" outlineLevel="0" collapsed="false">
      <c r="A214" s="13" t="s">
        <v>272</v>
      </c>
      <c r="B214" s="13" t="s">
        <v>273</v>
      </c>
      <c r="C214" s="28" t="n">
        <v>116.3</v>
      </c>
    </row>
    <row r="215" customFormat="false" ht="15" hidden="false" customHeight="true" outlineLevel="0" collapsed="false">
      <c r="A215" s="7"/>
      <c r="B215" s="7" t="s">
        <v>274</v>
      </c>
      <c r="C215" s="29" t="n">
        <f aca="false">SUM(C4:C214)</f>
        <v>272491.002739868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6"/>
    <col collapsed="false" customWidth="true" hidden="false" outlineLevel="0" max="4" min="3" style="1" width="15"/>
  </cols>
  <sheetData>
    <row r="1" customFormat="false" ht="15" hidden="false" customHeight="true" outlineLevel="0" collapsed="false">
      <c r="A1" s="2" t="s">
        <v>275</v>
      </c>
    </row>
    <row r="3" customFormat="false" ht="30" hidden="false" customHeight="true" outlineLevel="0" collapsed="false">
      <c r="A3" s="6" t="s">
        <v>4</v>
      </c>
      <c r="B3" s="6" t="s">
        <v>276</v>
      </c>
      <c r="C3" s="6" t="s">
        <v>277</v>
      </c>
      <c r="D3" s="6" t="s">
        <v>278</v>
      </c>
    </row>
    <row r="4" customFormat="false" ht="15" hidden="false" customHeight="true" outlineLevel="0" collapsed="false">
      <c r="A4" s="13" t="s">
        <v>14</v>
      </c>
      <c r="B4" s="13" t="s">
        <v>279</v>
      </c>
      <c r="C4" s="30" t="n">
        <v>612697</v>
      </c>
      <c r="D4" s="30" t="n">
        <v>610366</v>
      </c>
    </row>
    <row r="5" customFormat="false" ht="15" hidden="false" customHeight="true" outlineLevel="0" collapsed="false">
      <c r="A5" s="13" t="s">
        <v>15</v>
      </c>
      <c r="B5" s="13" t="s">
        <v>280</v>
      </c>
      <c r="C5" s="30" t="n">
        <v>759909</v>
      </c>
      <c r="D5" s="30" t="n">
        <v>773511</v>
      </c>
    </row>
    <row r="6" customFormat="false" ht="15" hidden="false" customHeight="true" outlineLevel="0" collapsed="false">
      <c r="A6" s="13" t="s">
        <v>16</v>
      </c>
      <c r="B6" s="13" t="s">
        <v>281</v>
      </c>
      <c r="C6" s="30" t="n">
        <v>932844</v>
      </c>
      <c r="D6" s="30" t="n">
        <v>937248</v>
      </c>
    </row>
    <row r="7" customFormat="false" ht="15" hidden="false" customHeight="true" outlineLevel="0" collapsed="false">
      <c r="A7" s="13" t="s">
        <v>17</v>
      </c>
      <c r="B7" s="13" t="s">
        <v>282</v>
      </c>
      <c r="C7" s="30" t="n">
        <v>1631443</v>
      </c>
      <c r="D7" s="30" t="n">
        <v>1649754</v>
      </c>
    </row>
    <row r="8" customFormat="false" ht="15" hidden="false" customHeight="true" outlineLevel="0" collapsed="false">
      <c r="A8" s="13" t="s">
        <v>18</v>
      </c>
      <c r="B8" s="13" t="s">
        <v>283</v>
      </c>
      <c r="C8" s="30" t="n">
        <v>705806</v>
      </c>
      <c r="D8" s="30" t="n">
        <v>707248</v>
      </c>
    </row>
    <row r="9" customFormat="false" ht="15" hidden="false" customHeight="true" outlineLevel="0" collapsed="false">
      <c r="A9" s="13" t="s">
        <v>19</v>
      </c>
      <c r="B9" s="13" t="s">
        <v>284</v>
      </c>
      <c r="C9" s="30" t="n">
        <v>691973</v>
      </c>
      <c r="D9" s="30" t="n">
        <v>687556</v>
      </c>
    </row>
    <row r="10" customFormat="false" ht="15" hidden="false" customHeight="true" outlineLevel="0" collapsed="false">
      <c r="A10" s="13" t="s">
        <v>20</v>
      </c>
      <c r="B10" s="13" t="s">
        <v>285</v>
      </c>
      <c r="C10" s="30" t="n">
        <v>1171622</v>
      </c>
      <c r="D10" s="30" t="n">
        <v>1174485</v>
      </c>
    </row>
    <row r="11" customFormat="false" ht="15" hidden="false" customHeight="true" outlineLevel="0" collapsed="false">
      <c r="A11" s="13" t="s">
        <v>21</v>
      </c>
      <c r="B11" s="13" t="s">
        <v>286</v>
      </c>
      <c r="C11" s="30" t="n">
        <v>651691</v>
      </c>
      <c r="D11" s="30" t="n">
        <v>653811</v>
      </c>
    </row>
    <row r="12" customFormat="false" ht="15" hidden="false" customHeight="true" outlineLevel="0" collapsed="false">
      <c r="A12" s="13" t="s">
        <v>22</v>
      </c>
      <c r="B12" s="13" t="s">
        <v>287</v>
      </c>
      <c r="C12" s="30" t="n">
        <v>1191836</v>
      </c>
      <c r="D12" s="30" t="n">
        <v>1181097</v>
      </c>
    </row>
    <row r="13" customFormat="false" ht="15" hidden="false" customHeight="true" outlineLevel="0" collapsed="false">
      <c r="A13" s="13" t="s">
        <v>23</v>
      </c>
      <c r="B13" s="13" t="s">
        <v>288</v>
      </c>
      <c r="C13" s="30" t="n">
        <v>782371</v>
      </c>
      <c r="D13" s="30" t="n">
        <v>776501</v>
      </c>
    </row>
    <row r="14" customFormat="false" ht="15" hidden="false" customHeight="true" outlineLevel="0" collapsed="false">
      <c r="A14" s="13" t="s">
        <v>24</v>
      </c>
      <c r="B14" s="13" t="s">
        <v>289</v>
      </c>
      <c r="C14" s="30" t="n">
        <v>811837</v>
      </c>
      <c r="D14" s="30" t="n">
        <v>821538</v>
      </c>
    </row>
    <row r="15" customFormat="false" ht="15" hidden="false" customHeight="true" outlineLevel="0" collapsed="false">
      <c r="A15" s="13" t="s">
        <v>25</v>
      </c>
      <c r="B15" s="13" t="s">
        <v>290</v>
      </c>
      <c r="C15" s="30" t="n">
        <v>822167</v>
      </c>
      <c r="D15" s="30" t="n">
        <v>831774</v>
      </c>
    </row>
    <row r="16" customFormat="false" ht="15" hidden="false" customHeight="true" outlineLevel="0" collapsed="false">
      <c r="A16" s="13" t="s">
        <v>26</v>
      </c>
      <c r="B16" s="13" t="s">
        <v>291</v>
      </c>
      <c r="C16" s="30" t="n">
        <v>645417</v>
      </c>
      <c r="D16" s="30" t="n">
        <v>745936</v>
      </c>
    </row>
    <row r="17" customFormat="false" ht="15" hidden="false" customHeight="true" outlineLevel="0" collapsed="false">
      <c r="A17" s="13" t="s">
        <v>27</v>
      </c>
      <c r="B17" s="13" t="s">
        <v>292</v>
      </c>
      <c r="C17" s="30" t="n">
        <v>525153</v>
      </c>
      <c r="D17" s="30" t="n">
        <v>515743</v>
      </c>
    </row>
    <row r="18" customFormat="false" ht="15" hidden="false" customHeight="true" outlineLevel="0" collapsed="false">
      <c r="A18" s="13" t="s">
        <v>28</v>
      </c>
      <c r="B18" s="13" t="s">
        <v>293</v>
      </c>
      <c r="C18" s="30" t="n">
        <v>2075837</v>
      </c>
      <c r="D18" s="30" t="n">
        <v>2095460</v>
      </c>
    </row>
    <row r="19" customFormat="false" ht="15" hidden="false" customHeight="true" outlineLevel="0" collapsed="false">
      <c r="A19" s="13" t="s">
        <v>29</v>
      </c>
      <c r="B19" s="13" t="s">
        <v>294</v>
      </c>
      <c r="C19" s="30" t="n">
        <v>213094</v>
      </c>
      <c r="D19" s="30" t="n">
        <v>214472</v>
      </c>
    </row>
    <row r="20" customFormat="false" ht="15" hidden="false" customHeight="true" outlineLevel="0" collapsed="false">
      <c r="A20" s="13" t="s">
        <v>30</v>
      </c>
      <c r="B20" s="13" t="s">
        <v>295</v>
      </c>
      <c r="C20" s="30" t="n">
        <v>719080</v>
      </c>
      <c r="D20" s="30" t="n">
        <v>710040</v>
      </c>
    </row>
    <row r="21" customFormat="false" ht="15" hidden="false" customHeight="true" outlineLevel="0" collapsed="false">
      <c r="A21" s="13" t="s">
        <v>31</v>
      </c>
      <c r="B21" s="13" t="s">
        <v>296</v>
      </c>
      <c r="C21" s="30" t="n">
        <v>1283503</v>
      </c>
      <c r="D21" s="30" t="n">
        <v>1292864</v>
      </c>
    </row>
    <row r="22" customFormat="false" ht="15" hidden="false" customHeight="true" outlineLevel="0" collapsed="false">
      <c r="A22" s="13" t="s">
        <v>32</v>
      </c>
      <c r="B22" s="13" t="s">
        <v>297</v>
      </c>
      <c r="C22" s="30" t="n">
        <v>2374520</v>
      </c>
      <c r="D22" s="30" t="n">
        <v>2398435</v>
      </c>
    </row>
    <row r="23" customFormat="false" ht="15" hidden="false" customHeight="true" outlineLevel="0" collapsed="false">
      <c r="A23" s="13" t="s">
        <v>33</v>
      </c>
      <c r="B23" s="13" t="s">
        <v>298</v>
      </c>
      <c r="C23" s="30" t="n">
        <v>1682319</v>
      </c>
      <c r="D23" s="30" t="n">
        <v>1700015</v>
      </c>
    </row>
    <row r="24" customFormat="false" ht="15" hidden="false" customHeight="true" outlineLevel="0" collapsed="false">
      <c r="A24" s="7" t="s">
        <v>13</v>
      </c>
      <c r="B24" s="7"/>
      <c r="C24" s="9" t="n">
        <f aca="false">SUM(C4:C23)</f>
        <v>20285119</v>
      </c>
      <c r="D24" s="9" t="n">
        <f aca="false">SUM(D4:D23)</f>
        <v>20477854</v>
      </c>
    </row>
    <row r="26" customFormat="false" ht="15" hidden="false" customHeight="true" outlineLevel="0" collapsed="false">
      <c r="A26" s="3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2026-10-04T05:57:34Z</dcterms:created>
  <dc:creator>openpyxl</dc:creator>
  <dc:description/>
  <dc:language>en-US</dc:language>
  <cp:lastModifiedBy/>
  <dcterms:modified xsi:type="dcterms:W3CDTF">2026-10-05T12:33:33Z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